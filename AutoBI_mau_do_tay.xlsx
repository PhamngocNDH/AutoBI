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esktop\AUTOBI CLAUE\AutoBI_V18.53\"/>
    </mc:Choice>
  </mc:AlternateContent>
  <xr:revisionPtr revIDLastSave="0" documentId="13_ncr:1_{9BA05250-7F84-4AA4-8DD3-5C3475EA2B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ướng dẫn" sheetId="1" r:id="rId1"/>
    <sheet name="Khai báo" sheetId="2" r:id="rId2"/>
    <sheet name="Nhập số" sheetId="3" r:id="rId3"/>
    <sheet name="Realtime" sheetId="4" r:id="rId4"/>
    <sheet name="Lũy kế" sheetId="5" r:id="rId5"/>
    <sheet name="Chi tiết NV" sheetId="6" r:id="rId6"/>
    <sheet name="Dán TĐ lũy kế" sheetId="7" r:id="rId7"/>
    <sheet name="Dán TĐ realtime" sheetId="8" r:id="rId8"/>
    <sheet name="Dán TĐ nhân viên" sheetId="9" r:id="rId9"/>
    <sheet name="Dán DT nhân viên" sheetId="10" r:id="rId10"/>
    <sheet name="Dán DT NV realtime" sheetId="11" r:id="rId11"/>
    <sheet name="Tính" sheetId="12" r:id="rId12"/>
  </sheets>
  <definedNames>
    <definedName name="CoRT">'Khai báo'!$B$8</definedName>
    <definedName name="CoRTNhom">'Khai báo'!$B$9</definedName>
    <definedName name="MucTieuTC">'Khai báo'!$B$7</definedName>
    <definedName name="NgayQua">'Khai báo'!$B$5</definedName>
    <definedName name="SoNgay">'Khai báo'!$B$6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<sst xmlns="http://schemas.openxmlformats.org/spreadsheetml/2006/main" count="205" uniqueCount="163">
  <si>
    <t>KHAI BÁO — làm 1 lần đầu tháng (ô vàng là ô nhập)</t>
  </si>
  <si>
    <t>Tên cụm / báo cáo</t>
  </si>
  <si>
    <t>Tháng</t>
  </si>
  <si>
    <t>10/2026</t>
  </si>
  <si>
    <t>Ngày đã qua (lũy kế đến hết ngày)</t>
  </si>
  <si>
    <t>tự tính theo hôm nay — gõ số để ghi đè</t>
  </si>
  <si>
    <t>Số ngày trong tháng</t>
  </si>
  <si>
    <t>Mục tiêu trả chậm</t>
  </si>
  <si>
    <t>Có doanh thu realtime hôm nay (1 = có)</t>
  </si>
  <si>
    <t>tự nhận khi Nhập số có DT realtime</t>
  </si>
  <si>
    <t>Có số nhóm hàng realtime (1 = có)</t>
  </si>
  <si>
    <t>Siêu thị</t>
  </si>
  <si>
    <t>Tên gọn (hiện trên báo cáo)</t>
  </si>
  <si>
    <t>Tên trên BI (đúng như dòng ở bảng Thi đua)</t>
  </si>
  <si>
    <t>Target tháng (DT QĐ, triệu)</t>
  </si>
  <si>
    <t>Target ngày (trống = tự chia)</t>
  </si>
  <si>
    <t>Siêu thị 1</t>
  </si>
  <si>
    <t>Siêu thị 2</t>
  </si>
  <si>
    <t>Siêu thị 3</t>
  </si>
  <si>
    <t>Siêu thị 4</t>
  </si>
  <si>
    <t>NHÓM THI ĐUA — target trống = lấy target trên BI · DT tính bằng triệu, SL tính bằng cái (như BI)</t>
  </si>
  <si>
    <t>Nhóm thi đua (tên gọn)</t>
  </si>
  <si>
    <t>Tên chương trình trên BI (bỏ "T10 - ")</t>
  </si>
  <si>
    <t>Loại</t>
  </si>
  <si>
    <t>Target ST1</t>
  </si>
  <si>
    <t>Target ST2</t>
  </si>
  <si>
    <t>Target ST3</t>
  </si>
  <si>
    <t>Target ST4</t>
  </si>
  <si>
    <t>Ghi chú</t>
  </si>
  <si>
    <t>NHÂN VIÊN — % phân bổ trống = chia đều phần còn lại của siêu thị</t>
  </si>
  <si>
    <t>Mã NV</t>
  </si>
  <si>
    <t>Họ tên</t>
  </si>
  <si>
    <t>Siêu thị (1/2/3)</t>
  </si>
  <si>
    <t>% phân bổ</t>
  </si>
  <si>
    <t>ĐẦU THÁNG (1 lần)</t>
  </si>
  <si>
    <t>1. Sheet "Khai báo": tên cụm, tháng, mục tiêu trả chậm; tên gọn + tên trên BI + target tháng từng siêu thị.</t>
  </si>
  <si>
    <t>2. Nhóm thi đua: tên gọn, tên chương trình trên BI (bỏ phần "T10 - "), loại Chính / Vượt trội, target từng shop (trống = lấy target BI).</t>
  </si>
  <si>
    <t>3. Nhân viên: mã NV, họ tên, siêu thị 1/2/3, % phân bổ (trống = chia đều phần còn lại).</t>
  </si>
  <si>
    <t>MỖI NGÀY</t>
  </si>
  <si>
    <t>4. Trang Thi đua: chọn các siêu thị · Lũy kế · Danh sách · Tải lại · bấm "Chép bảng" → dán vào ô A1 sheet "Dán TĐ lũy kế".</t>
  </si>
  <si>
    <t>5. Cùng trang, bấm vào TÊN SIÊU THỊ để ra từng nhân viên · "Chép bảng" → dán A1 sheet "Dán TĐ nhân viên" (siêu thị thứ 2 dán tiếp ngay dưới).</t>
  </si>
  <si>
    <t>6. Muốn có Realtime: chọn Realtime · "Chép bảng" → dán A1 sheet "Dán TĐ realtime".</t>
  </si>
  <si>
    <t>7. Trang Doanh thu hợp nhất (DT quy đổi): tab Nhân viên · bôi đen cả bảng → dán A1 sheet "Dán DT nhân viên" (Realtime → "Dán DT NV realtime").</t>
  </si>
  <si>
    <t>8. Sheet "Nhập số": gõ DT QĐ lũy kế, DT thực, % trả chậm (và realtime nếu có) của từng siêu thị.</t>
  </si>
  <si>
    <t>9. Mở sheet Realtime / Lũy kế / Chi tiết NV, chọn ô "Xem" (Tổng cụm hoặc từng siêu thị). Mọi số tự tính, tự xếp, tự tô màu.</t>
  </si>
  <si>
    <t>LƯU Ý</t>
  </si>
  <si>
    <t>• Trước khi dán ngày mới: chọn cả cột A–H của sheet dán và xóa (Delete), rồi dán lại vào A1. Không xóa cột K–O (công thức).</t>
  </si>
  <si>
    <t>• Ngày đã qua tự lấy theo hôm nay (hôm qua); xem số ngày khác thì gõ đè ô B5 ở Khai báo.</t>
  </si>
  <si>
    <t>• Dự kiến = lũy kế ÷ ngày đã qua × số ngày tháng ÷ target. Nhóm đạt khi Dự kiến ≥ 100%.</t>
  </si>
  <si>
    <t>• Không tìm thấy nhóm: kiểm tra tên chương trình trên BI ở Khai báo (chỉ cần phần cuối, ví dụ "BẢO HIỂM THỢ ĐMX_CE").</t>
  </si>
  <si>
    <t>• Sheet "Tính" là bảng tính trung gian, không sửa.</t>
  </si>
  <si>
    <t>NHẬP SỐ DOANH THU MỖI NGÀY (lấy ở trang Doanh thu hợp nhất, chế độ DT quy đổi)</t>
  </si>
  <si>
    <t>DT QĐ lũy kế</t>
  </si>
  <si>
    <t>DT thực lũy kế</t>
  </si>
  <si>
    <t>% trả chậm lũy kế</t>
  </si>
  <si>
    <t>DT QĐ realtime hôm nay</t>
  </si>
  <si>
    <t>DT thực realtime</t>
  </si>
  <si>
    <t>% trả chậm realtime</t>
  </si>
  <si>
    <t>Tiền: triệu đồng · % trả chậm gõ dạng 34% · realtime để trống nếu chưa có số</t>
  </si>
  <si>
    <t>Xem:</t>
  </si>
  <si>
    <t>Tổng cụm</t>
  </si>
  <si>
    <t>◀ bấm ô vàng để chọn Tổng cụm hoặc từng siêu thị</t>
  </si>
  <si>
    <t>Nhóm (view)</t>
  </si>
  <si>
    <t>Thứ tự</t>
  </si>
  <si>
    <t>Mục tiêu ngày</t>
  </si>
  <si>
    <t>Thực hiện</t>
  </si>
  <si>
    <t>Target QĐ</t>
  </si>
  <si>
    <t>Thực hiện QĐ</t>
  </si>
  <si>
    <t>Hoàn thành</t>
  </si>
  <si>
    <t>%QĐ</t>
  </si>
  <si>
    <t>Còn lại</t>
  </si>
  <si>
    <t>☀️ DK ngày mai</t>
  </si>
  <si>
    <t>Realtime trả chậm</t>
  </si>
  <si>
    <t>Lũy kế trả chậm</t>
  </si>
  <si>
    <t>%QĐ/thực</t>
  </si>
  <si>
    <t>Đạt:</t>
  </si>
  <si>
    <t>Lũy kế</t>
  </si>
  <si>
    <t>Nhóm hàng</t>
  </si>
  <si>
    <t>Target ngày</t>
  </si>
  <si>
    <t>Tỉ lệ</t>
  </si>
  <si>
    <t>Target tháng</t>
  </si>
  <si>
    <t>% Hiện tại</t>
  </si>
  <si>
    <t>DK</t>
  </si>
  <si>
    <t>☀️ DK mai</t>
  </si>
  <si>
    <t>DOANH THU NV HÔM NAY</t>
  </si>
  <si>
    <t>LŨY KẾ THÁNG</t>
  </si>
  <si>
    <t>Nhân viên</t>
  </si>
  <si>
    <t>Hôm nay ▼</t>
  </si>
  <si>
    <t>Mục tiêu</t>
  </si>
  <si>
    <t>% HT</t>
  </si>
  <si>
    <t>Dự kiến</t>
  </si>
  <si>
    <t>Shop</t>
  </si>
  <si>
    <t>Tiền: triệu · DK = lũy kế ÷ ngày đã qua × số ngày ÷ target · ☀️ DK mai = (lũy kế + realtime hôm nay) ÷ (ngày đã qua + 1) × số ngày ÷ target</t>
  </si>
  <si>
    <t>Target</t>
  </si>
  <si>
    <t>Doanh thu</t>
  </si>
  <si>
    <t>Trả chậm</t>
  </si>
  <si>
    <t>Dự kiến ▼</t>
  </si>
  <si>
    <t>Tiền: triệu · Dự kiến = lũy kế ÷ ngày đã qua × số ngày ÷ target · nhóm đạt khi Dự kiến ≥ 100% · target NV chia theo % phân bổ ở Khai báo</t>
  </si>
  <si>
    <t>◀ DÁN VÀO Ô A1 (cột A–H). Cột K–O là công thức, đừng xóa.</t>
  </si>
  <si>
    <t>Trang Thi đua · chọn các siêu thị trong Khai báo · Lũy kế · Danh sách · Tải lại · bấm "Chép bảng"</t>
  </si>
  <si>
    <t>Mỗi chương trình 1 khối: dòng tên chương trình + TỔNG + từng siêu thị (cột B = thực hiện, C = target)</t>
  </si>
  <si>
    <t>Trang Thi đua · chọn các siêu thị · Realtime · Danh sách · Tải lại · bấm "Chép bảng"</t>
  </si>
  <si>
    <t>Giống bảng lũy kế; cột B = thực hiện hôm nay, C = target ngày</t>
  </si>
  <si>
    <t>Trang Thi đua · Lũy kế · Danh sách · bấm vào TÊN SIÊU THỊ (ra từng NV) · "Chép bảng" · dán; siêu thị sau dán tiếp ngay bên dưới</t>
  </si>
  <si>
    <t>Mỗi chương trình: TỔNG + từng NV dạng "mã - họ tên"</t>
  </si>
  <si>
    <t>← cột DOANH THU</t>
  </si>
  <si>
    <t>Trang Doanh thu hợp nhất · DT quy đổi · Lũy kế · tab Nhân viên · bôi đen cả bảng (từ dòng tiêu đề) · dán</t>
  </si>
  <si>
    <t>Tìm NV theo mã ở đầu tên; cột DOANH THU tự dò</t>
  </si>
  <si>
    <t>Trang Doanh thu hợp nhất · DT quy đổi · Realtime · tab Nhân viên · bôi đen cả bảng · dán</t>
  </si>
  <si>
    <t>Giống bảng lũy kế</t>
  </si>
  <si>
    <t>TÍNH TOÁN — không sửa sheet này</t>
  </si>
  <si>
    <t>#</t>
  </si>
  <si>
    <t>Nhóm</t>
  </si>
  <si>
    <t>Khóa BI</t>
  </si>
  <si>
    <t>TH LK 1</t>
  </si>
  <si>
    <t>T BI 1</t>
  </si>
  <si>
    <t>Target 1</t>
  </si>
  <si>
    <t>TH RT 1</t>
  </si>
  <si>
    <t>T ngày 1</t>
  </si>
  <si>
    <t>TH LK 2</t>
  </si>
  <si>
    <t>T BI 2</t>
  </si>
  <si>
    <t>Target 2</t>
  </si>
  <si>
    <t>TH RT 2</t>
  </si>
  <si>
    <t>T ngày 2</t>
  </si>
  <si>
    <t>TH LK 3</t>
  </si>
  <si>
    <t>T BI 3</t>
  </si>
  <si>
    <t>Target 3</t>
  </si>
  <si>
    <t>TH RT 3</t>
  </si>
  <si>
    <t>T ngày 3</t>
  </si>
  <si>
    <t>TH LK 4</t>
  </si>
  <si>
    <t>T BI 4</t>
  </si>
  <si>
    <t>Target 4</t>
  </si>
  <si>
    <t>TH RT 4</t>
  </si>
  <si>
    <t>T ngày 4</t>
  </si>
  <si>
    <t>TH LK cụm</t>
  </si>
  <si>
    <t>Target cụm</t>
  </si>
  <si>
    <t>TH RT cụm</t>
  </si>
  <si>
    <t>T ngày cụm</t>
  </si>
  <si>
    <t>Đơn vị</t>
  </si>
  <si>
    <t>Tên gọn</t>
  </si>
  <si>
    <t>Tên BI</t>
  </si>
  <si>
    <t>DT QĐ LK</t>
  </si>
  <si>
    <t>DT thực LK</t>
  </si>
  <si>
    <t>TC LK</t>
  </si>
  <si>
    <t>DT QĐ RT</t>
  </si>
  <si>
    <t>DT thực RT</t>
  </si>
  <si>
    <t>TC RT</t>
  </si>
  <si>
    <t>Mã</t>
  </si>
  <si>
    <t>% PB</t>
  </si>
  <si>
    <t>Tổng % shop</t>
  </si>
  <si>
    <t>Số NV chia đều</t>
  </si>
  <si>
    <t>Target shop</t>
  </si>
  <si>
    <t>Target NV</t>
  </si>
  <si>
    <t>DT hôm nay</t>
  </si>
  <si>
    <t>Tên shop</t>
  </si>
  <si>
    <t>Nhóm đạt</t>
  </si>
  <si>
    <t>Thực hiện NV × nhóm</t>
  </si>
  <si>
    <t>Target NV × nhóm</t>
  </si>
  <si>
    <t>Loại nhóm</t>
  </si>
  <si>
    <t>Dự kiến NV × nhóm</t>
  </si>
  <si>
    <t>Điểm xếp nhóm của NV</t>
  </si>
  <si>
    <t>Thứ tự nhóm của NV</t>
  </si>
  <si>
    <t xml:space="preserve">FILE ĐỔ SỐ TAY — Realtime · Lũy kế · Chi tiết NV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</si>
</sst>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#,##0\ &quot;Triệu&quot;"/>
    <numFmt numFmtId="167" formatCode="#,##0.0\ &quot;Triệu&quot;"/>
  </numFmts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color rgb="FF1B1B1B"/>
      <name val="Arial"/>
    </font>
    <font>
      <sz val="10"/>
      <color rgb="FF1B1B1B"/>
      <name val="Arial"/>
    </font>
    <font>
      <i/>
      <sz val="9"/>
      <color rgb="FF555555"/>
      <name val="Arial"/>
    </font>
    <font>
      <b/>
      <sz val="10"/>
      <color rgb="FFC00000"/>
      <name val="Arial"/>
    </font>
    <font>
      <sz val="9"/>
      <color rgb="FF555555"/>
      <name val="Arial"/>
    </font>
    <font>
      <b/>
      <sz val="14"/>
      <color rgb="FF1D7A3A"/>
      <name val="Arial"/>
    </font>
    <font>
      <b/>
      <sz val="12"/>
      <color rgb="FF1B1B1B"/>
      <name val="Arial"/>
    </font>
    <font>
      <b/>
      <sz val="11"/>
      <color rgb="FFFFFFFF"/>
      <name val="Arial"/>
    </font>
    <font>
      <b/>
      <sz val="11"/>
      <color rgb="FFC00000"/>
      <name val="Arial"/>
    </font>
    <font>
      <b/>
      <sz val="11"/>
      <color rgb="FF1F4E9C"/>
      <name val="Arial"/>
    </font>
    <font>
      <b/>
      <sz val="11"/>
      <color rgb="FF1D7A3A"/>
      <name val="Arial"/>
    </font>
    <font>
      <b/>
      <sz val="11"/>
      <color rgb="FF1B1B1B"/>
      <name val="Arial"/>
    </font>
    <font>
      <b/>
      <sz val="11"/>
      <color rgb="FFC55A11"/>
      <name val="Arial"/>
    </font>
    <font>
      <b/>
      <sz val="8"/>
      <color rgb="FF1F3864"/>
      <name val="Arial"/>
    </font>
    <font>
      <b/>
      <sz val="9"/>
      <color rgb="FF1B1B1B"/>
      <name val="Arial"/>
    </font>
    <font>
      <sz val="9"/>
      <color rgb="FF1B1B1B"/>
      <name val="Arial"/>
    </font>
    <font>
      <b/>
      <sz val="14"/>
      <color rgb="FF1F6FB2"/>
      <name val="Arial"/>
    </font>
    <font>
      <b/>
      <sz val="10"/>
      <color rgb="FF1D7A3A"/>
      <name val="Arial"/>
    </font>
  </fonts>
  <fills count="11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9DC3E6"/>
        <bgColor rgb="FF9DC3E6"/>
      </patternFill>
    </fill>
    <fill>
      <patternFill patternType="solid">
        <fgColor rgb="FFFF0000"/>
        <bgColor rgb="FFFF0000"/>
      </patternFill>
    </fill>
    <fill>
      <patternFill patternType="solid">
        <fgColor rgb="FF0E8F5B"/>
        <bgColor rgb="FF0E8F5B"/>
      </patternFill>
    </fill>
    <fill>
      <patternFill patternType="solid">
        <fgColor rgb="FFFFFF00"/>
        <bgColor rgb="FFFFFF00"/>
      </patternFill>
    </fill>
    <fill>
      <patternFill patternType="solid">
        <fgColor rgb="FF5B9BD5"/>
        <bgColor rgb="FF5B9BD5"/>
      </patternFill>
    </fill>
    <fill>
      <patternFill patternType="solid">
        <fgColor rgb="FFC55A11"/>
        <bgColor rgb="FFC55A11"/>
      </patternFill>
    </fill>
    <fill>
      <patternFill patternType="solid">
        <fgColor rgb="FF2B5A2B"/>
        <bgColor rgb="FF2B5A2B"/>
      </patternFill>
    </fill>
  </fills>
  <borders count="7">
    <border>
      <left/>
      <right/>
      <top/>
      <bottom/>
      <diagonal/>
    </border>
    <border>
      <left style="thin">
        <color rgb="FF8F9AA7"/>
      </left>
      <right style="thin">
        <color rgb="FF8F9AA7"/>
      </right>
      <top style="thin">
        <color rgb="FF8F9AA7"/>
      </top>
      <bottom style="thin">
        <color rgb="FF8F9AA7"/>
      </bottom>
      <diagonal/>
    </border>
    <border>
      <left/>
      <right style="thin">
        <color rgb="FF8F9AA7"/>
      </right>
      <top style="thin">
        <color rgb="FF8F9AA7"/>
      </top>
      <bottom/>
      <diagonal/>
    </border>
    <border>
      <left/>
      <right/>
      <top style="thin">
        <color rgb="FF8F9AA7"/>
      </top>
      <bottom style="thin">
        <color rgb="FF8F9AA7"/>
      </bottom>
      <diagonal/>
    </border>
    <border>
      <left/>
      <right style="thin">
        <color rgb="FF8F9AA7"/>
      </right>
      <top style="thin">
        <color rgb="FF8F9AA7"/>
      </top>
      <bottom style="thin">
        <color rgb="FF8F9AA7"/>
      </bottom>
      <diagonal/>
    </border>
    <border>
      <left style="thin">
        <color rgb="FF8F9AA7"/>
      </left>
      <right/>
      <top/>
      <bottom style="thin">
        <color rgb="FF8F9AA7"/>
      </bottom>
      <diagonal/>
    </border>
    <border>
      <left/>
      <right style="thin">
        <color rgb="FF8F9AA7"/>
      </right>
      <top/>
      <bottom style="thin">
        <color rgb="FF8F9AA7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8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9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right" vertical="center"/>
    </xf>
    <xf numFmtId="3" fontId="3" fillId="3" borderId="1" xfId="0" applyNumberFormat="1" applyFont="1" applyFill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9" fontId="3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2" fillId="0" borderId="1" xfId="0" applyFont="1" applyBorder="1" applyAlignment="1">
      <alignment horizontal="center" vertical="center"/>
    </xf>
    <xf numFmtId="9" fontId="11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right" vertical="center"/>
    </xf>
    <xf numFmtId="9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9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164" fontId="17" fillId="0" borderId="0" xfId="0" applyNumberFormat="1" applyFont="1" applyAlignment="1">
      <alignment horizontal="right"/>
    </xf>
    <xf numFmtId="9" fontId="16" fillId="0" borderId="0" xfId="0" applyNumberFormat="1" applyFont="1" applyAlignment="1">
      <alignment horizontal="center"/>
    </xf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3" fillId="0" borderId="0" xfId="0" applyFont="1" applyAlignment="1">
      <alignment horizontal="left" vertical="center"/>
    </xf>
    <xf numFmtId="0" fontId="0" fillId="0" borderId="0" xfId="0"/>
    <xf numFmtId="0" fontId="1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/>
    </xf>
    <xf numFmtId="3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9" fontId="10" fillId="7" borderId="1" xfId="0" applyNumberFormat="1" applyFont="1" applyFill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9" fontId="13" fillId="0" borderId="1" xfId="0" applyNumberFormat="1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10" borderId="1" xfId="0" applyFont="1" applyFill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9" fillId="0" borderId="0" xfId="0" applyFont="1"/>
  </cellXfs>
  <cellStyles count="1">
    <cellStyle name="Bình thường" xfId="0" builtinId="0"/>
  </cellStyles>
  <dxfs count="486"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ill>
        <patternFill patternType="solid">
          <fgColor rgb="FF1F3864"/>
          <bgColor rgb="FF1F3864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</font>
      <fill>
        <patternFill patternType="solid">
          <fgColor rgb="FFDCEAD3"/>
          <bgColor rgb="FFDCEAD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FFFFFF"/>
      </font>
      <fill>
        <patternFill patternType="solid">
          <fgColor rgb="FF2B5A2B"/>
          <bgColor rgb="FF2B5A2B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FFFFFF"/>
      </font>
      <fill>
        <patternFill patternType="solid">
          <fgColor rgb="FF2F5597"/>
          <bgColor rgb="FF2F5597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5B2A86"/>
      </font>
      <fill>
        <patternFill patternType="solid">
          <fgColor rgb="FFE4DFF0"/>
          <bgColor rgb="FFE4DFF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1F3864"/>
      </font>
      <fill>
        <patternFill patternType="solid">
          <fgColor rgb="FFD9E2F3"/>
          <bgColor rgb="FFD9E2F3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4A00"/>
      </font>
      <fill>
        <patternFill patternType="solid">
          <fgColor rgb="FFFFEB9C"/>
          <bgColor rgb="FFFFEB9C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7A150B"/>
      </font>
      <fill>
        <patternFill patternType="solid">
          <fgColor rgb="FFE8B4B0"/>
          <bgColor rgb="FFE8B4B0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  <dxf>
      <font>
        <b/>
        <color rgb="FF006100"/>
      </font>
      <fill>
        <patternFill patternType="solid">
          <fgColor rgb="FFC6EFCE"/>
          <bgColor rgb="FFC6EFCE"/>
        </patternFill>
      </fill>
      <border>
        <left style="thin">
          <color rgb="FF8F9AA7"/>
        </left>
        <right style="thin">
          <color rgb="FF8F9AA7"/>
        </right>
        <top style="thin">
          <color rgb="FF8F9AA7"/>
        </top>
        <bottom style="thin">
          <color rgb="FF8F9AA7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2"/>
  <sheetViews>
    <sheetView showGridLines="0" tabSelected="1" workbookViewId="0">
      <selection activeCell="F13" sqref="F13"/>
    </sheetView>
  </sheetViews>
  <sheetFormatPr defaultRowHeight="14.4" x14ac:dyDescent="0.3"/>
  <cols>
    <col min="1" max="1" width="4" customWidth="1"/>
    <col min="2" max="2" width="110" customWidth="1"/>
  </cols>
  <sheetData>
    <row r="2" spans="2:2" ht="17.399999999999999" x14ac:dyDescent="0.3">
      <c r="B2" s="1" t="s">
        <v>162</v>
      </c>
    </row>
    <row r="3" spans="2:2" x14ac:dyDescent="0.3">
      <c r="B3" s="2"/>
    </row>
    <row r="4" spans="2:2" x14ac:dyDescent="0.3">
      <c r="B4" s="3" t="s">
        <v>34</v>
      </c>
    </row>
    <row r="5" spans="2:2" x14ac:dyDescent="0.3">
      <c r="B5" s="2" t="s">
        <v>35</v>
      </c>
    </row>
    <row r="6" spans="2:2" ht="26.4" x14ac:dyDescent="0.3">
      <c r="B6" s="2" t="s">
        <v>36</v>
      </c>
    </row>
    <row r="7" spans="2:2" x14ac:dyDescent="0.3">
      <c r="B7" s="2" t="s">
        <v>37</v>
      </c>
    </row>
    <row r="8" spans="2:2" x14ac:dyDescent="0.3">
      <c r="B8" s="2"/>
    </row>
    <row r="9" spans="2:2" x14ac:dyDescent="0.3">
      <c r="B9" s="3" t="s">
        <v>38</v>
      </c>
    </row>
    <row r="10" spans="2:2" x14ac:dyDescent="0.3">
      <c r="B10" s="2" t="s">
        <v>39</v>
      </c>
    </row>
    <row r="11" spans="2:2" ht="26.4" x14ac:dyDescent="0.3">
      <c r="B11" s="2" t="s">
        <v>40</v>
      </c>
    </row>
    <row r="12" spans="2:2" x14ac:dyDescent="0.3">
      <c r="B12" s="2" t="s">
        <v>41</v>
      </c>
    </row>
    <row r="13" spans="2:2" ht="26.4" x14ac:dyDescent="0.3">
      <c r="B13" s="2" t="s">
        <v>42</v>
      </c>
    </row>
    <row r="14" spans="2:2" x14ac:dyDescent="0.3">
      <c r="B14" s="2" t="s">
        <v>43</v>
      </c>
    </row>
    <row r="15" spans="2:2" x14ac:dyDescent="0.3">
      <c r="B15" s="2" t="s">
        <v>44</v>
      </c>
    </row>
    <row r="16" spans="2:2" x14ac:dyDescent="0.3">
      <c r="B16" s="2"/>
    </row>
    <row r="17" spans="2:2" x14ac:dyDescent="0.3">
      <c r="B17" s="3" t="s">
        <v>45</v>
      </c>
    </row>
    <row r="18" spans="2:2" x14ac:dyDescent="0.3">
      <c r="B18" s="2" t="s">
        <v>46</v>
      </c>
    </row>
    <row r="19" spans="2:2" x14ac:dyDescent="0.3">
      <c r="B19" s="2" t="s">
        <v>47</v>
      </c>
    </row>
    <row r="20" spans="2:2" x14ac:dyDescent="0.3">
      <c r="B20" s="2" t="s">
        <v>48</v>
      </c>
    </row>
    <row r="21" spans="2:2" x14ac:dyDescent="0.3">
      <c r="B21" s="2" t="s">
        <v>49</v>
      </c>
    </row>
    <row r="22" spans="2:2" x14ac:dyDescent="0.3">
      <c r="B22" s="2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0"/>
  <sheetViews>
    <sheetView workbookViewId="0">
      <selection sqref="A1:G1"/>
    </sheetView>
  </sheetViews>
  <sheetFormatPr defaultRowHeight="14.4" x14ac:dyDescent="0.3"/>
  <cols>
    <col min="1" max="1" width="34" customWidth="1"/>
    <col min="2" max="3" width="30" customWidth="1"/>
    <col min="4" max="6" width="14" customWidth="1"/>
    <col min="7" max="7" width="30" customWidth="1"/>
  </cols>
  <sheetData>
    <row r="1" spans="1:7" x14ac:dyDescent="0.3">
      <c r="A1" s="48" t="s">
        <v>0</v>
      </c>
      <c r="B1" s="49"/>
      <c r="C1" s="49"/>
      <c r="D1" s="49"/>
      <c r="E1" s="49"/>
      <c r="F1" s="49"/>
      <c r="G1" s="50"/>
    </row>
    <row r="3" spans="1:7" x14ac:dyDescent="0.3">
      <c r="A3" s="5" t="s">
        <v>1</v>
      </c>
      <c r="B3" s="6"/>
    </row>
    <row r="4" spans="1:7" x14ac:dyDescent="0.3">
      <c r="A4" s="5" t="s">
        <v>2</v>
      </c>
      <c r="B4" s="6" t="s">
        <v>3</v>
      </c>
    </row>
    <row r="5" spans="1:7" x14ac:dyDescent="0.3">
      <c r="A5" s="5" t="s">
        <v>4</v>
      </c>
      <c r="B5" s="7">
        <f ca="1">MAX(1,DAY(TODAY())-1)</f>
        <v>25</v>
      </c>
      <c r="C5" s="8" t="s">
        <v>5</v>
      </c>
    </row>
    <row r="6" spans="1:7" x14ac:dyDescent="0.3">
      <c r="A6" s="5" t="s">
        <v>6</v>
      </c>
      <c r="B6" s="7">
        <f ca="1">DAY(EOMONTH(TODAY(),0))</f>
        <v>31</v>
      </c>
    </row>
    <row r="7" spans="1:7" x14ac:dyDescent="0.3">
      <c r="A7" s="5" t="s">
        <v>7</v>
      </c>
      <c r="B7" s="9">
        <v>0.3</v>
      </c>
    </row>
    <row r="8" spans="1:7" x14ac:dyDescent="0.3">
      <c r="A8" s="5" t="s">
        <v>8</v>
      </c>
      <c r="B8" s="7">
        <f>IF(SUM('Nhập số'!E4:E7)&gt;0,1,0)</f>
        <v>0</v>
      </c>
      <c r="C8" s="8" t="s">
        <v>9</v>
      </c>
    </row>
    <row r="9" spans="1:7" x14ac:dyDescent="0.3">
      <c r="A9" s="5" t="s">
        <v>10</v>
      </c>
      <c r="B9" s="7">
        <f>IF(COUNTA('Dán TĐ realtime'!A1:A30)&gt;0,1,0)</f>
        <v>0</v>
      </c>
    </row>
    <row r="11" spans="1:7" ht="30" customHeight="1" x14ac:dyDescent="0.3">
      <c r="A11" s="10" t="s">
        <v>11</v>
      </c>
      <c r="B11" s="10" t="s">
        <v>12</v>
      </c>
      <c r="C11" s="10" t="s">
        <v>13</v>
      </c>
      <c r="D11" s="10" t="s">
        <v>14</v>
      </c>
      <c r="E11" s="10" t="s">
        <v>15</v>
      </c>
    </row>
    <row r="12" spans="1:7" x14ac:dyDescent="0.3">
      <c r="A12" s="5" t="s">
        <v>16</v>
      </c>
      <c r="B12" s="11"/>
      <c r="C12" s="11"/>
      <c r="D12" s="7"/>
      <c r="E12" s="7"/>
    </row>
    <row r="13" spans="1:7" x14ac:dyDescent="0.3">
      <c r="A13" s="5" t="s">
        <v>17</v>
      </c>
      <c r="B13" s="11"/>
      <c r="C13" s="11"/>
      <c r="D13" s="7"/>
      <c r="E13" s="7"/>
    </row>
    <row r="14" spans="1:7" x14ac:dyDescent="0.3">
      <c r="A14" s="5" t="s">
        <v>18</v>
      </c>
      <c r="B14" s="11"/>
      <c r="C14" s="11"/>
      <c r="D14" s="7"/>
      <c r="E14" s="7"/>
    </row>
    <row r="15" spans="1:7" x14ac:dyDescent="0.3">
      <c r="A15" s="5" t="s">
        <v>19</v>
      </c>
      <c r="B15" s="11"/>
      <c r="C15" s="11"/>
      <c r="D15" s="7"/>
      <c r="E15" s="7"/>
    </row>
    <row r="16" spans="1:7" x14ac:dyDescent="0.3">
      <c r="A16" s="12" t="s">
        <v>20</v>
      </c>
    </row>
    <row r="17" spans="1:8" ht="26.4" x14ac:dyDescent="0.3">
      <c r="A17" s="10" t="s">
        <v>21</v>
      </c>
      <c r="B17" s="10" t="s">
        <v>22</v>
      </c>
      <c r="C17" s="10" t="s">
        <v>23</v>
      </c>
      <c r="D17" s="10" t="s">
        <v>24</v>
      </c>
      <c r="E17" s="10" t="s">
        <v>25</v>
      </c>
      <c r="F17" s="10" t="s">
        <v>26</v>
      </c>
      <c r="G17" s="10" t="s">
        <v>27</v>
      </c>
      <c r="H17" s="10" t="s">
        <v>28</v>
      </c>
    </row>
    <row r="18" spans="1:8" x14ac:dyDescent="0.3">
      <c r="A18" s="11"/>
      <c r="B18" s="11"/>
      <c r="C18" s="13"/>
      <c r="D18" s="14"/>
      <c r="E18" s="14"/>
      <c r="F18" s="14"/>
      <c r="G18" s="14"/>
      <c r="H18" s="11"/>
    </row>
    <row r="19" spans="1:8" x14ac:dyDescent="0.3">
      <c r="A19" s="11"/>
      <c r="B19" s="11"/>
      <c r="C19" s="13"/>
      <c r="D19" s="14"/>
      <c r="E19" s="14"/>
      <c r="F19" s="14"/>
      <c r="G19" s="14"/>
      <c r="H19" s="11"/>
    </row>
    <row r="20" spans="1:8" x14ac:dyDescent="0.3">
      <c r="A20" s="11"/>
      <c r="B20" s="11"/>
      <c r="C20" s="13"/>
      <c r="D20" s="14"/>
      <c r="E20" s="14"/>
      <c r="F20" s="14"/>
      <c r="G20" s="14"/>
      <c r="H20" s="11"/>
    </row>
    <row r="21" spans="1:8" x14ac:dyDescent="0.3">
      <c r="A21" s="11"/>
      <c r="B21" s="11"/>
      <c r="C21" s="13"/>
      <c r="D21" s="14"/>
      <c r="E21" s="14"/>
      <c r="F21" s="14"/>
      <c r="G21" s="14"/>
      <c r="H21" s="11"/>
    </row>
    <row r="22" spans="1:8" x14ac:dyDescent="0.3">
      <c r="A22" s="11"/>
      <c r="B22" s="11"/>
      <c r="C22" s="13"/>
      <c r="D22" s="14"/>
      <c r="E22" s="14"/>
      <c r="F22" s="14"/>
      <c r="G22" s="14"/>
      <c r="H22" s="11"/>
    </row>
    <row r="23" spans="1:8" x14ac:dyDescent="0.3">
      <c r="A23" s="11"/>
      <c r="B23" s="11"/>
      <c r="C23" s="13"/>
      <c r="D23" s="14"/>
      <c r="E23" s="14"/>
      <c r="F23" s="14"/>
      <c r="G23" s="14"/>
      <c r="H23" s="11"/>
    </row>
    <row r="24" spans="1:8" x14ac:dyDescent="0.3">
      <c r="A24" s="11"/>
      <c r="B24" s="11"/>
      <c r="C24" s="13"/>
      <c r="D24" s="14"/>
      <c r="E24" s="14"/>
      <c r="F24" s="14"/>
      <c r="G24" s="14"/>
      <c r="H24" s="11"/>
    </row>
    <row r="25" spans="1:8" x14ac:dyDescent="0.3">
      <c r="A25" s="11"/>
      <c r="B25" s="11"/>
      <c r="C25" s="13"/>
      <c r="D25" s="14"/>
      <c r="E25" s="14"/>
      <c r="F25" s="14"/>
      <c r="G25" s="14"/>
      <c r="H25" s="11"/>
    </row>
    <row r="26" spans="1:8" x14ac:dyDescent="0.3">
      <c r="A26" s="11"/>
      <c r="B26" s="11"/>
      <c r="C26" s="13"/>
      <c r="D26" s="14"/>
      <c r="E26" s="14"/>
      <c r="F26" s="14"/>
      <c r="G26" s="14"/>
      <c r="H26" s="11"/>
    </row>
    <row r="27" spans="1:8" x14ac:dyDescent="0.3">
      <c r="A27" s="11"/>
      <c r="B27" s="11"/>
      <c r="C27" s="13"/>
      <c r="D27" s="14"/>
      <c r="E27" s="14"/>
      <c r="F27" s="14"/>
      <c r="G27" s="14"/>
      <c r="H27" s="11"/>
    </row>
    <row r="28" spans="1:8" x14ac:dyDescent="0.3">
      <c r="A28" s="11"/>
      <c r="B28" s="11"/>
      <c r="C28" s="13"/>
      <c r="D28" s="14"/>
      <c r="E28" s="14"/>
      <c r="F28" s="14"/>
      <c r="G28" s="14"/>
      <c r="H28" s="11"/>
    </row>
    <row r="29" spans="1:8" x14ac:dyDescent="0.3">
      <c r="A29" s="11"/>
      <c r="B29" s="11"/>
      <c r="C29" s="13"/>
      <c r="D29" s="14"/>
      <c r="E29" s="14"/>
      <c r="F29" s="14"/>
      <c r="G29" s="14"/>
      <c r="H29" s="11"/>
    </row>
    <row r="30" spans="1:8" x14ac:dyDescent="0.3">
      <c r="A30" s="11"/>
      <c r="B30" s="11"/>
      <c r="C30" s="13"/>
      <c r="D30" s="14"/>
      <c r="E30" s="14"/>
      <c r="F30" s="14"/>
      <c r="G30" s="14"/>
      <c r="H30" s="11"/>
    </row>
    <row r="31" spans="1:8" x14ac:dyDescent="0.3">
      <c r="A31" s="11"/>
      <c r="B31" s="11"/>
      <c r="C31" s="13"/>
      <c r="D31" s="14"/>
      <c r="E31" s="14"/>
      <c r="F31" s="14"/>
      <c r="G31" s="14"/>
      <c r="H31" s="11"/>
    </row>
    <row r="32" spans="1:8" x14ac:dyDescent="0.3">
      <c r="A32" s="11"/>
      <c r="B32" s="11"/>
      <c r="C32" s="13"/>
      <c r="D32" s="14"/>
      <c r="E32" s="14"/>
      <c r="F32" s="14"/>
      <c r="G32" s="14"/>
      <c r="H32" s="11"/>
    </row>
    <row r="33" spans="1:8" x14ac:dyDescent="0.3">
      <c r="A33" s="11"/>
      <c r="B33" s="11"/>
      <c r="C33" s="13"/>
      <c r="D33" s="14"/>
      <c r="E33" s="14"/>
      <c r="F33" s="14"/>
      <c r="G33" s="14"/>
      <c r="H33" s="11"/>
    </row>
    <row r="34" spans="1:8" x14ac:dyDescent="0.3">
      <c r="A34" s="11"/>
      <c r="B34" s="11"/>
      <c r="C34" s="13"/>
      <c r="D34" s="14"/>
      <c r="E34" s="14"/>
      <c r="F34" s="14"/>
      <c r="G34" s="14"/>
      <c r="H34" s="11"/>
    </row>
    <row r="35" spans="1:8" x14ac:dyDescent="0.3">
      <c r="A35" s="11"/>
      <c r="B35" s="11"/>
      <c r="C35" s="13"/>
      <c r="D35" s="14"/>
      <c r="E35" s="14"/>
      <c r="F35" s="14"/>
      <c r="G35" s="14"/>
      <c r="H35" s="11"/>
    </row>
    <row r="36" spans="1:8" x14ac:dyDescent="0.3">
      <c r="A36" s="11"/>
      <c r="B36" s="11"/>
      <c r="C36" s="13"/>
      <c r="D36" s="14"/>
      <c r="E36" s="14"/>
      <c r="F36" s="14"/>
      <c r="G36" s="14"/>
      <c r="H36" s="11"/>
    </row>
    <row r="37" spans="1:8" x14ac:dyDescent="0.3">
      <c r="A37" s="11"/>
      <c r="B37" s="11"/>
      <c r="C37" s="13"/>
      <c r="D37" s="14"/>
      <c r="E37" s="14"/>
      <c r="F37" s="14"/>
      <c r="G37" s="14"/>
      <c r="H37" s="11"/>
    </row>
    <row r="44" spans="1:8" x14ac:dyDescent="0.3">
      <c r="A44" s="12" t="s">
        <v>29</v>
      </c>
    </row>
    <row r="45" spans="1:8" x14ac:dyDescent="0.3">
      <c r="A45" s="4" t="s">
        <v>30</v>
      </c>
      <c r="B45" s="4" t="s">
        <v>31</v>
      </c>
      <c r="C45" s="4" t="s">
        <v>32</v>
      </c>
      <c r="D45" s="4" t="s">
        <v>33</v>
      </c>
    </row>
    <row r="46" spans="1:8" x14ac:dyDescent="0.3">
      <c r="A46" s="11"/>
      <c r="B46" s="11"/>
      <c r="C46" s="13"/>
      <c r="D46" s="15"/>
    </row>
    <row r="47" spans="1:8" x14ac:dyDescent="0.3">
      <c r="A47" s="11"/>
      <c r="B47" s="11"/>
      <c r="C47" s="13"/>
      <c r="D47" s="15"/>
    </row>
    <row r="48" spans="1:8" x14ac:dyDescent="0.3">
      <c r="A48" s="11"/>
      <c r="B48" s="11"/>
      <c r="C48" s="13"/>
      <c r="D48" s="15"/>
    </row>
    <row r="49" spans="1:4" x14ac:dyDescent="0.3">
      <c r="A49" s="11"/>
      <c r="B49" s="11"/>
      <c r="C49" s="13"/>
      <c r="D49" s="15"/>
    </row>
    <row r="50" spans="1:4" x14ac:dyDescent="0.3">
      <c r="A50" s="11"/>
      <c r="B50" s="11"/>
      <c r="C50" s="13"/>
      <c r="D50" s="15"/>
    </row>
    <row r="51" spans="1:4" x14ac:dyDescent="0.3">
      <c r="A51" s="11"/>
      <c r="B51" s="11"/>
      <c r="C51" s="13"/>
      <c r="D51" s="15"/>
    </row>
    <row r="52" spans="1:4" x14ac:dyDescent="0.3">
      <c r="A52" s="11"/>
      <c r="B52" s="11"/>
      <c r="C52" s="13"/>
      <c r="D52" s="15"/>
    </row>
    <row r="53" spans="1:4" x14ac:dyDescent="0.3">
      <c r="A53" s="11"/>
      <c r="B53" s="11"/>
      <c r="C53" s="13"/>
      <c r="D53" s="15"/>
    </row>
    <row r="54" spans="1:4" x14ac:dyDescent="0.3">
      <c r="A54" s="11"/>
      <c r="B54" s="11"/>
      <c r="C54" s="13"/>
      <c r="D54" s="15"/>
    </row>
    <row r="55" spans="1:4" x14ac:dyDescent="0.3">
      <c r="A55" s="11"/>
      <c r="B55" s="11"/>
      <c r="C55" s="13"/>
      <c r="D55" s="15"/>
    </row>
    <row r="56" spans="1:4" x14ac:dyDescent="0.3">
      <c r="A56" s="11"/>
      <c r="B56" s="11"/>
      <c r="C56" s="13"/>
      <c r="D56" s="15"/>
    </row>
    <row r="57" spans="1:4" x14ac:dyDescent="0.3">
      <c r="A57" s="11"/>
      <c r="B57" s="11"/>
      <c r="C57" s="13"/>
      <c r="D57" s="15"/>
    </row>
    <row r="58" spans="1:4" x14ac:dyDescent="0.3">
      <c r="A58" s="11"/>
      <c r="B58" s="11"/>
      <c r="C58" s="13"/>
      <c r="D58" s="15"/>
    </row>
    <row r="59" spans="1:4" x14ac:dyDescent="0.3">
      <c r="A59" s="11"/>
      <c r="B59" s="11"/>
      <c r="C59" s="13"/>
      <c r="D59" s="15"/>
    </row>
    <row r="60" spans="1:4" x14ac:dyDescent="0.3">
      <c r="A60" s="11"/>
      <c r="B60" s="11"/>
      <c r="C60" s="13"/>
      <c r="D60" s="15"/>
    </row>
    <row r="61" spans="1:4" x14ac:dyDescent="0.3">
      <c r="A61" s="11"/>
      <c r="B61" s="11"/>
      <c r="C61" s="13"/>
      <c r="D61" s="15"/>
    </row>
    <row r="62" spans="1:4" x14ac:dyDescent="0.3">
      <c r="A62" s="11"/>
      <c r="B62" s="11"/>
      <c r="C62" s="13"/>
      <c r="D62" s="15"/>
    </row>
    <row r="63" spans="1:4" x14ac:dyDescent="0.3">
      <c r="A63" s="11"/>
      <c r="B63" s="11"/>
      <c r="C63" s="13"/>
      <c r="D63" s="15"/>
    </row>
    <row r="64" spans="1:4" x14ac:dyDescent="0.3">
      <c r="A64" s="11"/>
      <c r="B64" s="11"/>
      <c r="C64" s="13"/>
      <c r="D64" s="15"/>
    </row>
    <row r="65" spans="1:4" x14ac:dyDescent="0.3">
      <c r="A65" s="11"/>
      <c r="B65" s="11"/>
      <c r="C65" s="13"/>
      <c r="D65" s="15"/>
    </row>
    <row r="66" spans="1:4" x14ac:dyDescent="0.3">
      <c r="A66" s="11"/>
      <c r="B66" s="11"/>
      <c r="C66" s="13"/>
      <c r="D66" s="15"/>
    </row>
    <row r="67" spans="1:4" x14ac:dyDescent="0.3">
      <c r="A67" s="11"/>
      <c r="B67" s="11"/>
      <c r="C67" s="13"/>
      <c r="D67" s="15"/>
    </row>
    <row r="68" spans="1:4" x14ac:dyDescent="0.3">
      <c r="A68" s="11"/>
      <c r="B68" s="11"/>
      <c r="C68" s="13"/>
      <c r="D68" s="15"/>
    </row>
    <row r="69" spans="1:4" x14ac:dyDescent="0.3">
      <c r="A69" s="11"/>
      <c r="B69" s="11"/>
      <c r="C69" s="13"/>
      <c r="D69" s="15"/>
    </row>
    <row r="70" spans="1:4" x14ac:dyDescent="0.3">
      <c r="A70" s="11"/>
      <c r="B70" s="11"/>
      <c r="C70" s="13"/>
      <c r="D70" s="15"/>
    </row>
    <row r="71" spans="1:4" x14ac:dyDescent="0.3">
      <c r="A71" s="11"/>
      <c r="B71" s="11"/>
      <c r="C71" s="13"/>
      <c r="D71" s="15"/>
    </row>
    <row r="72" spans="1:4" x14ac:dyDescent="0.3">
      <c r="A72" s="11"/>
      <c r="B72" s="11"/>
      <c r="C72" s="13"/>
      <c r="D72" s="15"/>
    </row>
    <row r="73" spans="1:4" x14ac:dyDescent="0.3">
      <c r="A73" s="11"/>
      <c r="B73" s="11"/>
      <c r="C73" s="13"/>
      <c r="D73" s="15"/>
    </row>
    <row r="74" spans="1:4" x14ac:dyDescent="0.3">
      <c r="A74" s="11"/>
      <c r="B74" s="11"/>
      <c r="C74" s="13"/>
      <c r="D74" s="15"/>
    </row>
    <row r="75" spans="1:4" x14ac:dyDescent="0.3">
      <c r="A75" s="11"/>
      <c r="B75" s="11"/>
      <c r="C75" s="13"/>
      <c r="D75" s="15"/>
    </row>
    <row r="76" spans="1:4" x14ac:dyDescent="0.3">
      <c r="A76" s="11"/>
      <c r="B76" s="11"/>
      <c r="C76" s="13"/>
      <c r="D76" s="15"/>
    </row>
    <row r="77" spans="1:4" x14ac:dyDescent="0.3">
      <c r="A77" s="11"/>
      <c r="B77" s="11"/>
      <c r="C77" s="13"/>
      <c r="D77" s="15"/>
    </row>
    <row r="78" spans="1:4" x14ac:dyDescent="0.3">
      <c r="A78" s="11"/>
      <c r="B78" s="11"/>
      <c r="C78" s="13"/>
      <c r="D78" s="15"/>
    </row>
    <row r="79" spans="1:4" x14ac:dyDescent="0.3">
      <c r="A79" s="11"/>
      <c r="B79" s="11"/>
      <c r="C79" s="13"/>
      <c r="D79" s="15"/>
    </row>
    <row r="80" spans="1:4" x14ac:dyDescent="0.3">
      <c r="A80" s="11"/>
      <c r="B80" s="11"/>
      <c r="C80" s="13"/>
      <c r="D80" s="15"/>
    </row>
    <row r="81" spans="1:4" x14ac:dyDescent="0.3">
      <c r="A81" s="11"/>
      <c r="B81" s="11"/>
      <c r="C81" s="13"/>
      <c r="D81" s="15"/>
    </row>
    <row r="82" spans="1:4" x14ac:dyDescent="0.3">
      <c r="A82" s="11"/>
      <c r="B82" s="11"/>
      <c r="C82" s="13"/>
      <c r="D82" s="15"/>
    </row>
    <row r="83" spans="1:4" x14ac:dyDescent="0.3">
      <c r="A83" s="11"/>
      <c r="B83" s="11"/>
      <c r="C83" s="13"/>
      <c r="D83" s="15"/>
    </row>
    <row r="84" spans="1:4" x14ac:dyDescent="0.3">
      <c r="A84" s="11"/>
      <c r="B84" s="11"/>
      <c r="C84" s="13"/>
      <c r="D84" s="15"/>
    </row>
    <row r="85" spans="1:4" x14ac:dyDescent="0.3">
      <c r="A85" s="11"/>
      <c r="B85" s="11"/>
      <c r="C85" s="13"/>
      <c r="D85" s="15"/>
    </row>
    <row r="86" spans="1:4" x14ac:dyDescent="0.3">
      <c r="A86" s="11"/>
      <c r="B86" s="11"/>
      <c r="C86" s="13"/>
      <c r="D86" s="15"/>
    </row>
    <row r="87" spans="1:4" x14ac:dyDescent="0.3">
      <c r="A87" s="11"/>
      <c r="B87" s="11"/>
      <c r="C87" s="13"/>
      <c r="D87" s="15"/>
    </row>
    <row r="88" spans="1:4" x14ac:dyDescent="0.3">
      <c r="A88" s="11"/>
      <c r="B88" s="11"/>
      <c r="C88" s="13"/>
      <c r="D88" s="15"/>
    </row>
    <row r="89" spans="1:4" x14ac:dyDescent="0.3">
      <c r="A89" s="11"/>
      <c r="B89" s="11"/>
      <c r="C89" s="13"/>
      <c r="D89" s="15"/>
    </row>
    <row r="90" spans="1:4" x14ac:dyDescent="0.3">
      <c r="A90" s="11"/>
      <c r="B90" s="11"/>
      <c r="C90" s="13"/>
      <c r="D90" s="15"/>
    </row>
  </sheetData>
  <mergeCells count="1">
    <mergeCell ref="A1:G1"/>
  </mergeCells>
  <dataValidations count="2">
    <dataValidation type="list" allowBlank="1" sqref="C18:C42" xr:uid="{00000000-0002-0000-0100-000000000000}">
      <formula1>"Chính,Vượt trội"</formula1>
    </dataValidation>
    <dataValidation type="list" allowBlank="1" sqref="C46:C90" xr:uid="{00000000-0002-0000-0100-000001000000}">
      <formula1>"1,2,3,4"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4.4" x14ac:dyDescent="0.3"/>
  <cols>
    <col min="1" max="1" width="22" customWidth="1"/>
    <col min="2" max="7" width="16" customWidth="1"/>
  </cols>
  <sheetData>
    <row r="1" spans="1:7" x14ac:dyDescent="0.3">
      <c r="A1" s="48" t="s">
        <v>51</v>
      </c>
      <c r="B1" s="49"/>
      <c r="C1" s="49"/>
      <c r="D1" s="49"/>
      <c r="E1" s="49"/>
      <c r="F1" s="49"/>
      <c r="G1" s="50"/>
    </row>
    <row r="3" spans="1:7" ht="30" customHeight="1" x14ac:dyDescent="0.3">
      <c r="A3" s="16" t="s">
        <v>11</v>
      </c>
      <c r="B3" s="16" t="s">
        <v>52</v>
      </c>
      <c r="C3" s="16" t="s">
        <v>53</v>
      </c>
      <c r="D3" s="16" t="s">
        <v>54</v>
      </c>
      <c r="E3" s="16" t="s">
        <v>55</v>
      </c>
      <c r="F3" s="16" t="s">
        <v>56</v>
      </c>
      <c r="G3" s="16" t="s">
        <v>57</v>
      </c>
    </row>
    <row r="4" spans="1:7" x14ac:dyDescent="0.3">
      <c r="A4" s="5" t="str">
        <f>IF('Khai báo'!B12="","",'Khai báo'!B12)</f>
        <v/>
      </c>
      <c r="B4" s="14"/>
      <c r="C4" s="14"/>
      <c r="D4" s="9"/>
      <c r="E4" s="14"/>
      <c r="F4" s="14"/>
      <c r="G4" s="9"/>
    </row>
    <row r="5" spans="1:7" x14ac:dyDescent="0.3">
      <c r="A5" s="5" t="str">
        <f>IF('Khai báo'!B13="","",'Khai báo'!B13)</f>
        <v/>
      </c>
      <c r="B5" s="14"/>
      <c r="C5" s="14"/>
      <c r="D5" s="9"/>
      <c r="E5" s="14"/>
      <c r="F5" s="14"/>
      <c r="G5" s="9"/>
    </row>
    <row r="6" spans="1:7" x14ac:dyDescent="0.3">
      <c r="A6" s="5" t="str">
        <f>IF('Khai báo'!B14="","",'Khai báo'!B14)</f>
        <v/>
      </c>
      <c r="B6" s="14"/>
      <c r="C6" s="14"/>
      <c r="D6" s="9"/>
      <c r="E6" s="14"/>
      <c r="F6" s="14"/>
      <c r="G6" s="9"/>
    </row>
    <row r="7" spans="1:7" x14ac:dyDescent="0.3">
      <c r="A7" s="5" t="str">
        <f>IF('Khai báo'!B15="","",'Khai báo'!B15)</f>
        <v/>
      </c>
      <c r="B7" s="14"/>
      <c r="C7" s="14"/>
      <c r="D7" s="9"/>
      <c r="E7" s="14"/>
      <c r="F7" s="14"/>
      <c r="G7" s="9"/>
    </row>
    <row r="9" spans="1:7" x14ac:dyDescent="0.3">
      <c r="A9" s="8" t="s">
        <v>58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D82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0" customWidth="1"/>
    <col min="2" max="2" width="9" customWidth="1"/>
    <col min="3" max="4" width="11" customWidth="1"/>
    <col min="5" max="5" width="9" customWidth="1"/>
    <col min="6" max="6" width="2.44140625" customWidth="1"/>
    <col min="7" max="7" width="20" customWidth="1"/>
    <col min="8" max="8" width="11" customWidth="1"/>
    <col min="9" max="9" width="12" customWidth="1"/>
    <col min="10" max="11" width="10" customWidth="1"/>
    <col min="12" max="12" width="11" customWidth="1"/>
    <col min="49" max="65" width="13" hidden="1" customWidth="1"/>
    <col min="79" max="82" width="13" hidden="1" customWidth="1"/>
  </cols>
  <sheetData>
    <row r="1" spans="1:82" ht="17.399999999999999" x14ac:dyDescent="0.3">
      <c r="A1" s="74" t="str">
        <f ca="1">"BÁO CÁO REALTIME — "&amp;'Khai báo'!B3&amp;" · "&amp;TEXT(TODAY(),"dd/mm/yyyy")</f>
        <v>BÁO CÁO REALTIME —  · 26/10/2026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AZ1">
        <f>IF(OR($B$2="",$B$2="Tổng cụm",$B$2="—"),0,IFERROR(MATCH($B$2,Tính!$B$31:$B$34,0),0))</f>
        <v>0</v>
      </c>
      <c r="BK1">
        <f>COUNTIF($BB$3:$BB$22,"Chính")</f>
        <v>0</v>
      </c>
      <c r="BL1">
        <f>COUNTIF($BB$3:$BB$22,"Vượt trội")</f>
        <v>0</v>
      </c>
      <c r="BM1">
        <f>$BK$1+$BL$1+($BK$1&gt;0)+($BL$1&gt;0)</f>
        <v>0</v>
      </c>
    </row>
    <row r="2" spans="1:82" ht="15.6" x14ac:dyDescent="0.3">
      <c r="A2" s="17" t="s">
        <v>59</v>
      </c>
      <c r="B2" s="75" t="s">
        <v>60</v>
      </c>
      <c r="C2" s="49"/>
      <c r="D2" s="50"/>
      <c r="F2" s="65" t="s">
        <v>61</v>
      </c>
      <c r="G2" s="52"/>
      <c r="H2" s="52"/>
      <c r="I2" s="52"/>
      <c r="J2" s="52"/>
      <c r="K2" s="52"/>
      <c r="L2" s="52"/>
      <c r="BA2" t="s">
        <v>62</v>
      </c>
      <c r="BJ2" t="s">
        <v>63</v>
      </c>
    </row>
    <row r="3" spans="1:82" x14ac:dyDescent="0.3">
      <c r="BA3" t="str">
        <f>Tính!B3</f>
        <v/>
      </c>
      <c r="BB3" t="str">
        <f>Tính!D3</f>
        <v/>
      </c>
      <c r="BC3">
        <f>IF($AZ$1=0,Tính!$Z$3,CHOOSE($AZ$1,Tính!$G$3,Tính!$L$3,Tính!$Q$3,Tính!$V$3))</f>
        <v>0</v>
      </c>
      <c r="BD3">
        <f>IF($AZ$1=0,Tính!$Y$3,CHOOSE($AZ$1,Tính!$E$3,Tính!$J$3,Tính!$O$3,Tính!$T$3))</f>
        <v>0</v>
      </c>
      <c r="BE3">
        <f>IF($AZ$1=0,Tính!$AB$3,CHOOSE($AZ$1,Tính!$I$3,Tính!$N$3,Tính!$S$3,Tính!$X$3))</f>
        <v>0</v>
      </c>
      <c r="BF3">
        <f>IF($AZ$1=0,Tính!$AA$3,CHOOSE($AZ$1,Tính!$H$3,Tính!$M$3,Tính!$R$3,Tính!$W$3))</f>
        <v>0</v>
      </c>
      <c r="BG3">
        <f t="shared" ref="BG3:BG22" si="0">IF(BC3&gt;0,BD3/NgayQua*SoNgay/BC3,IF(BD3&gt;0,1,0))</f>
        <v>0</v>
      </c>
      <c r="BH3">
        <f t="shared" ref="BH3:BH22" si="1">IF(CoRTNhom=1,IF(BC3&gt;0,(BD3+BF3)/(NgayQua+1)*SoNgay/BC3,IF(BD3+BF3&gt;0,1,0)),BG3)</f>
        <v>0</v>
      </c>
      <c r="BI3">
        <f>IF(BA3="",-1,IF(BB3="Chính",1000,0)+BH3+(20-1)/100000)</f>
        <v>-1</v>
      </c>
      <c r="BJ3" t="str">
        <f>IF(LARGE($BI$3:$BI$22,1)&lt;0,"",MATCH(LARGE($BI$3:$BI$22,1),$BI$3:$BI$22,0))</f>
        <v/>
      </c>
      <c r="BK3" t="str">
        <f>IF(1=1,IF($BK$1&gt;0,"C",""),IF(1&lt;=$BK$1+1,"g",IF(1=$BK$1+2,IF($BL$1&gt;0,"V",""),IF(1&lt;=$BK$1+2+$BL$1,"g",""))))</f>
        <v/>
      </c>
      <c r="BL3" t="str">
        <f>IF(BK3="g",IF(1&lt;=$BK$1+1,1-1,1-2),"")</f>
        <v/>
      </c>
      <c r="CA3">
        <v>1</v>
      </c>
      <c r="CB3">
        <f>IF(Tính!B39="",0,IF(OR($AZ$1=0,Tính!D39=$AZ$1),1,0))</f>
        <v>0</v>
      </c>
      <c r="CC3">
        <f>IF(CB3=1,Tính!L39*1000+Tính!M39+1+(45-1)/1000000,-1)</f>
        <v>-1</v>
      </c>
      <c r="CD3" t="str">
        <f>IF(LARGE($CC$3:$CC$47,1)&lt;0,"",MATCH(LARGE($CC$3:$CC$47,1),$CC$3:$CC$47,0))</f>
        <v/>
      </c>
    </row>
    <row r="4" spans="1:82" x14ac:dyDescent="0.3">
      <c r="A4" s="68" t="s">
        <v>64</v>
      </c>
      <c r="B4" s="50"/>
      <c r="C4" s="69" t="s">
        <v>65</v>
      </c>
      <c r="D4" s="49"/>
      <c r="E4" s="50"/>
      <c r="G4" s="57" t="s">
        <v>66</v>
      </c>
      <c r="H4" s="50"/>
      <c r="I4" s="56">
        <f>INDEX(Tính!$D$31:$D$35,IF($AZ$1=0,5,$AZ$1))</f>
        <v>0</v>
      </c>
      <c r="J4" s="49"/>
      <c r="K4" s="49"/>
      <c r="L4" s="50"/>
      <c r="BA4" t="str">
        <f>Tính!B4</f>
        <v/>
      </c>
      <c r="BB4" t="str">
        <f>Tính!D4</f>
        <v/>
      </c>
      <c r="BC4">
        <f>IF($AZ$1=0,Tính!$Z$4,CHOOSE($AZ$1,Tính!$G$4,Tính!$L$4,Tính!$Q$4,Tính!$V$4))</f>
        <v>0</v>
      </c>
      <c r="BD4">
        <f>IF($AZ$1=0,Tính!$Y$4,CHOOSE($AZ$1,Tính!$E$4,Tính!$J$4,Tính!$O$4,Tính!$T$4))</f>
        <v>0</v>
      </c>
      <c r="BE4">
        <f>IF($AZ$1=0,Tính!$AB$4,CHOOSE($AZ$1,Tính!$I$4,Tính!$N$4,Tính!$S$4,Tính!$X$4))</f>
        <v>0</v>
      </c>
      <c r="BF4">
        <f>IF($AZ$1=0,Tính!$AA$4,CHOOSE($AZ$1,Tính!$H$4,Tính!$M$4,Tính!$R$4,Tính!$W$4))</f>
        <v>0</v>
      </c>
      <c r="BG4">
        <f t="shared" si="0"/>
        <v>0</v>
      </c>
      <c r="BH4">
        <f t="shared" si="1"/>
        <v>0</v>
      </c>
      <c r="BI4">
        <f>IF(BA4="",-1,IF(BB4="Chính",1000,0)+BH4+(20-2)/100000)</f>
        <v>-1</v>
      </c>
      <c r="BJ4" t="str">
        <f>IF(LARGE($BI$3:$BI$22,2)&lt;0,"",MATCH(LARGE($BI$3:$BI$22,2),$BI$3:$BI$22,0))</f>
        <v/>
      </c>
      <c r="BK4" t="str">
        <f>IF(2=1,IF($BK$1&gt;0,"C",""),IF(2&lt;=$BK$1+1,"g",IF(2=$BK$1+2,IF($BL$1&gt;0,"V",""),IF(2&lt;=$BK$1+2+$BL$1,"g",""))))</f>
        <v/>
      </c>
      <c r="BL4" t="str">
        <f>IF(BK4="g",IF(2&lt;=$BK$1+1,2-1,2-2),"")</f>
        <v/>
      </c>
      <c r="CA4">
        <v>2</v>
      </c>
      <c r="CB4">
        <f>IF(Tính!B40="",0,IF(OR($AZ$1=0,Tính!D40=$AZ$1),1,0))</f>
        <v>0</v>
      </c>
      <c r="CC4">
        <f>IF(CB4=1,Tính!L40*1000+Tính!M40+1+(45-2)/1000000,-1)</f>
        <v>-1</v>
      </c>
      <c r="CD4" t="str">
        <f>IF(LARGE($CC$3:$CC$47,2)&lt;0,"",MATCH(LARGE($CC$3:$CC$47,2),$CC$3:$CC$47,0))</f>
        <v/>
      </c>
    </row>
    <row r="5" spans="1:82" x14ac:dyDescent="0.3">
      <c r="A5" s="67">
        <f ca="1">INDEX(Tính!$E$31:$E$35,IF($AZ$1=0,5,$AZ$1))</f>
        <v>0</v>
      </c>
      <c r="B5" s="50"/>
      <c r="C5" s="73">
        <f>INDEX(Tính!$I$31:$I$35,IF($AZ$1=0,5,$AZ$1))</f>
        <v>0</v>
      </c>
      <c r="D5" s="49"/>
      <c r="E5" s="50"/>
      <c r="G5" s="72" t="s">
        <v>67</v>
      </c>
      <c r="H5" s="50"/>
      <c r="I5" s="76">
        <f>INDEX(Tính!$F$31:$F$35,IF($AZ$1=0,5,$AZ$1))</f>
        <v>0</v>
      </c>
      <c r="J5" s="49"/>
      <c r="K5" s="49"/>
      <c r="L5" s="50"/>
      <c r="BA5" t="str">
        <f>Tính!B5</f>
        <v/>
      </c>
      <c r="BB5" t="str">
        <f>Tính!D5</f>
        <v/>
      </c>
      <c r="BC5">
        <f>IF($AZ$1=0,Tính!$Z$5,CHOOSE($AZ$1,Tính!$G$5,Tính!$L$5,Tính!$Q$5,Tính!$V$5))</f>
        <v>0</v>
      </c>
      <c r="BD5">
        <f>IF($AZ$1=0,Tính!$Y$5,CHOOSE($AZ$1,Tính!$E$5,Tính!$J$5,Tính!$O$5,Tính!$T$5))</f>
        <v>0</v>
      </c>
      <c r="BE5">
        <f>IF($AZ$1=0,Tính!$AB$5,CHOOSE($AZ$1,Tính!$I$5,Tính!$N$5,Tính!$S$5,Tính!$X$5))</f>
        <v>0</v>
      </c>
      <c r="BF5">
        <f>IF($AZ$1=0,Tính!$AA$5,CHOOSE($AZ$1,Tính!$H$5,Tính!$M$5,Tính!$R$5,Tính!$W$5))</f>
        <v>0</v>
      </c>
      <c r="BG5">
        <f t="shared" si="0"/>
        <v>0</v>
      </c>
      <c r="BH5">
        <f t="shared" si="1"/>
        <v>0</v>
      </c>
      <c r="BI5">
        <f>IF(BA5="",-1,IF(BB5="Chính",1000,0)+BH5+(20-3)/100000)</f>
        <v>-1</v>
      </c>
      <c r="BJ5" t="str">
        <f>IF(LARGE($BI$3:$BI$22,3)&lt;0,"",MATCH(LARGE($BI$3:$BI$22,3),$BI$3:$BI$22,0))</f>
        <v/>
      </c>
      <c r="BK5" t="str">
        <f>IF(3=1,IF($BK$1&gt;0,"C",""),IF(3&lt;=$BK$1+1,"g",IF(3=$BK$1+2,IF($BL$1&gt;0,"V",""),IF(3&lt;=$BK$1+2+$BL$1,"g",""))))</f>
        <v/>
      </c>
      <c r="BL5" t="str">
        <f>IF(BK5="g",IF(3&lt;=$BK$1+1,3-1,3-2),"")</f>
        <v/>
      </c>
      <c r="CA5">
        <v>3</v>
      </c>
      <c r="CB5">
        <f>IF(Tính!B41="",0,IF(OR($AZ$1=0,Tính!D41=$AZ$1),1,0))</f>
        <v>0</v>
      </c>
      <c r="CC5">
        <f>IF(CB5=1,Tính!L41*1000+Tính!M41+1+(45-3)/1000000,-1)</f>
        <v>-1</v>
      </c>
      <c r="CD5" t="str">
        <f>IF(LARGE($CC$3:$CC$47,3)&lt;0,"",MATCH(LARGE($CC$3:$CC$47,3),$CC$3:$CC$47,0))</f>
        <v/>
      </c>
    </row>
    <row r="6" spans="1:82" x14ac:dyDescent="0.3">
      <c r="A6" s="18" t="s">
        <v>68</v>
      </c>
      <c r="B6" s="19">
        <f ca="1">IF(A5&gt;0,C5/A5,0)</f>
        <v>0</v>
      </c>
      <c r="C6" s="53" t="s">
        <v>69</v>
      </c>
      <c r="D6" s="50"/>
      <c r="E6" s="19">
        <f>IFERROR(C5/INDEX(Tính!$J$31:$J$35,IF($AZ$1=0,5,$AZ$1)),0)</f>
        <v>0</v>
      </c>
      <c r="G6" s="71" t="s">
        <v>68</v>
      </c>
      <c r="H6" s="50"/>
      <c r="I6" s="59">
        <f>IF(I4&gt;0,I5/I4,0)</f>
        <v>0</v>
      </c>
      <c r="J6" s="50"/>
      <c r="K6" s="22" t="s">
        <v>70</v>
      </c>
      <c r="L6" s="23">
        <f>MAX(0,I4-I5)</f>
        <v>0</v>
      </c>
      <c r="BA6" t="str">
        <f>Tính!B6</f>
        <v/>
      </c>
      <c r="BB6" t="str">
        <f>Tính!D6</f>
        <v/>
      </c>
      <c r="BC6">
        <f>IF($AZ$1=0,Tính!$Z$6,CHOOSE($AZ$1,Tính!$G$6,Tính!$L$6,Tính!$Q$6,Tính!$V$6))</f>
        <v>0</v>
      </c>
      <c r="BD6">
        <f>IF($AZ$1=0,Tính!$Y$6,CHOOSE($AZ$1,Tính!$E$6,Tính!$J$6,Tính!$O$6,Tính!$T$6))</f>
        <v>0</v>
      </c>
      <c r="BE6">
        <f>IF($AZ$1=0,Tính!$AB$6,CHOOSE($AZ$1,Tính!$I$6,Tính!$N$6,Tính!$S$6,Tính!$X$6))</f>
        <v>0</v>
      </c>
      <c r="BF6">
        <f>IF($AZ$1=0,Tính!$AA$6,CHOOSE($AZ$1,Tính!$H$6,Tính!$M$6,Tính!$R$6,Tính!$W$6))</f>
        <v>0</v>
      </c>
      <c r="BG6">
        <f t="shared" si="0"/>
        <v>0</v>
      </c>
      <c r="BH6">
        <f t="shared" si="1"/>
        <v>0</v>
      </c>
      <c r="BI6">
        <f>IF(BA6="",-1,IF(BB6="Chính",1000,0)+BH6+(20-4)/100000)</f>
        <v>-1</v>
      </c>
      <c r="BJ6" t="str">
        <f>IF(LARGE($BI$3:$BI$22,4)&lt;0,"",MATCH(LARGE($BI$3:$BI$22,4),$BI$3:$BI$22,0))</f>
        <v/>
      </c>
      <c r="BK6" t="str">
        <f>IF(4=1,IF($BK$1&gt;0,"C",""),IF(4&lt;=$BK$1+1,"g",IF(4=$BK$1+2,IF($BL$1&gt;0,"V",""),IF(4&lt;=$BK$1+2+$BL$1,"g",""))))</f>
        <v/>
      </c>
      <c r="BL6" t="str">
        <f>IF(BK6="g",IF(4&lt;=$BK$1+1,4-1,4-2),"")</f>
        <v/>
      </c>
      <c r="CA6">
        <v>4</v>
      </c>
      <c r="CB6">
        <f>IF(Tính!B42="",0,IF(OR($AZ$1=0,Tính!D42=$AZ$1),1,0))</f>
        <v>0</v>
      </c>
      <c r="CC6">
        <f>IF(CB6=1,Tính!L42*1000+Tính!M42+1+(45-4)/1000000,-1)</f>
        <v>-1</v>
      </c>
      <c r="CD6" t="str">
        <f>IF(LARGE($CC$3:$CC$47,4)&lt;0,"",MATCH(LARGE($CC$3:$CC$47,4),$CC$3:$CC$47,0))</f>
        <v/>
      </c>
    </row>
    <row r="7" spans="1:82" x14ac:dyDescent="0.3">
      <c r="A7" s="57" t="s">
        <v>7</v>
      </c>
      <c r="B7" s="50"/>
      <c r="C7" s="58">
        <f>MucTieuTC</f>
        <v>0.3</v>
      </c>
      <c r="D7" s="49"/>
      <c r="E7" s="50"/>
      <c r="G7" s="62" t="s">
        <v>71</v>
      </c>
      <c r="H7" s="50"/>
      <c r="I7" s="59">
        <f>IF(I4&gt;0,IF(CoRT=1,(I5+C5)/(NgayQua+1)*SoNgay/I4,I5/NgayQua*SoNgay/I4),0)</f>
        <v>0</v>
      </c>
      <c r="J7" s="49"/>
      <c r="K7" s="49"/>
      <c r="L7" s="50"/>
      <c r="BA7" t="str">
        <f>Tính!B7</f>
        <v/>
      </c>
      <c r="BB7" t="str">
        <f>Tính!D7</f>
        <v/>
      </c>
      <c r="BC7">
        <f>IF($AZ$1=0,Tính!$Z$7,CHOOSE($AZ$1,Tính!$G$7,Tính!$L$7,Tính!$Q$7,Tính!$V$7))</f>
        <v>0</v>
      </c>
      <c r="BD7">
        <f>IF($AZ$1=0,Tính!$Y$7,CHOOSE($AZ$1,Tính!$E$7,Tính!$J$7,Tính!$O$7,Tính!$T$7))</f>
        <v>0</v>
      </c>
      <c r="BE7">
        <f>IF($AZ$1=0,Tính!$AB$7,CHOOSE($AZ$1,Tính!$I$7,Tính!$N$7,Tính!$S$7,Tính!$X$7))</f>
        <v>0</v>
      </c>
      <c r="BF7">
        <f>IF($AZ$1=0,Tính!$AA$7,CHOOSE($AZ$1,Tính!$H$7,Tính!$M$7,Tính!$R$7,Tính!$W$7))</f>
        <v>0</v>
      </c>
      <c r="BG7">
        <f t="shared" si="0"/>
        <v>0</v>
      </c>
      <c r="BH7">
        <f t="shared" si="1"/>
        <v>0</v>
      </c>
      <c r="BI7">
        <f>IF(BA7="",-1,IF(BB7="Chính",1000,0)+BH7+(20-5)/100000)</f>
        <v>-1</v>
      </c>
      <c r="BJ7" t="str">
        <f>IF(LARGE($BI$3:$BI$22,5)&lt;0,"",MATCH(LARGE($BI$3:$BI$22,5),$BI$3:$BI$22,0))</f>
        <v/>
      </c>
      <c r="BK7" t="str">
        <f>IF(5=1,IF($BK$1&gt;0,"C",""),IF(5&lt;=$BK$1+1,"g",IF(5=$BK$1+2,IF($BL$1&gt;0,"V",""),IF(5&lt;=$BK$1+2+$BL$1,"g",""))))</f>
        <v/>
      </c>
      <c r="BL7" t="str">
        <f>IF(BK7="g",IF(5&lt;=$BK$1+1,5-1,5-2),"")</f>
        <v/>
      </c>
      <c r="CA7">
        <v>5</v>
      </c>
      <c r="CB7">
        <f>IF(Tính!B43="",0,IF(OR($AZ$1=0,Tính!D43=$AZ$1),1,0))</f>
        <v>0</v>
      </c>
      <c r="CC7">
        <f>IF(CB7=1,Tính!L43*1000+Tính!M43+1+(45-5)/1000000,-1)</f>
        <v>-1</v>
      </c>
      <c r="CD7" t="str">
        <f>IF(LARGE($CC$3:$CC$47,5)&lt;0,"",MATCH(LARGE($CC$3:$CC$47,5),$CC$3:$CC$47,0))</f>
        <v/>
      </c>
    </row>
    <row r="8" spans="1:82" x14ac:dyDescent="0.3">
      <c r="A8" s="57" t="s">
        <v>72</v>
      </c>
      <c r="B8" s="50"/>
      <c r="C8" s="63">
        <f>INDEX(Tính!$K$31:$K$35,IF($AZ$1=0,5,$AZ$1))</f>
        <v>0</v>
      </c>
      <c r="D8" s="49"/>
      <c r="E8" s="50"/>
      <c r="G8" s="70" t="s">
        <v>73</v>
      </c>
      <c r="H8" s="50"/>
      <c r="I8" s="63">
        <f>INDEX(Tính!$H$31:$H$35,IF($AZ$1=0,5,$AZ$1))</f>
        <v>0</v>
      </c>
      <c r="J8" s="50"/>
      <c r="K8" s="20" t="s">
        <v>74</v>
      </c>
      <c r="L8" s="21">
        <f>IFERROR(I5/INDEX(Tính!$G$31:$G$35,IF($AZ$1=0,5,$AZ$1)),0)</f>
        <v>0</v>
      </c>
      <c r="BA8" t="str">
        <f>Tính!B8</f>
        <v/>
      </c>
      <c r="BB8" t="str">
        <f>Tính!D8</f>
        <v/>
      </c>
      <c r="BC8">
        <f>IF($AZ$1=0,Tính!$Z$8,CHOOSE($AZ$1,Tính!$G$8,Tính!$L$8,Tính!$Q$8,Tính!$V$8))</f>
        <v>0</v>
      </c>
      <c r="BD8">
        <f>IF($AZ$1=0,Tính!$Y$8,CHOOSE($AZ$1,Tính!$E$8,Tính!$J$8,Tính!$O$8,Tính!$T$8))</f>
        <v>0</v>
      </c>
      <c r="BE8">
        <f>IF($AZ$1=0,Tính!$AB$8,CHOOSE($AZ$1,Tính!$I$8,Tính!$N$8,Tính!$S$8,Tính!$X$8))</f>
        <v>0</v>
      </c>
      <c r="BF8">
        <f>IF($AZ$1=0,Tính!$AA$8,CHOOSE($AZ$1,Tính!$H$8,Tính!$M$8,Tính!$R$8,Tính!$W$8))</f>
        <v>0</v>
      </c>
      <c r="BG8">
        <f t="shared" si="0"/>
        <v>0</v>
      </c>
      <c r="BH8">
        <f t="shared" si="1"/>
        <v>0</v>
      </c>
      <c r="BI8">
        <f>IF(BA8="",-1,IF(BB8="Chính",1000,0)+BH8+(20-6)/100000)</f>
        <v>-1</v>
      </c>
      <c r="BJ8" t="str">
        <f>IF(LARGE($BI$3:$BI$22,6)&lt;0,"",MATCH(LARGE($BI$3:$BI$22,6),$BI$3:$BI$22,0))</f>
        <v/>
      </c>
      <c r="BK8" t="str">
        <f>IF(6=1,IF($BK$1&gt;0,"C",""),IF(6&lt;=$BK$1+1,"g",IF(6=$BK$1+2,IF($BL$1&gt;0,"V",""),IF(6&lt;=$BK$1+2+$BL$1,"g",""))))</f>
        <v/>
      </c>
      <c r="BL8" t="str">
        <f>IF(BK8="g",IF(6&lt;=$BK$1+1,6-1,6-2),"")</f>
        <v/>
      </c>
      <c r="CA8">
        <v>6</v>
      </c>
      <c r="CB8">
        <f>IF(Tính!B44="",0,IF(OR($AZ$1=0,Tính!D44=$AZ$1),1,0))</f>
        <v>0</v>
      </c>
      <c r="CC8">
        <f>IF(CB8=1,Tính!L44*1000+Tính!M44+1+(45-6)/1000000,-1)</f>
        <v>-1</v>
      </c>
      <c r="CD8" t="str">
        <f>IF(LARGE($CC$3:$CC$47,6)&lt;0,"",MATCH(LARGE($CC$3:$CC$47,6),$CC$3:$CC$47,0))</f>
        <v/>
      </c>
    </row>
    <row r="9" spans="1:82" x14ac:dyDescent="0.3">
      <c r="BA9" t="str">
        <f>Tính!B9</f>
        <v/>
      </c>
      <c r="BB9" t="str">
        <f>Tính!D9</f>
        <v/>
      </c>
      <c r="BC9">
        <f>IF($AZ$1=0,Tính!$Z$9,CHOOSE($AZ$1,Tính!$G$9,Tính!$L$9,Tính!$Q$9,Tính!$V$9))</f>
        <v>0</v>
      </c>
      <c r="BD9">
        <f>IF($AZ$1=0,Tính!$Y$9,CHOOSE($AZ$1,Tính!$E$9,Tính!$J$9,Tính!$O$9,Tính!$T$9))</f>
        <v>0</v>
      </c>
      <c r="BE9">
        <f>IF($AZ$1=0,Tính!$AB$9,CHOOSE($AZ$1,Tính!$I$9,Tính!$N$9,Tính!$S$9,Tính!$X$9))</f>
        <v>0</v>
      </c>
      <c r="BF9">
        <f>IF($AZ$1=0,Tính!$AA$9,CHOOSE($AZ$1,Tính!$H$9,Tính!$M$9,Tính!$R$9,Tính!$W$9))</f>
        <v>0</v>
      </c>
      <c r="BG9">
        <f t="shared" si="0"/>
        <v>0</v>
      </c>
      <c r="BH9">
        <f t="shared" si="1"/>
        <v>0</v>
      </c>
      <c r="BI9">
        <f>IF(BA9="",-1,IF(BB9="Chính",1000,0)+BH9+(20-7)/100000)</f>
        <v>-1</v>
      </c>
      <c r="BJ9" t="str">
        <f>IF(LARGE($BI$3:$BI$22,7)&lt;0,"",MATCH(LARGE($BI$3:$BI$22,7),$BI$3:$BI$22,0))</f>
        <v/>
      </c>
      <c r="BK9" t="str">
        <f>IF(7=1,IF($BK$1&gt;0,"C",""),IF(7&lt;=$BK$1+1,"g",IF(7=$BK$1+2,IF($BL$1&gt;0,"V",""),IF(7&lt;=$BK$1+2+$BL$1,"g",""))))</f>
        <v/>
      </c>
      <c r="BL9" t="str">
        <f>IF(BK9="g",IF(7&lt;=$BK$1+1,7-1,7-2),"")</f>
        <v/>
      </c>
      <c r="CA9">
        <v>7</v>
      </c>
      <c r="CB9">
        <f>IF(Tính!B45="",0,IF(OR($AZ$1=0,Tính!D45=$AZ$1),1,0))</f>
        <v>0</v>
      </c>
      <c r="CC9">
        <f>IF(CB9=1,Tính!L45*1000+Tính!M45+1+(45-7)/1000000,-1)</f>
        <v>-1</v>
      </c>
      <c r="CD9" t="str">
        <f>IF(LARGE($CC$3:$CC$47,7)&lt;0,"",MATCH(LARGE($CC$3:$CC$47,7),$CC$3:$CC$47,0))</f>
        <v/>
      </c>
    </row>
    <row r="10" spans="1:82" x14ac:dyDescent="0.3">
      <c r="A10" s="60" t="str">
        <f>"Realtime: "&amp;COUNTIF($BA$3:$BA$22,"?*")&amp;" nhóm"</f>
        <v>Realtime: 0 nhóm</v>
      </c>
      <c r="B10" s="50"/>
      <c r="C10" s="24" t="s">
        <v>75</v>
      </c>
      <c r="D10" s="60">
        <f>COUNTIFS(D12:D33,"&gt;0",E12:E33,"&gt;=0.995")</f>
        <v>0</v>
      </c>
      <c r="E10" s="50"/>
      <c r="G10" s="64" t="s">
        <v>76</v>
      </c>
      <c r="H10" s="50"/>
      <c r="I10" s="64" t="str">
        <f>"Đạt DK: "&amp;COUNTIF(K12:K33,"&gt;=0.995")</f>
        <v>Đạt DK: 0</v>
      </c>
      <c r="J10" s="50"/>
      <c r="K10" s="64" t="str">
        <f>"☀️ Đạt: "&amp;COUNTIF(L12:L33,"&gt;=0.995")</f>
        <v>☀️ Đạt: 0</v>
      </c>
      <c r="L10" s="50"/>
      <c r="BA10" t="str">
        <f>Tính!B10</f>
        <v/>
      </c>
      <c r="BB10" t="str">
        <f>Tính!D10</f>
        <v/>
      </c>
      <c r="BC10">
        <f>IF($AZ$1=0,Tính!$Z$10,CHOOSE($AZ$1,Tính!$G$10,Tính!$L$10,Tính!$Q$10,Tính!$V$10))</f>
        <v>0</v>
      </c>
      <c r="BD10">
        <f>IF($AZ$1=0,Tính!$Y$10,CHOOSE($AZ$1,Tính!$E$10,Tính!$J$10,Tính!$O$10,Tính!$T$10))</f>
        <v>0</v>
      </c>
      <c r="BE10">
        <f>IF($AZ$1=0,Tính!$AB$10,CHOOSE($AZ$1,Tính!$I$10,Tính!$N$10,Tính!$S$10,Tính!$X$10))</f>
        <v>0</v>
      </c>
      <c r="BF10">
        <f>IF($AZ$1=0,Tính!$AA$10,CHOOSE($AZ$1,Tính!$H$10,Tính!$M$10,Tính!$R$10,Tính!$W$10))</f>
        <v>0</v>
      </c>
      <c r="BG10">
        <f t="shared" si="0"/>
        <v>0</v>
      </c>
      <c r="BH10">
        <f t="shared" si="1"/>
        <v>0</v>
      </c>
      <c r="BI10">
        <f>IF(BA10="",-1,IF(BB10="Chính",1000,0)+BH10+(20-8)/100000)</f>
        <v>-1</v>
      </c>
      <c r="BJ10" t="str">
        <f>IF(LARGE($BI$3:$BI$22,8)&lt;0,"",MATCH(LARGE($BI$3:$BI$22,8),$BI$3:$BI$22,0))</f>
        <v/>
      </c>
      <c r="BK10" t="str">
        <f>IF(8=1,IF($BK$1&gt;0,"C",""),IF(8&lt;=$BK$1+1,"g",IF(8=$BK$1+2,IF($BL$1&gt;0,"V",""),IF(8&lt;=$BK$1+2+$BL$1,"g",""))))</f>
        <v/>
      </c>
      <c r="BL10" t="str">
        <f>IF(BK10="g",IF(8&lt;=$BK$1+1,8-1,8-2),"")</f>
        <v/>
      </c>
      <c r="CA10">
        <v>8</v>
      </c>
      <c r="CB10">
        <f>IF(Tính!B46="",0,IF(OR($AZ$1=0,Tính!D46=$AZ$1),1,0))</f>
        <v>0</v>
      </c>
      <c r="CC10">
        <f>IF(CB10=1,Tính!L46*1000+Tính!M46+1+(45-8)/1000000,-1)</f>
        <v>-1</v>
      </c>
      <c r="CD10" t="str">
        <f>IF(LARGE($CC$3:$CC$47,8)&lt;0,"",MATCH(LARGE($CC$3:$CC$47,8),$CC$3:$CC$47,0))</f>
        <v/>
      </c>
    </row>
    <row r="11" spans="1:82" x14ac:dyDescent="0.3">
      <c r="A11" s="61" t="s">
        <v>77</v>
      </c>
      <c r="B11" s="50"/>
      <c r="C11" s="25" t="s">
        <v>78</v>
      </c>
      <c r="D11" s="25" t="s">
        <v>65</v>
      </c>
      <c r="E11" s="25" t="s">
        <v>79</v>
      </c>
      <c r="G11" s="4" t="s">
        <v>77</v>
      </c>
      <c r="H11" s="4" t="s">
        <v>80</v>
      </c>
      <c r="I11" s="4" t="s">
        <v>65</v>
      </c>
      <c r="J11" s="4" t="s">
        <v>81</v>
      </c>
      <c r="K11" s="4" t="s">
        <v>82</v>
      </c>
      <c r="L11" s="4" t="s">
        <v>83</v>
      </c>
      <c r="BA11" t="str">
        <f>Tính!B11</f>
        <v/>
      </c>
      <c r="BB11" t="str">
        <f>Tính!D11</f>
        <v/>
      </c>
      <c r="BC11">
        <f>IF($AZ$1=0,Tính!$Z$11,CHOOSE($AZ$1,Tính!$G$11,Tính!$L$11,Tính!$Q$11,Tính!$V$11))</f>
        <v>0</v>
      </c>
      <c r="BD11">
        <f>IF($AZ$1=0,Tính!$Y$11,CHOOSE($AZ$1,Tính!$E$11,Tính!$J$11,Tính!$O$11,Tính!$T$11))</f>
        <v>0</v>
      </c>
      <c r="BE11">
        <f>IF($AZ$1=0,Tính!$AB$11,CHOOSE($AZ$1,Tính!$I$11,Tính!$N$11,Tính!$S$11,Tính!$X$11))</f>
        <v>0</v>
      </c>
      <c r="BF11">
        <f>IF($AZ$1=0,Tính!$AA$11,CHOOSE($AZ$1,Tính!$H$11,Tính!$M$11,Tính!$R$11,Tính!$W$11))</f>
        <v>0</v>
      </c>
      <c r="BG11">
        <f t="shared" si="0"/>
        <v>0</v>
      </c>
      <c r="BH11">
        <f t="shared" si="1"/>
        <v>0</v>
      </c>
      <c r="BI11">
        <f>IF(BA11="",-1,IF(BB11="Chính",1000,0)+BH11+(20-9)/100000)</f>
        <v>-1</v>
      </c>
      <c r="BJ11" t="str">
        <f>IF(LARGE($BI$3:$BI$22,9)&lt;0,"",MATCH(LARGE($BI$3:$BI$22,9),$BI$3:$BI$22,0))</f>
        <v/>
      </c>
      <c r="BK11" t="str">
        <f>IF(9=1,IF($BK$1&gt;0,"C",""),IF(9&lt;=$BK$1+1,"g",IF(9=$BK$1+2,IF($BL$1&gt;0,"V",""),IF(9&lt;=$BK$1+2+$BL$1,"g",""))))</f>
        <v/>
      </c>
      <c r="BL11" t="str">
        <f>IF(BK11="g",IF(9&lt;=$BK$1+1,9-1,9-2),"")</f>
        <v/>
      </c>
      <c r="CA11">
        <v>9</v>
      </c>
      <c r="CB11">
        <f>IF(Tính!B47="",0,IF(OR($AZ$1=0,Tính!D47=$AZ$1),1,0))</f>
        <v>0</v>
      </c>
      <c r="CC11">
        <f>IF(CB11=1,Tính!L47*1000+Tính!M47+1+(45-9)/1000000,-1)</f>
        <v>-1</v>
      </c>
      <c r="CD11" t="str">
        <f>IF(LARGE($CC$3:$CC$47,9)&lt;0,"",MATCH(LARGE($CC$3:$CC$47,9),$CC$3:$CC$47,0))</f>
        <v/>
      </c>
    </row>
    <row r="12" spans="1:82" x14ac:dyDescent="0.3">
      <c r="A12" s="54" t="str">
        <f>IF($BK$3="C","NHÓM CHÍNH",IF($BK$3="V","NHÓM VƯỢT TRỘI",IF($BL$3="","",INDEX($BA$3:$BA$22,INDEX($BJ$3:$BJ$22,$BL$3)))))</f>
        <v/>
      </c>
      <c r="B12" s="52"/>
      <c r="C12" s="26" t="str">
        <f>IF($BL$3="","",INDEX($BE$3:$BE$22,INDEX($BJ$3:$BJ$22,$BL$3)))</f>
        <v/>
      </c>
      <c r="D12" s="26" t="str">
        <f>IF($BL$3="","",INDEX($BF$3:$BF$22,INDEX($BJ$3:$BJ$22,$BL$3)))</f>
        <v/>
      </c>
      <c r="E12" s="27" t="str">
        <f>IF($BK$3="C",SUMPRODUCT(($BB$3:$BB$22="Chính")*($BF$3:$BF$22&gt;0)*($BF$3:$BF$22&gt;=0.995*$BE$3:$BE$22))&amp;"/"&amp;$BK$1,IF($BK$3="V",SUMPRODUCT(($BB$3:$BB$22="Vượt trội")*($BF$3:$BF$22&gt;0)*($BF$3:$BF$22&gt;=0.995*$BE$3:$BE$22))&amp;"/"&amp;$BL$1,IF($BL$3="","",IF(D12=0,"-",IF(C12&gt;0,D12/C12,1)))))</f>
        <v/>
      </c>
      <c r="G12" s="12" t="str">
        <f t="shared" ref="G12:G33" si="2">A12</f>
        <v/>
      </c>
      <c r="H12" s="26" t="str">
        <f>IF($BL$3="","",INDEX($BC$3:$BC$22,INDEX($BJ$3:$BJ$22,$BL$3)))</f>
        <v/>
      </c>
      <c r="I12" s="26" t="str">
        <f>IF($BL$3="","",INDEX($BD$3:$BD$22,INDEX($BJ$3:$BJ$22,$BL$3)))</f>
        <v/>
      </c>
      <c r="J12" s="27" t="str">
        <f>IF($BL$3="","",IF(H12&gt;0,I12/H12,1))</f>
        <v/>
      </c>
      <c r="K12" s="27" t="str">
        <f>IF($BK$3="C",COUNTIFS($BB$3:$BB$22,"Chính",$BG$3:$BG$22,"&gt;=0.995")&amp;"/"&amp;$BK$1,IF($BK$3="V",COUNTIFS($BB$3:$BB$22,"Vượt trội",$BG$3:$BG$22,"&gt;=0.995")&amp;"/"&amp;$BL$1,IF($BL$3="","",INDEX($BG$3:$BG$22,INDEX($BJ$3:$BJ$22,$BL$3)))))</f>
        <v/>
      </c>
      <c r="L12" s="27" t="str">
        <f>IF($BK$3="C",COUNTIFS($BB$3:$BB$22,"Chính",$BH$3:$BH$22,"&gt;=0.995")&amp;"/"&amp;$BK$1,IF($BK$3="V",COUNTIFS($BB$3:$BB$22,"Vượt trội",$BH$3:$BH$22,"&gt;=0.995")&amp;"/"&amp;$BL$1,IF($BL$3="","",INDEX($BH$3:$BH$22,INDEX($BJ$3:$BJ$22,$BL$3)))))</f>
        <v/>
      </c>
      <c r="AW12" t="str">
        <f>$BK$3</f>
        <v/>
      </c>
      <c r="BA12" t="str">
        <f>Tính!B12</f>
        <v/>
      </c>
      <c r="BB12" t="str">
        <f>Tính!D12</f>
        <v/>
      </c>
      <c r="BC12">
        <f>IF($AZ$1=0,Tính!$Z$12,CHOOSE($AZ$1,Tính!$G$12,Tính!$L$12,Tính!$Q$12,Tính!$V$12))</f>
        <v>0</v>
      </c>
      <c r="BD12">
        <f>IF($AZ$1=0,Tính!$Y$12,CHOOSE($AZ$1,Tính!$E$12,Tính!$J$12,Tính!$O$12,Tính!$T$12))</f>
        <v>0</v>
      </c>
      <c r="BE12">
        <f>IF($AZ$1=0,Tính!$AB$12,CHOOSE($AZ$1,Tính!$I$12,Tính!$N$12,Tính!$S$12,Tính!$X$12))</f>
        <v>0</v>
      </c>
      <c r="BF12">
        <f>IF($AZ$1=0,Tính!$AA$12,CHOOSE($AZ$1,Tính!$H$12,Tính!$M$12,Tính!$R$12,Tính!$W$12))</f>
        <v>0</v>
      </c>
      <c r="BG12">
        <f t="shared" si="0"/>
        <v>0</v>
      </c>
      <c r="BH12">
        <f t="shared" si="1"/>
        <v>0</v>
      </c>
      <c r="BI12">
        <f>IF(BA12="",-1,IF(BB12="Chính",1000,0)+BH12+(20-10)/100000)</f>
        <v>-1</v>
      </c>
      <c r="BJ12" t="str">
        <f>IF(LARGE($BI$3:$BI$22,10)&lt;0,"",MATCH(LARGE($BI$3:$BI$22,10),$BI$3:$BI$22,0))</f>
        <v/>
      </c>
      <c r="BK12" t="str">
        <f>IF(10=1,IF($BK$1&gt;0,"C",""),IF(10&lt;=$BK$1+1,"g",IF(10=$BK$1+2,IF($BL$1&gt;0,"V",""),IF(10&lt;=$BK$1+2+$BL$1,"g",""))))</f>
        <v/>
      </c>
      <c r="BL12" t="str">
        <f>IF(BK12="g",IF(10&lt;=$BK$1+1,10-1,10-2),"")</f>
        <v/>
      </c>
      <c r="CA12">
        <v>10</v>
      </c>
      <c r="CB12">
        <f>IF(Tính!B48="",0,IF(OR($AZ$1=0,Tính!D48=$AZ$1),1,0))</f>
        <v>0</v>
      </c>
      <c r="CC12">
        <f>IF(CB12=1,Tính!L48*1000+Tính!M48+1+(45-10)/1000000,-1)</f>
        <v>-1</v>
      </c>
      <c r="CD12" t="str">
        <f>IF(LARGE($CC$3:$CC$47,10)&lt;0,"",MATCH(LARGE($CC$3:$CC$47,10),$CC$3:$CC$47,0))</f>
        <v/>
      </c>
    </row>
    <row r="13" spans="1:82" x14ac:dyDescent="0.3">
      <c r="A13" s="54" t="str">
        <f>IF($BK$4="C","NHÓM CHÍNH",IF($BK$4="V","NHÓM VƯỢT TRỘI",IF($BL$4="","",INDEX($BA$3:$BA$22,INDEX($BJ$3:$BJ$22,$BL$4)))))</f>
        <v/>
      </c>
      <c r="B13" s="52"/>
      <c r="C13" s="26" t="str">
        <f>IF($BL$4="","",INDEX($BE$3:$BE$22,INDEX($BJ$3:$BJ$22,$BL$4)))</f>
        <v/>
      </c>
      <c r="D13" s="26" t="str">
        <f>IF($BL$4="","",INDEX($BF$3:$BF$22,INDEX($BJ$3:$BJ$22,$BL$4)))</f>
        <v/>
      </c>
      <c r="E13" s="27" t="str">
        <f>IF($BK$4="C",SUMPRODUCT(($BB$3:$BB$22="Chính")*($BF$3:$BF$22&gt;0)*($BF$3:$BF$22&gt;=0.995*$BE$3:$BE$22))&amp;"/"&amp;$BK$1,IF($BK$4="V",SUMPRODUCT(($BB$3:$BB$22="Vượt trội")*($BF$3:$BF$22&gt;0)*($BF$3:$BF$22&gt;=0.995*$BE$3:$BE$22))&amp;"/"&amp;$BL$1,IF($BL$4="","",IF(D13=0,"-",IF(C13&gt;0,D13/C13,1)))))</f>
        <v/>
      </c>
      <c r="G13" s="12" t="str">
        <f t="shared" si="2"/>
        <v/>
      </c>
      <c r="H13" s="26" t="str">
        <f>IF($BL$4="","",INDEX($BC$3:$BC$22,INDEX($BJ$3:$BJ$22,$BL$4)))</f>
        <v/>
      </c>
      <c r="I13" s="26" t="str">
        <f>IF($BL$4="","",INDEX($BD$3:$BD$22,INDEX($BJ$3:$BJ$22,$BL$4)))</f>
        <v/>
      </c>
      <c r="J13" s="27" t="str">
        <f>IF($BL$4="","",IF(H13&gt;0,I13/H13,1))</f>
        <v/>
      </c>
      <c r="K13" s="27" t="str">
        <f>IF($BK$4="C",COUNTIFS($BB$3:$BB$22,"Chính",$BG$3:$BG$22,"&gt;=0.995")&amp;"/"&amp;$BK$1,IF($BK$4="V",COUNTIFS($BB$3:$BB$22,"Vượt trội",$BG$3:$BG$22,"&gt;=0.995")&amp;"/"&amp;$BL$1,IF($BL$4="","",INDEX($BG$3:$BG$22,INDEX($BJ$3:$BJ$22,$BL$4)))))</f>
        <v/>
      </c>
      <c r="L13" s="27" t="str">
        <f>IF($BK$4="C",COUNTIFS($BB$3:$BB$22,"Chính",$BH$3:$BH$22,"&gt;=0.995")&amp;"/"&amp;$BK$1,IF($BK$4="V",COUNTIFS($BB$3:$BB$22,"Vượt trội",$BH$3:$BH$22,"&gt;=0.995")&amp;"/"&amp;$BL$1,IF($BL$4="","",INDEX($BH$3:$BH$22,INDEX($BJ$3:$BJ$22,$BL$4)))))</f>
        <v/>
      </c>
      <c r="AW13" t="str">
        <f>$BK$4</f>
        <v/>
      </c>
      <c r="BA13" t="str">
        <f>Tính!B13</f>
        <v/>
      </c>
      <c r="BB13" t="str">
        <f>Tính!D13</f>
        <v/>
      </c>
      <c r="BC13">
        <f>IF($AZ$1=0,Tính!$Z$13,CHOOSE($AZ$1,Tính!$G$13,Tính!$L$13,Tính!$Q$13,Tính!$V$13))</f>
        <v>0</v>
      </c>
      <c r="BD13">
        <f>IF($AZ$1=0,Tính!$Y$13,CHOOSE($AZ$1,Tính!$E$13,Tính!$J$13,Tính!$O$13,Tính!$T$13))</f>
        <v>0</v>
      </c>
      <c r="BE13">
        <f>IF($AZ$1=0,Tính!$AB$13,CHOOSE($AZ$1,Tính!$I$13,Tính!$N$13,Tính!$S$13,Tính!$X$13))</f>
        <v>0</v>
      </c>
      <c r="BF13">
        <f>IF($AZ$1=0,Tính!$AA$13,CHOOSE($AZ$1,Tính!$H$13,Tính!$M$13,Tính!$R$13,Tính!$W$13))</f>
        <v>0</v>
      </c>
      <c r="BG13">
        <f t="shared" si="0"/>
        <v>0</v>
      </c>
      <c r="BH13">
        <f t="shared" si="1"/>
        <v>0</v>
      </c>
      <c r="BI13">
        <f>IF(BA13="",-1,IF(BB13="Chính",1000,0)+BH13+(20-11)/100000)</f>
        <v>-1</v>
      </c>
      <c r="BJ13" t="str">
        <f>IF(LARGE($BI$3:$BI$22,11)&lt;0,"",MATCH(LARGE($BI$3:$BI$22,11),$BI$3:$BI$22,0))</f>
        <v/>
      </c>
      <c r="BK13" t="str">
        <f>IF(11=1,IF($BK$1&gt;0,"C",""),IF(11&lt;=$BK$1+1,"g",IF(11=$BK$1+2,IF($BL$1&gt;0,"V",""),IF(11&lt;=$BK$1+2+$BL$1,"g",""))))</f>
        <v/>
      </c>
      <c r="BL13" t="str">
        <f>IF(BK13="g",IF(11&lt;=$BK$1+1,11-1,11-2),"")</f>
        <v/>
      </c>
      <c r="CA13">
        <v>11</v>
      </c>
      <c r="CB13">
        <f>IF(Tính!B49="",0,IF(OR($AZ$1=0,Tính!D49=$AZ$1),1,0))</f>
        <v>0</v>
      </c>
      <c r="CC13">
        <f>IF(CB13=1,Tính!L49*1000+Tính!M49+1+(45-11)/1000000,-1)</f>
        <v>-1</v>
      </c>
      <c r="CD13" t="str">
        <f>IF(LARGE($CC$3:$CC$47,11)&lt;0,"",MATCH(LARGE($CC$3:$CC$47,11),$CC$3:$CC$47,0))</f>
        <v/>
      </c>
    </row>
    <row r="14" spans="1:82" x14ac:dyDescent="0.3">
      <c r="A14" s="54" t="str">
        <f>IF($BK$5="C","NHÓM CHÍNH",IF($BK$5="V","NHÓM VƯỢT TRỘI",IF($BL$5="","",INDEX($BA$3:$BA$22,INDEX($BJ$3:$BJ$22,$BL$5)))))</f>
        <v/>
      </c>
      <c r="B14" s="52"/>
      <c r="C14" s="26" t="str">
        <f>IF($BL$5="","",INDEX($BE$3:$BE$22,INDEX($BJ$3:$BJ$22,$BL$5)))</f>
        <v/>
      </c>
      <c r="D14" s="26" t="str">
        <f>IF($BL$5="","",INDEX($BF$3:$BF$22,INDEX($BJ$3:$BJ$22,$BL$5)))</f>
        <v/>
      </c>
      <c r="E14" s="27" t="str">
        <f>IF($BK$5="C",SUMPRODUCT(($BB$3:$BB$22="Chính")*($BF$3:$BF$22&gt;0)*($BF$3:$BF$22&gt;=0.995*$BE$3:$BE$22))&amp;"/"&amp;$BK$1,IF($BK$5="V",SUMPRODUCT(($BB$3:$BB$22="Vượt trội")*($BF$3:$BF$22&gt;0)*($BF$3:$BF$22&gt;=0.995*$BE$3:$BE$22))&amp;"/"&amp;$BL$1,IF($BL$5="","",IF(D14=0,"-",IF(C14&gt;0,D14/C14,1)))))</f>
        <v/>
      </c>
      <c r="G14" s="12" t="str">
        <f t="shared" si="2"/>
        <v/>
      </c>
      <c r="H14" s="26" t="str">
        <f>IF($BL$5="","",INDEX($BC$3:$BC$22,INDEX($BJ$3:$BJ$22,$BL$5)))</f>
        <v/>
      </c>
      <c r="I14" s="26" t="str">
        <f>IF($BL$5="","",INDEX($BD$3:$BD$22,INDEX($BJ$3:$BJ$22,$BL$5)))</f>
        <v/>
      </c>
      <c r="J14" s="27" t="str">
        <f>IF($BL$5="","",IF(H14&gt;0,I14/H14,1))</f>
        <v/>
      </c>
      <c r="K14" s="27" t="str">
        <f>IF($BK$5="C",COUNTIFS($BB$3:$BB$22,"Chính",$BG$3:$BG$22,"&gt;=0.995")&amp;"/"&amp;$BK$1,IF($BK$5="V",COUNTIFS($BB$3:$BB$22,"Vượt trội",$BG$3:$BG$22,"&gt;=0.995")&amp;"/"&amp;$BL$1,IF($BL$5="","",INDEX($BG$3:$BG$22,INDEX($BJ$3:$BJ$22,$BL$5)))))</f>
        <v/>
      </c>
      <c r="L14" s="27" t="str">
        <f>IF($BK$5="C",COUNTIFS($BB$3:$BB$22,"Chính",$BH$3:$BH$22,"&gt;=0.995")&amp;"/"&amp;$BK$1,IF($BK$5="V",COUNTIFS($BB$3:$BB$22,"Vượt trội",$BH$3:$BH$22,"&gt;=0.995")&amp;"/"&amp;$BL$1,IF($BL$5="","",INDEX($BH$3:$BH$22,INDEX($BJ$3:$BJ$22,$BL$5)))))</f>
        <v/>
      </c>
      <c r="AW14" t="str">
        <f>$BK$5</f>
        <v/>
      </c>
      <c r="BA14" t="str">
        <f>Tính!B14</f>
        <v/>
      </c>
      <c r="BB14" t="str">
        <f>Tính!D14</f>
        <v/>
      </c>
      <c r="BC14">
        <f>IF($AZ$1=0,Tính!$Z$14,CHOOSE($AZ$1,Tính!$G$14,Tính!$L$14,Tính!$Q$14,Tính!$V$14))</f>
        <v>0</v>
      </c>
      <c r="BD14">
        <f>IF($AZ$1=0,Tính!$Y$14,CHOOSE($AZ$1,Tính!$E$14,Tính!$J$14,Tính!$O$14,Tính!$T$14))</f>
        <v>0</v>
      </c>
      <c r="BE14">
        <f>IF($AZ$1=0,Tính!$AB$14,CHOOSE($AZ$1,Tính!$I$14,Tính!$N$14,Tính!$S$14,Tính!$X$14))</f>
        <v>0</v>
      </c>
      <c r="BF14">
        <f>IF($AZ$1=0,Tính!$AA$14,CHOOSE($AZ$1,Tính!$H$14,Tính!$M$14,Tính!$R$14,Tính!$W$14))</f>
        <v>0</v>
      </c>
      <c r="BG14">
        <f t="shared" si="0"/>
        <v>0</v>
      </c>
      <c r="BH14">
        <f t="shared" si="1"/>
        <v>0</v>
      </c>
      <c r="BI14">
        <f>IF(BA14="",-1,IF(BB14="Chính",1000,0)+BH14+(20-12)/100000)</f>
        <v>-1</v>
      </c>
      <c r="BJ14" t="str">
        <f>IF(LARGE($BI$3:$BI$22,12)&lt;0,"",MATCH(LARGE($BI$3:$BI$22,12),$BI$3:$BI$22,0))</f>
        <v/>
      </c>
      <c r="BK14" t="str">
        <f>IF(12=1,IF($BK$1&gt;0,"C",""),IF(12&lt;=$BK$1+1,"g",IF(12=$BK$1+2,IF($BL$1&gt;0,"V",""),IF(12&lt;=$BK$1+2+$BL$1,"g",""))))</f>
        <v/>
      </c>
      <c r="BL14" t="str">
        <f>IF(BK14="g",IF(12&lt;=$BK$1+1,12-1,12-2),"")</f>
        <v/>
      </c>
      <c r="CA14">
        <v>12</v>
      </c>
      <c r="CB14">
        <f>IF(Tính!B50="",0,IF(OR($AZ$1=0,Tính!D50=$AZ$1),1,0))</f>
        <v>0</v>
      </c>
      <c r="CC14">
        <f>IF(CB14=1,Tính!L50*1000+Tính!M50+1+(45-12)/1000000,-1)</f>
        <v>-1</v>
      </c>
      <c r="CD14" t="str">
        <f>IF(LARGE($CC$3:$CC$47,12)&lt;0,"",MATCH(LARGE($CC$3:$CC$47,12),$CC$3:$CC$47,0))</f>
        <v/>
      </c>
    </row>
    <row r="15" spans="1:82" x14ac:dyDescent="0.3">
      <c r="A15" s="54" t="str">
        <f>IF($BK$6="C","NHÓM CHÍNH",IF($BK$6="V","NHÓM VƯỢT TRỘI",IF($BL$6="","",INDEX($BA$3:$BA$22,INDEX($BJ$3:$BJ$22,$BL$6)))))</f>
        <v/>
      </c>
      <c r="B15" s="52"/>
      <c r="C15" s="26" t="str">
        <f>IF($BL$6="","",INDEX($BE$3:$BE$22,INDEX($BJ$3:$BJ$22,$BL$6)))</f>
        <v/>
      </c>
      <c r="D15" s="26" t="str">
        <f>IF($BL$6="","",INDEX($BF$3:$BF$22,INDEX($BJ$3:$BJ$22,$BL$6)))</f>
        <v/>
      </c>
      <c r="E15" s="27" t="str">
        <f>IF($BK$6="C",SUMPRODUCT(($BB$3:$BB$22="Chính")*($BF$3:$BF$22&gt;0)*($BF$3:$BF$22&gt;=0.995*$BE$3:$BE$22))&amp;"/"&amp;$BK$1,IF($BK$6="V",SUMPRODUCT(($BB$3:$BB$22="Vượt trội")*($BF$3:$BF$22&gt;0)*($BF$3:$BF$22&gt;=0.995*$BE$3:$BE$22))&amp;"/"&amp;$BL$1,IF($BL$6="","",IF(D15=0,"-",IF(C15&gt;0,D15/C15,1)))))</f>
        <v/>
      </c>
      <c r="G15" s="12" t="str">
        <f t="shared" si="2"/>
        <v/>
      </c>
      <c r="H15" s="26" t="str">
        <f>IF($BL$6="","",INDEX($BC$3:$BC$22,INDEX($BJ$3:$BJ$22,$BL$6)))</f>
        <v/>
      </c>
      <c r="I15" s="26" t="str">
        <f>IF($BL$6="","",INDEX($BD$3:$BD$22,INDEX($BJ$3:$BJ$22,$BL$6)))</f>
        <v/>
      </c>
      <c r="J15" s="27" t="str">
        <f>IF($BL$6="","",IF(H15&gt;0,I15/H15,1))</f>
        <v/>
      </c>
      <c r="K15" s="27" t="str">
        <f>IF($BK$6="C",COUNTIFS($BB$3:$BB$22,"Chính",$BG$3:$BG$22,"&gt;=0.995")&amp;"/"&amp;$BK$1,IF($BK$6="V",COUNTIFS($BB$3:$BB$22,"Vượt trội",$BG$3:$BG$22,"&gt;=0.995")&amp;"/"&amp;$BL$1,IF($BL$6="","",INDEX($BG$3:$BG$22,INDEX($BJ$3:$BJ$22,$BL$6)))))</f>
        <v/>
      </c>
      <c r="L15" s="27" t="str">
        <f>IF($BK$6="C",COUNTIFS($BB$3:$BB$22,"Chính",$BH$3:$BH$22,"&gt;=0.995")&amp;"/"&amp;$BK$1,IF($BK$6="V",COUNTIFS($BB$3:$BB$22,"Vượt trội",$BH$3:$BH$22,"&gt;=0.995")&amp;"/"&amp;$BL$1,IF($BL$6="","",INDEX($BH$3:$BH$22,INDEX($BJ$3:$BJ$22,$BL$6)))))</f>
        <v/>
      </c>
      <c r="AW15" t="str">
        <f>$BK$6</f>
        <v/>
      </c>
      <c r="BA15" t="str">
        <f>Tính!B15</f>
        <v/>
      </c>
      <c r="BB15" t="str">
        <f>Tính!D15</f>
        <v/>
      </c>
      <c r="BC15">
        <f>IF($AZ$1=0,Tính!$Z$15,CHOOSE($AZ$1,Tính!$G$15,Tính!$L$15,Tính!$Q$15,Tính!$V$15))</f>
        <v>0</v>
      </c>
      <c r="BD15">
        <f>IF($AZ$1=0,Tính!$Y$15,CHOOSE($AZ$1,Tính!$E$15,Tính!$J$15,Tính!$O$15,Tính!$T$15))</f>
        <v>0</v>
      </c>
      <c r="BE15">
        <f>IF($AZ$1=0,Tính!$AB$15,CHOOSE($AZ$1,Tính!$I$15,Tính!$N$15,Tính!$S$15,Tính!$X$15))</f>
        <v>0</v>
      </c>
      <c r="BF15">
        <f>IF($AZ$1=0,Tính!$AA$15,CHOOSE($AZ$1,Tính!$H$15,Tính!$M$15,Tính!$R$15,Tính!$W$15))</f>
        <v>0</v>
      </c>
      <c r="BG15">
        <f t="shared" si="0"/>
        <v>0</v>
      </c>
      <c r="BH15">
        <f t="shared" si="1"/>
        <v>0</v>
      </c>
      <c r="BI15">
        <f>IF(BA15="",-1,IF(BB15="Chính",1000,0)+BH15+(20-13)/100000)</f>
        <v>-1</v>
      </c>
      <c r="BJ15" t="str">
        <f>IF(LARGE($BI$3:$BI$22,13)&lt;0,"",MATCH(LARGE($BI$3:$BI$22,13),$BI$3:$BI$22,0))</f>
        <v/>
      </c>
      <c r="BK15" t="str">
        <f>IF(13=1,IF($BK$1&gt;0,"C",""),IF(13&lt;=$BK$1+1,"g",IF(13=$BK$1+2,IF($BL$1&gt;0,"V",""),IF(13&lt;=$BK$1+2+$BL$1,"g",""))))</f>
        <v/>
      </c>
      <c r="BL15" t="str">
        <f>IF(BK15="g",IF(13&lt;=$BK$1+1,13-1,13-2),"")</f>
        <v/>
      </c>
      <c r="CA15">
        <v>13</v>
      </c>
      <c r="CB15">
        <f>IF(Tính!B51="",0,IF(OR($AZ$1=0,Tính!D51=$AZ$1),1,0))</f>
        <v>0</v>
      </c>
      <c r="CC15">
        <f>IF(CB15=1,Tính!L51*1000+Tính!M51+1+(45-13)/1000000,-1)</f>
        <v>-1</v>
      </c>
      <c r="CD15" t="str">
        <f>IF(LARGE($CC$3:$CC$47,13)&lt;0,"",MATCH(LARGE($CC$3:$CC$47,13),$CC$3:$CC$47,0))</f>
        <v/>
      </c>
    </row>
    <row r="16" spans="1:82" x14ac:dyDescent="0.3">
      <c r="A16" s="54" t="str">
        <f>IF($BK$7="C","NHÓM CHÍNH",IF($BK$7="V","NHÓM VƯỢT TRỘI",IF($BL$7="","",INDEX($BA$3:$BA$22,INDEX($BJ$3:$BJ$22,$BL$7)))))</f>
        <v/>
      </c>
      <c r="B16" s="52"/>
      <c r="C16" s="26" t="str">
        <f>IF($BL$7="","",INDEX($BE$3:$BE$22,INDEX($BJ$3:$BJ$22,$BL$7)))</f>
        <v/>
      </c>
      <c r="D16" s="26" t="str">
        <f>IF($BL$7="","",INDEX($BF$3:$BF$22,INDEX($BJ$3:$BJ$22,$BL$7)))</f>
        <v/>
      </c>
      <c r="E16" s="27" t="str">
        <f>IF($BK$7="C",SUMPRODUCT(($BB$3:$BB$22="Chính")*($BF$3:$BF$22&gt;0)*($BF$3:$BF$22&gt;=0.995*$BE$3:$BE$22))&amp;"/"&amp;$BK$1,IF($BK$7="V",SUMPRODUCT(($BB$3:$BB$22="Vượt trội")*($BF$3:$BF$22&gt;0)*($BF$3:$BF$22&gt;=0.995*$BE$3:$BE$22))&amp;"/"&amp;$BL$1,IF($BL$7="","",IF(D16=0,"-",IF(C16&gt;0,D16/C16,1)))))</f>
        <v/>
      </c>
      <c r="G16" s="12" t="str">
        <f t="shared" si="2"/>
        <v/>
      </c>
      <c r="H16" s="26" t="str">
        <f>IF($BL$7="","",INDEX($BC$3:$BC$22,INDEX($BJ$3:$BJ$22,$BL$7)))</f>
        <v/>
      </c>
      <c r="I16" s="26" t="str">
        <f>IF($BL$7="","",INDEX($BD$3:$BD$22,INDEX($BJ$3:$BJ$22,$BL$7)))</f>
        <v/>
      </c>
      <c r="J16" s="27" t="str">
        <f>IF($BL$7="","",IF(H16&gt;0,I16/H16,1))</f>
        <v/>
      </c>
      <c r="K16" s="27" t="str">
        <f>IF($BK$7="C",COUNTIFS($BB$3:$BB$22,"Chính",$BG$3:$BG$22,"&gt;=0.995")&amp;"/"&amp;$BK$1,IF($BK$7="V",COUNTIFS($BB$3:$BB$22,"Vượt trội",$BG$3:$BG$22,"&gt;=0.995")&amp;"/"&amp;$BL$1,IF($BL$7="","",INDEX($BG$3:$BG$22,INDEX($BJ$3:$BJ$22,$BL$7)))))</f>
        <v/>
      </c>
      <c r="L16" s="27" t="str">
        <f>IF($BK$7="C",COUNTIFS($BB$3:$BB$22,"Chính",$BH$3:$BH$22,"&gt;=0.995")&amp;"/"&amp;$BK$1,IF($BK$7="V",COUNTIFS($BB$3:$BB$22,"Vượt trội",$BH$3:$BH$22,"&gt;=0.995")&amp;"/"&amp;$BL$1,IF($BL$7="","",INDEX($BH$3:$BH$22,INDEX($BJ$3:$BJ$22,$BL$7)))))</f>
        <v/>
      </c>
      <c r="AW16" t="str">
        <f>$BK$7</f>
        <v/>
      </c>
      <c r="BA16" t="str">
        <f>Tính!B16</f>
        <v/>
      </c>
      <c r="BB16" t="str">
        <f>Tính!D16</f>
        <v/>
      </c>
      <c r="BC16">
        <f>IF($AZ$1=0,Tính!$Z$16,CHOOSE($AZ$1,Tính!$G$16,Tính!$L$16,Tính!$Q$16,Tính!$V$16))</f>
        <v>0</v>
      </c>
      <c r="BD16">
        <f>IF($AZ$1=0,Tính!$Y$16,CHOOSE($AZ$1,Tính!$E$16,Tính!$J$16,Tính!$O$16,Tính!$T$16))</f>
        <v>0</v>
      </c>
      <c r="BE16">
        <f>IF($AZ$1=0,Tính!$AB$16,CHOOSE($AZ$1,Tính!$I$16,Tính!$N$16,Tính!$S$16,Tính!$X$16))</f>
        <v>0</v>
      </c>
      <c r="BF16">
        <f>IF($AZ$1=0,Tính!$AA$16,CHOOSE($AZ$1,Tính!$H$16,Tính!$M$16,Tính!$R$16,Tính!$W$16))</f>
        <v>0</v>
      </c>
      <c r="BG16">
        <f t="shared" si="0"/>
        <v>0</v>
      </c>
      <c r="BH16">
        <f t="shared" si="1"/>
        <v>0</v>
      </c>
      <c r="BI16">
        <f>IF(BA16="",-1,IF(BB16="Chính",1000,0)+BH16+(20-14)/100000)</f>
        <v>-1</v>
      </c>
      <c r="BJ16" t="str">
        <f>IF(LARGE($BI$3:$BI$22,14)&lt;0,"",MATCH(LARGE($BI$3:$BI$22,14),$BI$3:$BI$22,0))</f>
        <v/>
      </c>
      <c r="BK16" t="str">
        <f>IF(14=1,IF($BK$1&gt;0,"C",""),IF(14&lt;=$BK$1+1,"g",IF(14=$BK$1+2,IF($BL$1&gt;0,"V",""),IF(14&lt;=$BK$1+2+$BL$1,"g",""))))</f>
        <v/>
      </c>
      <c r="BL16" t="str">
        <f>IF(BK16="g",IF(14&lt;=$BK$1+1,14-1,14-2),"")</f>
        <v/>
      </c>
      <c r="CA16">
        <v>14</v>
      </c>
      <c r="CB16">
        <f>IF(Tính!B52="",0,IF(OR($AZ$1=0,Tính!D52=$AZ$1),1,0))</f>
        <v>0</v>
      </c>
      <c r="CC16">
        <f>IF(CB16=1,Tính!L52*1000+Tính!M52+1+(45-14)/1000000,-1)</f>
        <v>-1</v>
      </c>
      <c r="CD16" t="str">
        <f>IF(LARGE($CC$3:$CC$47,14)&lt;0,"",MATCH(LARGE($CC$3:$CC$47,14),$CC$3:$CC$47,0))</f>
        <v/>
      </c>
    </row>
    <row r="17" spans="1:82" x14ac:dyDescent="0.3">
      <c r="A17" s="54" t="str">
        <f>IF($BK$8="C","NHÓM CHÍNH",IF($BK$8="V","NHÓM VƯỢT TRỘI",IF($BL$8="","",INDEX($BA$3:$BA$22,INDEX($BJ$3:$BJ$22,$BL$8)))))</f>
        <v/>
      </c>
      <c r="B17" s="52"/>
      <c r="C17" s="26" t="str">
        <f>IF($BL$8="","",INDEX($BE$3:$BE$22,INDEX($BJ$3:$BJ$22,$BL$8)))</f>
        <v/>
      </c>
      <c r="D17" s="26" t="str">
        <f>IF($BL$8="","",INDEX($BF$3:$BF$22,INDEX($BJ$3:$BJ$22,$BL$8)))</f>
        <v/>
      </c>
      <c r="E17" s="27" t="str">
        <f>IF($BK$8="C",SUMPRODUCT(($BB$3:$BB$22="Chính")*($BF$3:$BF$22&gt;0)*($BF$3:$BF$22&gt;=0.995*$BE$3:$BE$22))&amp;"/"&amp;$BK$1,IF($BK$8="V",SUMPRODUCT(($BB$3:$BB$22="Vượt trội")*($BF$3:$BF$22&gt;0)*($BF$3:$BF$22&gt;=0.995*$BE$3:$BE$22))&amp;"/"&amp;$BL$1,IF($BL$8="","",IF(D17=0,"-",IF(C17&gt;0,D17/C17,1)))))</f>
        <v/>
      </c>
      <c r="G17" s="12" t="str">
        <f t="shared" si="2"/>
        <v/>
      </c>
      <c r="H17" s="26" t="str">
        <f>IF($BL$8="","",INDEX($BC$3:$BC$22,INDEX($BJ$3:$BJ$22,$BL$8)))</f>
        <v/>
      </c>
      <c r="I17" s="26" t="str">
        <f>IF($BL$8="","",INDEX($BD$3:$BD$22,INDEX($BJ$3:$BJ$22,$BL$8)))</f>
        <v/>
      </c>
      <c r="J17" s="27" t="str">
        <f>IF($BL$8="","",IF(H17&gt;0,I17/H17,1))</f>
        <v/>
      </c>
      <c r="K17" s="27" t="str">
        <f>IF($BK$8="C",COUNTIFS($BB$3:$BB$22,"Chính",$BG$3:$BG$22,"&gt;=0.995")&amp;"/"&amp;$BK$1,IF($BK$8="V",COUNTIFS($BB$3:$BB$22,"Vượt trội",$BG$3:$BG$22,"&gt;=0.995")&amp;"/"&amp;$BL$1,IF($BL$8="","",INDEX($BG$3:$BG$22,INDEX($BJ$3:$BJ$22,$BL$8)))))</f>
        <v/>
      </c>
      <c r="L17" s="27" t="str">
        <f>IF($BK$8="C",COUNTIFS($BB$3:$BB$22,"Chính",$BH$3:$BH$22,"&gt;=0.995")&amp;"/"&amp;$BK$1,IF($BK$8="V",COUNTIFS($BB$3:$BB$22,"Vượt trội",$BH$3:$BH$22,"&gt;=0.995")&amp;"/"&amp;$BL$1,IF($BL$8="","",INDEX($BH$3:$BH$22,INDEX($BJ$3:$BJ$22,$BL$8)))))</f>
        <v/>
      </c>
      <c r="AW17" t="str">
        <f>$BK$8</f>
        <v/>
      </c>
      <c r="BA17" t="str">
        <f>Tính!B17</f>
        <v/>
      </c>
      <c r="BB17" t="str">
        <f>Tính!D17</f>
        <v/>
      </c>
      <c r="BC17">
        <f>IF($AZ$1=0,Tính!$Z$17,CHOOSE($AZ$1,Tính!$G$17,Tính!$L$17,Tính!$Q$17,Tính!$V$17))</f>
        <v>0</v>
      </c>
      <c r="BD17">
        <f>IF($AZ$1=0,Tính!$Y$17,CHOOSE($AZ$1,Tính!$E$17,Tính!$J$17,Tính!$O$17,Tính!$T$17))</f>
        <v>0</v>
      </c>
      <c r="BE17">
        <f>IF($AZ$1=0,Tính!$AB$17,CHOOSE($AZ$1,Tính!$I$17,Tính!$N$17,Tính!$S$17,Tính!$X$17))</f>
        <v>0</v>
      </c>
      <c r="BF17">
        <f>IF($AZ$1=0,Tính!$AA$17,CHOOSE($AZ$1,Tính!$H$17,Tính!$M$17,Tính!$R$17,Tính!$W$17))</f>
        <v>0</v>
      </c>
      <c r="BG17">
        <f t="shared" si="0"/>
        <v>0</v>
      </c>
      <c r="BH17">
        <f t="shared" si="1"/>
        <v>0</v>
      </c>
      <c r="BI17">
        <f>IF(BA17="",-1,IF(BB17="Chính",1000,0)+BH17+(20-15)/100000)</f>
        <v>-1</v>
      </c>
      <c r="BJ17" t="str">
        <f>IF(LARGE($BI$3:$BI$22,15)&lt;0,"",MATCH(LARGE($BI$3:$BI$22,15),$BI$3:$BI$22,0))</f>
        <v/>
      </c>
      <c r="BK17" t="str">
        <f>IF(15=1,IF($BK$1&gt;0,"C",""),IF(15&lt;=$BK$1+1,"g",IF(15=$BK$1+2,IF($BL$1&gt;0,"V",""),IF(15&lt;=$BK$1+2+$BL$1,"g",""))))</f>
        <v/>
      </c>
      <c r="BL17" t="str">
        <f>IF(BK17="g",IF(15&lt;=$BK$1+1,15-1,15-2),"")</f>
        <v/>
      </c>
      <c r="CA17">
        <v>15</v>
      </c>
      <c r="CB17">
        <f>IF(Tính!B53="",0,IF(OR($AZ$1=0,Tính!D53=$AZ$1),1,0))</f>
        <v>0</v>
      </c>
      <c r="CC17">
        <f>IF(CB17=1,Tính!L53*1000+Tính!M53+1+(45-15)/1000000,-1)</f>
        <v>-1</v>
      </c>
      <c r="CD17" t="str">
        <f>IF(LARGE($CC$3:$CC$47,15)&lt;0,"",MATCH(LARGE($CC$3:$CC$47,15),$CC$3:$CC$47,0))</f>
        <v/>
      </c>
    </row>
    <row r="18" spans="1:82" x14ac:dyDescent="0.3">
      <c r="A18" s="54" t="str">
        <f>IF($BK$9="C","NHÓM CHÍNH",IF($BK$9="V","NHÓM VƯỢT TRỘI",IF($BL$9="","",INDEX($BA$3:$BA$22,INDEX($BJ$3:$BJ$22,$BL$9)))))</f>
        <v/>
      </c>
      <c r="B18" s="52"/>
      <c r="C18" s="26" t="str">
        <f>IF($BL$9="","",INDEX($BE$3:$BE$22,INDEX($BJ$3:$BJ$22,$BL$9)))</f>
        <v/>
      </c>
      <c r="D18" s="26" t="str">
        <f>IF($BL$9="","",INDEX($BF$3:$BF$22,INDEX($BJ$3:$BJ$22,$BL$9)))</f>
        <v/>
      </c>
      <c r="E18" s="27" t="str">
        <f>IF($BK$9="C",SUMPRODUCT(($BB$3:$BB$22="Chính")*($BF$3:$BF$22&gt;0)*($BF$3:$BF$22&gt;=0.995*$BE$3:$BE$22))&amp;"/"&amp;$BK$1,IF($BK$9="V",SUMPRODUCT(($BB$3:$BB$22="Vượt trội")*($BF$3:$BF$22&gt;0)*($BF$3:$BF$22&gt;=0.995*$BE$3:$BE$22))&amp;"/"&amp;$BL$1,IF($BL$9="","",IF(D18=0,"-",IF(C18&gt;0,D18/C18,1)))))</f>
        <v/>
      </c>
      <c r="G18" s="12" t="str">
        <f t="shared" si="2"/>
        <v/>
      </c>
      <c r="H18" s="26" t="str">
        <f>IF($BL$9="","",INDEX($BC$3:$BC$22,INDEX($BJ$3:$BJ$22,$BL$9)))</f>
        <v/>
      </c>
      <c r="I18" s="26" t="str">
        <f>IF($BL$9="","",INDEX($BD$3:$BD$22,INDEX($BJ$3:$BJ$22,$BL$9)))</f>
        <v/>
      </c>
      <c r="J18" s="27" t="str">
        <f>IF($BL$9="","",IF(H18&gt;0,I18/H18,1))</f>
        <v/>
      </c>
      <c r="K18" s="27" t="str">
        <f>IF($BK$9="C",COUNTIFS($BB$3:$BB$22,"Chính",$BG$3:$BG$22,"&gt;=0.995")&amp;"/"&amp;$BK$1,IF($BK$9="V",COUNTIFS($BB$3:$BB$22,"Vượt trội",$BG$3:$BG$22,"&gt;=0.995")&amp;"/"&amp;$BL$1,IF($BL$9="","",INDEX($BG$3:$BG$22,INDEX($BJ$3:$BJ$22,$BL$9)))))</f>
        <v/>
      </c>
      <c r="L18" s="27" t="str">
        <f>IF($BK$9="C",COUNTIFS($BB$3:$BB$22,"Chính",$BH$3:$BH$22,"&gt;=0.995")&amp;"/"&amp;$BK$1,IF($BK$9="V",COUNTIFS($BB$3:$BB$22,"Vượt trội",$BH$3:$BH$22,"&gt;=0.995")&amp;"/"&amp;$BL$1,IF($BL$9="","",INDEX($BH$3:$BH$22,INDEX($BJ$3:$BJ$22,$BL$9)))))</f>
        <v/>
      </c>
      <c r="AW18" t="str">
        <f>$BK$9</f>
        <v/>
      </c>
      <c r="BA18" t="str">
        <f>Tính!B18</f>
        <v/>
      </c>
      <c r="BB18" t="str">
        <f>Tính!D18</f>
        <v/>
      </c>
      <c r="BC18">
        <f>IF($AZ$1=0,Tính!$Z$18,CHOOSE($AZ$1,Tính!$G$18,Tính!$L$18,Tính!$Q$18,Tính!$V$18))</f>
        <v>0</v>
      </c>
      <c r="BD18">
        <f>IF($AZ$1=0,Tính!$Y$18,CHOOSE($AZ$1,Tính!$E$18,Tính!$J$18,Tính!$O$18,Tính!$T$18))</f>
        <v>0</v>
      </c>
      <c r="BE18">
        <f>IF($AZ$1=0,Tính!$AB$18,CHOOSE($AZ$1,Tính!$I$18,Tính!$N$18,Tính!$S$18,Tính!$X$18))</f>
        <v>0</v>
      </c>
      <c r="BF18">
        <f>IF($AZ$1=0,Tính!$AA$18,CHOOSE($AZ$1,Tính!$H$18,Tính!$M$18,Tính!$R$18,Tính!$W$18))</f>
        <v>0</v>
      </c>
      <c r="BG18">
        <f t="shared" si="0"/>
        <v>0</v>
      </c>
      <c r="BH18">
        <f t="shared" si="1"/>
        <v>0</v>
      </c>
      <c r="BI18">
        <f>IF(BA18="",-1,IF(BB18="Chính",1000,0)+BH18+(20-16)/100000)</f>
        <v>-1</v>
      </c>
      <c r="BJ18" t="str">
        <f>IF(LARGE($BI$3:$BI$22,16)&lt;0,"",MATCH(LARGE($BI$3:$BI$22,16),$BI$3:$BI$22,0))</f>
        <v/>
      </c>
      <c r="BK18" t="str">
        <f>IF(16=1,IF($BK$1&gt;0,"C",""),IF(16&lt;=$BK$1+1,"g",IF(16=$BK$1+2,IF($BL$1&gt;0,"V",""),IF(16&lt;=$BK$1+2+$BL$1,"g",""))))</f>
        <v/>
      </c>
      <c r="BL18" t="str">
        <f>IF(BK18="g",IF(16&lt;=$BK$1+1,16-1,16-2),"")</f>
        <v/>
      </c>
      <c r="CA18">
        <v>16</v>
      </c>
      <c r="CB18">
        <f>IF(Tính!B54="",0,IF(OR($AZ$1=0,Tính!D54=$AZ$1),1,0))</f>
        <v>0</v>
      </c>
      <c r="CC18">
        <f>IF(CB18=1,Tính!L54*1000+Tính!M54+1+(45-16)/1000000,-1)</f>
        <v>-1</v>
      </c>
      <c r="CD18" t="str">
        <f>IF(LARGE($CC$3:$CC$47,16)&lt;0,"",MATCH(LARGE($CC$3:$CC$47,16),$CC$3:$CC$47,0))</f>
        <v/>
      </c>
    </row>
    <row r="19" spans="1:82" x14ac:dyDescent="0.3">
      <c r="A19" s="54" t="str">
        <f>IF($BK$10="C","NHÓM CHÍNH",IF($BK$10="V","NHÓM VƯỢT TRỘI",IF($BL$10="","",INDEX($BA$3:$BA$22,INDEX($BJ$3:$BJ$22,$BL$10)))))</f>
        <v/>
      </c>
      <c r="B19" s="52"/>
      <c r="C19" s="26" t="str">
        <f>IF($BL$10="","",INDEX($BE$3:$BE$22,INDEX($BJ$3:$BJ$22,$BL$10)))</f>
        <v/>
      </c>
      <c r="D19" s="26" t="str">
        <f>IF($BL$10="","",INDEX($BF$3:$BF$22,INDEX($BJ$3:$BJ$22,$BL$10)))</f>
        <v/>
      </c>
      <c r="E19" s="27" t="str">
        <f>IF($BK$10="C",SUMPRODUCT(($BB$3:$BB$22="Chính")*($BF$3:$BF$22&gt;0)*($BF$3:$BF$22&gt;=0.995*$BE$3:$BE$22))&amp;"/"&amp;$BK$1,IF($BK$10="V",SUMPRODUCT(($BB$3:$BB$22="Vượt trội")*($BF$3:$BF$22&gt;0)*($BF$3:$BF$22&gt;=0.995*$BE$3:$BE$22))&amp;"/"&amp;$BL$1,IF($BL$10="","",IF(D19=0,"-",IF(C19&gt;0,D19/C19,1)))))</f>
        <v/>
      </c>
      <c r="G19" s="12" t="str">
        <f t="shared" si="2"/>
        <v/>
      </c>
      <c r="H19" s="26" t="str">
        <f>IF($BL$10="","",INDEX($BC$3:$BC$22,INDEX($BJ$3:$BJ$22,$BL$10)))</f>
        <v/>
      </c>
      <c r="I19" s="26" t="str">
        <f>IF($BL$10="","",INDEX($BD$3:$BD$22,INDEX($BJ$3:$BJ$22,$BL$10)))</f>
        <v/>
      </c>
      <c r="J19" s="27" t="str">
        <f>IF($BL$10="","",IF(H19&gt;0,I19/H19,1))</f>
        <v/>
      </c>
      <c r="K19" s="27" t="str">
        <f>IF($BK$10="C",COUNTIFS($BB$3:$BB$22,"Chính",$BG$3:$BG$22,"&gt;=0.995")&amp;"/"&amp;$BK$1,IF($BK$10="V",COUNTIFS($BB$3:$BB$22,"Vượt trội",$BG$3:$BG$22,"&gt;=0.995")&amp;"/"&amp;$BL$1,IF($BL$10="","",INDEX($BG$3:$BG$22,INDEX($BJ$3:$BJ$22,$BL$10)))))</f>
        <v/>
      </c>
      <c r="L19" s="27" t="str">
        <f>IF($BK$10="C",COUNTIFS($BB$3:$BB$22,"Chính",$BH$3:$BH$22,"&gt;=0.995")&amp;"/"&amp;$BK$1,IF($BK$10="V",COUNTIFS($BB$3:$BB$22,"Vượt trội",$BH$3:$BH$22,"&gt;=0.995")&amp;"/"&amp;$BL$1,IF($BL$10="","",INDEX($BH$3:$BH$22,INDEX($BJ$3:$BJ$22,$BL$10)))))</f>
        <v/>
      </c>
      <c r="AW19" t="str">
        <f>$BK$10</f>
        <v/>
      </c>
      <c r="BA19" t="str">
        <f>Tính!B19</f>
        <v/>
      </c>
      <c r="BB19" t="str">
        <f>Tính!D19</f>
        <v/>
      </c>
      <c r="BC19">
        <f>IF($AZ$1=0,Tính!$Z$19,CHOOSE($AZ$1,Tính!$G$19,Tính!$L$19,Tính!$Q$19,Tính!$V$19))</f>
        <v>0</v>
      </c>
      <c r="BD19">
        <f>IF($AZ$1=0,Tính!$Y$19,CHOOSE($AZ$1,Tính!$E$19,Tính!$J$19,Tính!$O$19,Tính!$T$19))</f>
        <v>0</v>
      </c>
      <c r="BE19">
        <f>IF($AZ$1=0,Tính!$AB$19,CHOOSE($AZ$1,Tính!$I$19,Tính!$N$19,Tính!$S$19,Tính!$X$19))</f>
        <v>0</v>
      </c>
      <c r="BF19">
        <f>IF($AZ$1=0,Tính!$AA$19,CHOOSE($AZ$1,Tính!$H$19,Tính!$M$19,Tính!$R$19,Tính!$W$19))</f>
        <v>0</v>
      </c>
      <c r="BG19">
        <f t="shared" si="0"/>
        <v>0</v>
      </c>
      <c r="BH19">
        <f t="shared" si="1"/>
        <v>0</v>
      </c>
      <c r="BI19">
        <f>IF(BA19="",-1,IF(BB19="Chính",1000,0)+BH19+(20-17)/100000)</f>
        <v>-1</v>
      </c>
      <c r="BJ19" t="str">
        <f>IF(LARGE($BI$3:$BI$22,17)&lt;0,"",MATCH(LARGE($BI$3:$BI$22,17),$BI$3:$BI$22,0))</f>
        <v/>
      </c>
      <c r="BK19" t="str">
        <f>IF(17=1,IF($BK$1&gt;0,"C",""),IF(17&lt;=$BK$1+1,"g",IF(17=$BK$1+2,IF($BL$1&gt;0,"V",""),IF(17&lt;=$BK$1+2+$BL$1,"g",""))))</f>
        <v/>
      </c>
      <c r="BL19" t="str">
        <f>IF(BK19="g",IF(17&lt;=$BK$1+1,17-1,17-2),"")</f>
        <v/>
      </c>
      <c r="CA19">
        <v>17</v>
      </c>
      <c r="CB19">
        <f>IF(Tính!B55="",0,IF(OR($AZ$1=0,Tính!D55=$AZ$1),1,0))</f>
        <v>0</v>
      </c>
      <c r="CC19">
        <f>IF(CB19=1,Tính!L55*1000+Tính!M55+1+(45-17)/1000000,-1)</f>
        <v>-1</v>
      </c>
      <c r="CD19" t="str">
        <f>IF(LARGE($CC$3:$CC$47,17)&lt;0,"",MATCH(LARGE($CC$3:$CC$47,17),$CC$3:$CC$47,0))</f>
        <v/>
      </c>
    </row>
    <row r="20" spans="1:82" x14ac:dyDescent="0.3">
      <c r="A20" s="54" t="str">
        <f>IF($BK$11="C","NHÓM CHÍNH",IF($BK$11="V","NHÓM VƯỢT TRỘI",IF($BL$11="","",INDEX($BA$3:$BA$22,INDEX($BJ$3:$BJ$22,$BL$11)))))</f>
        <v/>
      </c>
      <c r="B20" s="52"/>
      <c r="C20" s="26" t="str">
        <f>IF($BL$11="","",INDEX($BE$3:$BE$22,INDEX($BJ$3:$BJ$22,$BL$11)))</f>
        <v/>
      </c>
      <c r="D20" s="26" t="str">
        <f>IF($BL$11="","",INDEX($BF$3:$BF$22,INDEX($BJ$3:$BJ$22,$BL$11)))</f>
        <v/>
      </c>
      <c r="E20" s="27" t="str">
        <f>IF($BK$11="C",SUMPRODUCT(($BB$3:$BB$22="Chính")*($BF$3:$BF$22&gt;0)*($BF$3:$BF$22&gt;=0.995*$BE$3:$BE$22))&amp;"/"&amp;$BK$1,IF($BK$11="V",SUMPRODUCT(($BB$3:$BB$22="Vượt trội")*($BF$3:$BF$22&gt;0)*($BF$3:$BF$22&gt;=0.995*$BE$3:$BE$22))&amp;"/"&amp;$BL$1,IF($BL$11="","",IF(D20=0,"-",IF(C20&gt;0,D20/C20,1)))))</f>
        <v/>
      </c>
      <c r="G20" s="12" t="str">
        <f t="shared" si="2"/>
        <v/>
      </c>
      <c r="H20" s="26" t="str">
        <f>IF($BL$11="","",INDEX($BC$3:$BC$22,INDEX($BJ$3:$BJ$22,$BL$11)))</f>
        <v/>
      </c>
      <c r="I20" s="26" t="str">
        <f>IF($BL$11="","",INDEX($BD$3:$BD$22,INDEX($BJ$3:$BJ$22,$BL$11)))</f>
        <v/>
      </c>
      <c r="J20" s="27" t="str">
        <f>IF($BL$11="","",IF(H20&gt;0,I20/H20,1))</f>
        <v/>
      </c>
      <c r="K20" s="27" t="str">
        <f>IF($BK$11="C",COUNTIFS($BB$3:$BB$22,"Chính",$BG$3:$BG$22,"&gt;=0.995")&amp;"/"&amp;$BK$1,IF($BK$11="V",COUNTIFS($BB$3:$BB$22,"Vượt trội",$BG$3:$BG$22,"&gt;=0.995")&amp;"/"&amp;$BL$1,IF($BL$11="","",INDEX($BG$3:$BG$22,INDEX($BJ$3:$BJ$22,$BL$11)))))</f>
        <v/>
      </c>
      <c r="L20" s="27" t="str">
        <f>IF($BK$11="C",COUNTIFS($BB$3:$BB$22,"Chính",$BH$3:$BH$22,"&gt;=0.995")&amp;"/"&amp;$BK$1,IF($BK$11="V",COUNTIFS($BB$3:$BB$22,"Vượt trội",$BH$3:$BH$22,"&gt;=0.995")&amp;"/"&amp;$BL$1,IF($BL$11="","",INDEX($BH$3:$BH$22,INDEX($BJ$3:$BJ$22,$BL$11)))))</f>
        <v/>
      </c>
      <c r="AW20" t="str">
        <f>$BK$11</f>
        <v/>
      </c>
      <c r="BA20" t="str">
        <f>Tính!B20</f>
        <v/>
      </c>
      <c r="BB20" t="str">
        <f>Tính!D20</f>
        <v/>
      </c>
      <c r="BC20">
        <f>IF($AZ$1=0,Tính!$Z$20,CHOOSE($AZ$1,Tính!$G$20,Tính!$L$20,Tính!$Q$20,Tính!$V$20))</f>
        <v>0</v>
      </c>
      <c r="BD20">
        <f>IF($AZ$1=0,Tính!$Y$20,CHOOSE($AZ$1,Tính!$E$20,Tính!$J$20,Tính!$O$20,Tính!$T$20))</f>
        <v>0</v>
      </c>
      <c r="BE20">
        <f>IF($AZ$1=0,Tính!$AB$20,CHOOSE($AZ$1,Tính!$I$20,Tính!$N$20,Tính!$S$20,Tính!$X$20))</f>
        <v>0</v>
      </c>
      <c r="BF20">
        <f>IF($AZ$1=0,Tính!$AA$20,CHOOSE($AZ$1,Tính!$H$20,Tính!$M$20,Tính!$R$20,Tính!$W$20))</f>
        <v>0</v>
      </c>
      <c r="BG20">
        <f t="shared" si="0"/>
        <v>0</v>
      </c>
      <c r="BH20">
        <f t="shared" si="1"/>
        <v>0</v>
      </c>
      <c r="BI20">
        <f>IF(BA20="",-1,IF(BB20="Chính",1000,0)+BH20+(20-18)/100000)</f>
        <v>-1</v>
      </c>
      <c r="BJ20" t="str">
        <f>IF(LARGE($BI$3:$BI$22,18)&lt;0,"",MATCH(LARGE($BI$3:$BI$22,18),$BI$3:$BI$22,0))</f>
        <v/>
      </c>
      <c r="BK20" t="str">
        <f>IF(18=1,IF($BK$1&gt;0,"C",""),IF(18&lt;=$BK$1+1,"g",IF(18=$BK$1+2,IF($BL$1&gt;0,"V",""),IF(18&lt;=$BK$1+2+$BL$1,"g",""))))</f>
        <v/>
      </c>
      <c r="BL20" t="str">
        <f>IF(BK20="g",IF(18&lt;=$BK$1+1,18-1,18-2),"")</f>
        <v/>
      </c>
      <c r="CA20">
        <v>18</v>
      </c>
      <c r="CB20">
        <f>IF(Tính!B56="",0,IF(OR($AZ$1=0,Tính!D56=$AZ$1),1,0))</f>
        <v>0</v>
      </c>
      <c r="CC20">
        <f>IF(CB20=1,Tính!L56*1000+Tính!M56+1+(45-18)/1000000,-1)</f>
        <v>-1</v>
      </c>
      <c r="CD20" t="str">
        <f>IF(LARGE($CC$3:$CC$47,18)&lt;0,"",MATCH(LARGE($CC$3:$CC$47,18),$CC$3:$CC$47,0))</f>
        <v/>
      </c>
    </row>
    <row r="21" spans="1:82" x14ac:dyDescent="0.3">
      <c r="A21" s="54" t="str">
        <f>IF($BK$12="C","NHÓM CHÍNH",IF($BK$12="V","NHÓM VƯỢT TRỘI",IF($BL$12="","",INDEX($BA$3:$BA$22,INDEX($BJ$3:$BJ$22,$BL$12)))))</f>
        <v/>
      </c>
      <c r="B21" s="52"/>
      <c r="C21" s="26" t="str">
        <f>IF($BL$12="","",INDEX($BE$3:$BE$22,INDEX($BJ$3:$BJ$22,$BL$12)))</f>
        <v/>
      </c>
      <c r="D21" s="26" t="str">
        <f>IF($BL$12="","",INDEX($BF$3:$BF$22,INDEX($BJ$3:$BJ$22,$BL$12)))</f>
        <v/>
      </c>
      <c r="E21" s="27" t="str">
        <f>IF($BK$12="C",SUMPRODUCT(($BB$3:$BB$22="Chính")*($BF$3:$BF$22&gt;0)*($BF$3:$BF$22&gt;=0.995*$BE$3:$BE$22))&amp;"/"&amp;$BK$1,IF($BK$12="V",SUMPRODUCT(($BB$3:$BB$22="Vượt trội")*($BF$3:$BF$22&gt;0)*($BF$3:$BF$22&gt;=0.995*$BE$3:$BE$22))&amp;"/"&amp;$BL$1,IF($BL$12="","",IF(D21=0,"-",IF(C21&gt;0,D21/C21,1)))))</f>
        <v/>
      </c>
      <c r="G21" s="12" t="str">
        <f t="shared" si="2"/>
        <v/>
      </c>
      <c r="H21" s="26" t="str">
        <f>IF($BL$12="","",INDEX($BC$3:$BC$22,INDEX($BJ$3:$BJ$22,$BL$12)))</f>
        <v/>
      </c>
      <c r="I21" s="26" t="str">
        <f>IF($BL$12="","",INDEX($BD$3:$BD$22,INDEX($BJ$3:$BJ$22,$BL$12)))</f>
        <v/>
      </c>
      <c r="J21" s="27" t="str">
        <f>IF($BL$12="","",IF(H21&gt;0,I21/H21,1))</f>
        <v/>
      </c>
      <c r="K21" s="27" t="str">
        <f>IF($BK$12="C",COUNTIFS($BB$3:$BB$22,"Chính",$BG$3:$BG$22,"&gt;=0.995")&amp;"/"&amp;$BK$1,IF($BK$12="V",COUNTIFS($BB$3:$BB$22,"Vượt trội",$BG$3:$BG$22,"&gt;=0.995")&amp;"/"&amp;$BL$1,IF($BL$12="","",INDEX($BG$3:$BG$22,INDEX($BJ$3:$BJ$22,$BL$12)))))</f>
        <v/>
      </c>
      <c r="L21" s="27" t="str">
        <f>IF($BK$12="C",COUNTIFS($BB$3:$BB$22,"Chính",$BH$3:$BH$22,"&gt;=0.995")&amp;"/"&amp;$BK$1,IF($BK$12="V",COUNTIFS($BB$3:$BB$22,"Vượt trội",$BH$3:$BH$22,"&gt;=0.995")&amp;"/"&amp;$BL$1,IF($BL$12="","",INDEX($BH$3:$BH$22,INDEX($BJ$3:$BJ$22,$BL$12)))))</f>
        <v/>
      </c>
      <c r="AW21" t="str">
        <f>$BK$12</f>
        <v/>
      </c>
      <c r="BA21" t="str">
        <f>Tính!B21</f>
        <v/>
      </c>
      <c r="BB21" t="str">
        <f>Tính!D21</f>
        <v/>
      </c>
      <c r="BC21">
        <f>IF($AZ$1=0,Tính!$Z$21,CHOOSE($AZ$1,Tính!$G$21,Tính!$L$21,Tính!$Q$21,Tính!$V$21))</f>
        <v>0</v>
      </c>
      <c r="BD21">
        <f>IF($AZ$1=0,Tính!$Y$21,CHOOSE($AZ$1,Tính!$E$21,Tính!$J$21,Tính!$O$21,Tính!$T$21))</f>
        <v>0</v>
      </c>
      <c r="BE21">
        <f>IF($AZ$1=0,Tính!$AB$21,CHOOSE($AZ$1,Tính!$I$21,Tính!$N$21,Tính!$S$21,Tính!$X$21))</f>
        <v>0</v>
      </c>
      <c r="BF21">
        <f>IF($AZ$1=0,Tính!$AA$21,CHOOSE($AZ$1,Tính!$H$21,Tính!$M$21,Tính!$R$21,Tính!$W$21))</f>
        <v>0</v>
      </c>
      <c r="BG21">
        <f t="shared" si="0"/>
        <v>0</v>
      </c>
      <c r="BH21">
        <f t="shared" si="1"/>
        <v>0</v>
      </c>
      <c r="BI21">
        <f>IF(BA21="",-1,IF(BB21="Chính",1000,0)+BH21+(20-19)/100000)</f>
        <v>-1</v>
      </c>
      <c r="BJ21" t="str">
        <f>IF(LARGE($BI$3:$BI$22,19)&lt;0,"",MATCH(LARGE($BI$3:$BI$22,19),$BI$3:$BI$22,0))</f>
        <v/>
      </c>
      <c r="BK21" t="str">
        <f>IF(19=1,IF($BK$1&gt;0,"C",""),IF(19&lt;=$BK$1+1,"g",IF(19=$BK$1+2,IF($BL$1&gt;0,"V",""),IF(19&lt;=$BK$1+2+$BL$1,"g",""))))</f>
        <v/>
      </c>
      <c r="BL21" t="str">
        <f>IF(BK21="g",IF(19&lt;=$BK$1+1,19-1,19-2),"")</f>
        <v/>
      </c>
      <c r="CA21">
        <v>19</v>
      </c>
      <c r="CB21">
        <f>IF(Tính!B57="",0,IF(OR($AZ$1=0,Tính!D57=$AZ$1),1,0))</f>
        <v>0</v>
      </c>
      <c r="CC21">
        <f>IF(CB21=1,Tính!L57*1000+Tính!M57+1+(45-19)/1000000,-1)</f>
        <v>-1</v>
      </c>
      <c r="CD21" t="str">
        <f>IF(LARGE($CC$3:$CC$47,19)&lt;0,"",MATCH(LARGE($CC$3:$CC$47,19),$CC$3:$CC$47,0))</f>
        <v/>
      </c>
    </row>
    <row r="22" spans="1:82" x14ac:dyDescent="0.3">
      <c r="A22" s="54" t="str">
        <f>IF($BK$13="C","NHÓM CHÍNH",IF($BK$13="V","NHÓM VƯỢT TRỘI",IF($BL$13="","",INDEX($BA$3:$BA$22,INDEX($BJ$3:$BJ$22,$BL$13)))))</f>
        <v/>
      </c>
      <c r="B22" s="52"/>
      <c r="C22" s="26" t="str">
        <f>IF($BL$13="","",INDEX($BE$3:$BE$22,INDEX($BJ$3:$BJ$22,$BL$13)))</f>
        <v/>
      </c>
      <c r="D22" s="26" t="str">
        <f>IF($BL$13="","",INDEX($BF$3:$BF$22,INDEX($BJ$3:$BJ$22,$BL$13)))</f>
        <v/>
      </c>
      <c r="E22" s="27" t="str">
        <f>IF($BK$13="C",SUMPRODUCT(($BB$3:$BB$22="Chính")*($BF$3:$BF$22&gt;0)*($BF$3:$BF$22&gt;=0.995*$BE$3:$BE$22))&amp;"/"&amp;$BK$1,IF($BK$13="V",SUMPRODUCT(($BB$3:$BB$22="Vượt trội")*($BF$3:$BF$22&gt;0)*($BF$3:$BF$22&gt;=0.995*$BE$3:$BE$22))&amp;"/"&amp;$BL$1,IF($BL$13="","",IF(D22=0,"-",IF(C22&gt;0,D22/C22,1)))))</f>
        <v/>
      </c>
      <c r="G22" s="12" t="str">
        <f t="shared" si="2"/>
        <v/>
      </c>
      <c r="H22" s="26" t="str">
        <f>IF($BL$13="","",INDEX($BC$3:$BC$22,INDEX($BJ$3:$BJ$22,$BL$13)))</f>
        <v/>
      </c>
      <c r="I22" s="26" t="str">
        <f>IF($BL$13="","",INDEX($BD$3:$BD$22,INDEX($BJ$3:$BJ$22,$BL$13)))</f>
        <v/>
      </c>
      <c r="J22" s="27" t="str">
        <f>IF($BL$13="","",IF(H22&gt;0,I22/H22,1))</f>
        <v/>
      </c>
      <c r="K22" s="27" t="str">
        <f>IF($BK$13="C",COUNTIFS($BB$3:$BB$22,"Chính",$BG$3:$BG$22,"&gt;=0.995")&amp;"/"&amp;$BK$1,IF($BK$13="V",COUNTIFS($BB$3:$BB$22,"Vượt trội",$BG$3:$BG$22,"&gt;=0.995")&amp;"/"&amp;$BL$1,IF($BL$13="","",INDEX($BG$3:$BG$22,INDEX($BJ$3:$BJ$22,$BL$13)))))</f>
        <v/>
      </c>
      <c r="L22" s="27" t="str">
        <f>IF($BK$13="C",COUNTIFS($BB$3:$BB$22,"Chính",$BH$3:$BH$22,"&gt;=0.995")&amp;"/"&amp;$BK$1,IF($BK$13="V",COUNTIFS($BB$3:$BB$22,"Vượt trội",$BH$3:$BH$22,"&gt;=0.995")&amp;"/"&amp;$BL$1,IF($BL$13="","",INDEX($BH$3:$BH$22,INDEX($BJ$3:$BJ$22,$BL$13)))))</f>
        <v/>
      </c>
      <c r="AW22" t="str">
        <f>$BK$13</f>
        <v/>
      </c>
      <c r="BA22" t="str">
        <f>Tính!B22</f>
        <v/>
      </c>
      <c r="BB22" t="str">
        <f>Tính!D22</f>
        <v/>
      </c>
      <c r="BC22">
        <f>IF($AZ$1=0,Tính!$Z$22,CHOOSE($AZ$1,Tính!$G$22,Tính!$L$22,Tính!$Q$22,Tính!$V$22))</f>
        <v>0</v>
      </c>
      <c r="BD22">
        <f>IF($AZ$1=0,Tính!$Y$22,CHOOSE($AZ$1,Tính!$E$22,Tính!$J$22,Tính!$O$22,Tính!$T$22))</f>
        <v>0</v>
      </c>
      <c r="BE22">
        <f>IF($AZ$1=0,Tính!$AB$22,CHOOSE($AZ$1,Tính!$I$22,Tính!$N$22,Tính!$S$22,Tính!$X$22))</f>
        <v>0</v>
      </c>
      <c r="BF22">
        <f>IF($AZ$1=0,Tính!$AA$22,CHOOSE($AZ$1,Tính!$H$22,Tính!$M$22,Tính!$R$22,Tính!$W$22))</f>
        <v>0</v>
      </c>
      <c r="BG22">
        <f t="shared" si="0"/>
        <v>0</v>
      </c>
      <c r="BH22">
        <f t="shared" si="1"/>
        <v>0</v>
      </c>
      <c r="BI22">
        <f>IF(BA22="",-1,IF(BB22="Chính",1000,0)+BH22+(20-20)/100000)</f>
        <v>-1</v>
      </c>
      <c r="BJ22" t="str">
        <f>IF(LARGE($BI$3:$BI$22,20)&lt;0,"",MATCH(LARGE($BI$3:$BI$22,20),$BI$3:$BI$22,0))</f>
        <v/>
      </c>
      <c r="BK22" t="str">
        <f>IF(20=1,IF($BK$1&gt;0,"C",""),IF(20&lt;=$BK$1+1,"g",IF(20=$BK$1+2,IF($BL$1&gt;0,"V",""),IF(20&lt;=$BK$1+2+$BL$1,"g",""))))</f>
        <v/>
      </c>
      <c r="BL22" t="str">
        <f>IF(BK22="g",IF(20&lt;=$BK$1+1,20-1,20-2),"")</f>
        <v/>
      </c>
      <c r="CA22">
        <v>20</v>
      </c>
      <c r="CB22">
        <f>IF(Tính!B58="",0,IF(OR($AZ$1=0,Tính!D58=$AZ$1),1,0))</f>
        <v>0</v>
      </c>
      <c r="CC22">
        <f>IF(CB22=1,Tính!L58*1000+Tính!M58+1+(45-20)/1000000,-1)</f>
        <v>-1</v>
      </c>
      <c r="CD22" t="str">
        <f>IF(LARGE($CC$3:$CC$47,20)&lt;0,"",MATCH(LARGE($CC$3:$CC$47,20),$CC$3:$CC$47,0))</f>
        <v/>
      </c>
    </row>
    <row r="23" spans="1:82" x14ac:dyDescent="0.3">
      <c r="A23" s="54" t="str">
        <f>IF($BK$14="C","NHÓM CHÍNH",IF($BK$14="V","NHÓM VƯỢT TRỘI",IF($BL$14="","",INDEX($BA$3:$BA$22,INDEX($BJ$3:$BJ$22,$BL$14)))))</f>
        <v/>
      </c>
      <c r="B23" s="52"/>
      <c r="C23" s="26" t="str">
        <f>IF($BL$14="","",INDEX($BE$3:$BE$22,INDEX($BJ$3:$BJ$22,$BL$14)))</f>
        <v/>
      </c>
      <c r="D23" s="26" t="str">
        <f>IF($BL$14="","",INDEX($BF$3:$BF$22,INDEX($BJ$3:$BJ$22,$BL$14)))</f>
        <v/>
      </c>
      <c r="E23" s="27" t="str">
        <f>IF($BK$14="C",SUMPRODUCT(($BB$3:$BB$22="Chính")*($BF$3:$BF$22&gt;0)*($BF$3:$BF$22&gt;=0.995*$BE$3:$BE$22))&amp;"/"&amp;$BK$1,IF($BK$14="V",SUMPRODUCT(($BB$3:$BB$22="Vượt trội")*($BF$3:$BF$22&gt;0)*($BF$3:$BF$22&gt;=0.995*$BE$3:$BE$22))&amp;"/"&amp;$BL$1,IF($BL$14="","",IF(D23=0,"-",IF(C23&gt;0,D23/C23,1)))))</f>
        <v/>
      </c>
      <c r="G23" s="12" t="str">
        <f t="shared" si="2"/>
        <v/>
      </c>
      <c r="H23" s="26" t="str">
        <f>IF($BL$14="","",INDEX($BC$3:$BC$22,INDEX($BJ$3:$BJ$22,$BL$14)))</f>
        <v/>
      </c>
      <c r="I23" s="26" t="str">
        <f>IF($BL$14="","",INDEX($BD$3:$BD$22,INDEX($BJ$3:$BJ$22,$BL$14)))</f>
        <v/>
      </c>
      <c r="J23" s="27" t="str">
        <f>IF($BL$14="","",IF(H23&gt;0,I23/H23,1))</f>
        <v/>
      </c>
      <c r="K23" s="27" t="str">
        <f>IF($BK$14="C",COUNTIFS($BB$3:$BB$22,"Chính",$BG$3:$BG$22,"&gt;=0.995")&amp;"/"&amp;$BK$1,IF($BK$14="V",COUNTIFS($BB$3:$BB$22,"Vượt trội",$BG$3:$BG$22,"&gt;=0.995")&amp;"/"&amp;$BL$1,IF($BL$14="","",INDEX($BG$3:$BG$22,INDEX($BJ$3:$BJ$22,$BL$14)))))</f>
        <v/>
      </c>
      <c r="L23" s="27" t="str">
        <f>IF($BK$14="C",COUNTIFS($BB$3:$BB$22,"Chính",$BH$3:$BH$22,"&gt;=0.995")&amp;"/"&amp;$BK$1,IF($BK$14="V",COUNTIFS($BB$3:$BB$22,"Vượt trội",$BH$3:$BH$22,"&gt;=0.995")&amp;"/"&amp;$BL$1,IF($BL$14="","",INDEX($BH$3:$BH$22,INDEX($BJ$3:$BJ$22,$BL$14)))))</f>
        <v/>
      </c>
      <c r="AW23" t="str">
        <f>$BK$14</f>
        <v/>
      </c>
      <c r="BK23" t="str">
        <f>IF(21=1,IF($BK$1&gt;0,"C",""),IF(21&lt;=$BK$1+1,"g",IF(21=$BK$1+2,IF($BL$1&gt;0,"V",""),IF(21&lt;=$BK$1+2+$BL$1,"g",""))))</f>
        <v/>
      </c>
      <c r="BL23" t="str">
        <f>IF(BK23="g",IF(21&lt;=$BK$1+1,21-1,21-2),"")</f>
        <v/>
      </c>
      <c r="CA23">
        <v>21</v>
      </c>
      <c r="CB23">
        <f>IF(Tính!B59="",0,IF(OR($AZ$1=0,Tính!D59=$AZ$1),1,0))</f>
        <v>0</v>
      </c>
      <c r="CC23">
        <f>IF(CB23=1,Tính!L59*1000+Tính!M59+1+(45-21)/1000000,-1)</f>
        <v>-1</v>
      </c>
      <c r="CD23" t="str">
        <f>IF(LARGE($CC$3:$CC$47,21)&lt;0,"",MATCH(LARGE($CC$3:$CC$47,21),$CC$3:$CC$47,0))</f>
        <v/>
      </c>
    </row>
    <row r="24" spans="1:82" x14ac:dyDescent="0.3">
      <c r="A24" s="54" t="str">
        <f>IF($BK$15="C","NHÓM CHÍNH",IF($BK$15="V","NHÓM VƯỢT TRỘI",IF($BL$15="","",INDEX($BA$3:$BA$22,INDEX($BJ$3:$BJ$22,$BL$15)))))</f>
        <v/>
      </c>
      <c r="B24" s="52"/>
      <c r="C24" s="26" t="str">
        <f>IF($BL$15="","",INDEX($BE$3:$BE$22,INDEX($BJ$3:$BJ$22,$BL$15)))</f>
        <v/>
      </c>
      <c r="D24" s="26" t="str">
        <f>IF($BL$15="","",INDEX($BF$3:$BF$22,INDEX($BJ$3:$BJ$22,$BL$15)))</f>
        <v/>
      </c>
      <c r="E24" s="27" t="str">
        <f>IF($BK$15="C",SUMPRODUCT(($BB$3:$BB$22="Chính")*($BF$3:$BF$22&gt;0)*($BF$3:$BF$22&gt;=0.995*$BE$3:$BE$22))&amp;"/"&amp;$BK$1,IF($BK$15="V",SUMPRODUCT(($BB$3:$BB$22="Vượt trội")*($BF$3:$BF$22&gt;0)*($BF$3:$BF$22&gt;=0.995*$BE$3:$BE$22))&amp;"/"&amp;$BL$1,IF($BL$15="","",IF(D24=0,"-",IF(C24&gt;0,D24/C24,1)))))</f>
        <v/>
      </c>
      <c r="G24" s="12" t="str">
        <f t="shared" si="2"/>
        <v/>
      </c>
      <c r="H24" s="26" t="str">
        <f>IF($BL$15="","",INDEX($BC$3:$BC$22,INDEX($BJ$3:$BJ$22,$BL$15)))</f>
        <v/>
      </c>
      <c r="I24" s="26" t="str">
        <f>IF($BL$15="","",INDEX($BD$3:$BD$22,INDEX($BJ$3:$BJ$22,$BL$15)))</f>
        <v/>
      </c>
      <c r="J24" s="27" t="str">
        <f>IF($BL$15="","",IF(H24&gt;0,I24/H24,1))</f>
        <v/>
      </c>
      <c r="K24" s="27" t="str">
        <f>IF($BK$15="C",COUNTIFS($BB$3:$BB$22,"Chính",$BG$3:$BG$22,"&gt;=0.995")&amp;"/"&amp;$BK$1,IF($BK$15="V",COUNTIFS($BB$3:$BB$22,"Vượt trội",$BG$3:$BG$22,"&gt;=0.995")&amp;"/"&amp;$BL$1,IF($BL$15="","",INDEX($BG$3:$BG$22,INDEX($BJ$3:$BJ$22,$BL$15)))))</f>
        <v/>
      </c>
      <c r="L24" s="27" t="str">
        <f>IF($BK$15="C",COUNTIFS($BB$3:$BB$22,"Chính",$BH$3:$BH$22,"&gt;=0.995")&amp;"/"&amp;$BK$1,IF($BK$15="V",COUNTIFS($BB$3:$BB$22,"Vượt trội",$BH$3:$BH$22,"&gt;=0.995")&amp;"/"&amp;$BL$1,IF($BL$15="","",INDEX($BH$3:$BH$22,INDEX($BJ$3:$BJ$22,$BL$15)))))</f>
        <v/>
      </c>
      <c r="AW24" t="str">
        <f>$BK$15</f>
        <v/>
      </c>
      <c r="BK24" t="str">
        <f>IF(22=1,IF($BK$1&gt;0,"C",""),IF(22&lt;=$BK$1+1,"g",IF(22=$BK$1+2,IF($BL$1&gt;0,"V",""),IF(22&lt;=$BK$1+2+$BL$1,"g",""))))</f>
        <v/>
      </c>
      <c r="BL24" t="str">
        <f>IF(BK24="g",IF(22&lt;=$BK$1+1,22-1,22-2),"")</f>
        <v/>
      </c>
      <c r="CA24">
        <v>22</v>
      </c>
      <c r="CB24">
        <f>IF(Tính!B60="",0,IF(OR($AZ$1=0,Tính!D60=$AZ$1),1,0))</f>
        <v>0</v>
      </c>
      <c r="CC24">
        <f>IF(CB24=1,Tính!L60*1000+Tính!M60+1+(45-22)/1000000,-1)</f>
        <v>-1</v>
      </c>
      <c r="CD24" t="str">
        <f>IF(LARGE($CC$3:$CC$47,22)&lt;0,"",MATCH(LARGE($CC$3:$CC$47,22),$CC$3:$CC$47,0))</f>
        <v/>
      </c>
    </row>
    <row r="25" spans="1:82" x14ac:dyDescent="0.3">
      <c r="A25" s="54" t="str">
        <f>IF($BK$16="C","NHÓM CHÍNH",IF($BK$16="V","NHÓM VƯỢT TRỘI",IF($BL$16="","",INDEX($BA$3:$BA$22,INDEX($BJ$3:$BJ$22,$BL$16)))))</f>
        <v/>
      </c>
      <c r="B25" s="52"/>
      <c r="C25" s="26" t="str">
        <f>IF($BL$16="","",INDEX($BE$3:$BE$22,INDEX($BJ$3:$BJ$22,$BL$16)))</f>
        <v/>
      </c>
      <c r="D25" s="26" t="str">
        <f>IF($BL$16="","",INDEX($BF$3:$BF$22,INDEX($BJ$3:$BJ$22,$BL$16)))</f>
        <v/>
      </c>
      <c r="E25" s="27" t="str">
        <f>IF($BK$16="C",SUMPRODUCT(($BB$3:$BB$22="Chính")*($BF$3:$BF$22&gt;0)*($BF$3:$BF$22&gt;=0.995*$BE$3:$BE$22))&amp;"/"&amp;$BK$1,IF($BK$16="V",SUMPRODUCT(($BB$3:$BB$22="Vượt trội")*($BF$3:$BF$22&gt;0)*($BF$3:$BF$22&gt;=0.995*$BE$3:$BE$22))&amp;"/"&amp;$BL$1,IF($BL$16="","",IF(D25=0,"-",IF(C25&gt;0,D25/C25,1)))))</f>
        <v/>
      </c>
      <c r="G25" s="12" t="str">
        <f t="shared" si="2"/>
        <v/>
      </c>
      <c r="H25" s="26" t="str">
        <f>IF($BL$16="","",INDEX($BC$3:$BC$22,INDEX($BJ$3:$BJ$22,$BL$16)))</f>
        <v/>
      </c>
      <c r="I25" s="26" t="str">
        <f>IF($BL$16="","",INDEX($BD$3:$BD$22,INDEX($BJ$3:$BJ$22,$BL$16)))</f>
        <v/>
      </c>
      <c r="J25" s="27" t="str">
        <f>IF($BL$16="","",IF(H25&gt;0,I25/H25,1))</f>
        <v/>
      </c>
      <c r="K25" s="27" t="str">
        <f>IF($BK$16="C",COUNTIFS($BB$3:$BB$22,"Chính",$BG$3:$BG$22,"&gt;=0.995")&amp;"/"&amp;$BK$1,IF($BK$16="V",COUNTIFS($BB$3:$BB$22,"Vượt trội",$BG$3:$BG$22,"&gt;=0.995")&amp;"/"&amp;$BL$1,IF($BL$16="","",INDEX($BG$3:$BG$22,INDEX($BJ$3:$BJ$22,$BL$16)))))</f>
        <v/>
      </c>
      <c r="L25" s="27" t="str">
        <f>IF($BK$16="C",COUNTIFS($BB$3:$BB$22,"Chính",$BH$3:$BH$22,"&gt;=0.995")&amp;"/"&amp;$BK$1,IF($BK$16="V",COUNTIFS($BB$3:$BB$22,"Vượt trội",$BH$3:$BH$22,"&gt;=0.995")&amp;"/"&amp;$BL$1,IF($BL$16="","",INDEX($BH$3:$BH$22,INDEX($BJ$3:$BJ$22,$BL$16)))))</f>
        <v/>
      </c>
      <c r="AW25" t="str">
        <f>$BK$16</f>
        <v/>
      </c>
      <c r="CA25">
        <v>23</v>
      </c>
      <c r="CB25">
        <f>IF(Tính!B61="",0,IF(OR($AZ$1=0,Tính!D61=$AZ$1),1,0))</f>
        <v>0</v>
      </c>
      <c r="CC25">
        <f>IF(CB25=1,Tính!L61*1000+Tính!M61+1+(45-23)/1000000,-1)</f>
        <v>-1</v>
      </c>
      <c r="CD25" t="str">
        <f>IF(LARGE($CC$3:$CC$47,23)&lt;0,"",MATCH(LARGE($CC$3:$CC$47,23),$CC$3:$CC$47,0))</f>
        <v/>
      </c>
    </row>
    <row r="26" spans="1:82" x14ac:dyDescent="0.3">
      <c r="A26" s="54" t="str">
        <f>IF($BK$17="C","NHÓM CHÍNH",IF($BK$17="V","NHÓM VƯỢT TRỘI",IF($BL$17="","",INDEX($BA$3:$BA$22,INDEX($BJ$3:$BJ$22,$BL$17)))))</f>
        <v/>
      </c>
      <c r="B26" s="52"/>
      <c r="C26" s="26" t="str">
        <f>IF($BL$17="","",INDEX($BE$3:$BE$22,INDEX($BJ$3:$BJ$22,$BL$17)))</f>
        <v/>
      </c>
      <c r="D26" s="26" t="str">
        <f>IF($BL$17="","",INDEX($BF$3:$BF$22,INDEX($BJ$3:$BJ$22,$BL$17)))</f>
        <v/>
      </c>
      <c r="E26" s="27" t="str">
        <f>IF($BK$17="C",SUMPRODUCT(($BB$3:$BB$22="Chính")*($BF$3:$BF$22&gt;0)*($BF$3:$BF$22&gt;=0.995*$BE$3:$BE$22))&amp;"/"&amp;$BK$1,IF($BK$17="V",SUMPRODUCT(($BB$3:$BB$22="Vượt trội")*($BF$3:$BF$22&gt;0)*($BF$3:$BF$22&gt;=0.995*$BE$3:$BE$22))&amp;"/"&amp;$BL$1,IF($BL$17="","",IF(D26=0,"-",IF(C26&gt;0,D26/C26,1)))))</f>
        <v/>
      </c>
      <c r="G26" s="12" t="str">
        <f t="shared" si="2"/>
        <v/>
      </c>
      <c r="H26" s="26" t="str">
        <f>IF($BL$17="","",INDEX($BC$3:$BC$22,INDEX($BJ$3:$BJ$22,$BL$17)))</f>
        <v/>
      </c>
      <c r="I26" s="26" t="str">
        <f>IF($BL$17="","",INDEX($BD$3:$BD$22,INDEX($BJ$3:$BJ$22,$BL$17)))</f>
        <v/>
      </c>
      <c r="J26" s="27" t="str">
        <f>IF($BL$17="","",IF(H26&gt;0,I26/H26,1))</f>
        <v/>
      </c>
      <c r="K26" s="27" t="str">
        <f>IF($BK$17="C",COUNTIFS($BB$3:$BB$22,"Chính",$BG$3:$BG$22,"&gt;=0.995")&amp;"/"&amp;$BK$1,IF($BK$17="V",COUNTIFS($BB$3:$BB$22,"Vượt trội",$BG$3:$BG$22,"&gt;=0.995")&amp;"/"&amp;$BL$1,IF($BL$17="","",INDEX($BG$3:$BG$22,INDEX($BJ$3:$BJ$22,$BL$17)))))</f>
        <v/>
      </c>
      <c r="L26" s="27" t="str">
        <f>IF($BK$17="C",COUNTIFS($BB$3:$BB$22,"Chính",$BH$3:$BH$22,"&gt;=0.995")&amp;"/"&amp;$BK$1,IF($BK$17="V",COUNTIFS($BB$3:$BB$22,"Vượt trội",$BH$3:$BH$22,"&gt;=0.995")&amp;"/"&amp;$BL$1,IF($BL$17="","",INDEX($BH$3:$BH$22,INDEX($BJ$3:$BJ$22,$BL$17)))))</f>
        <v/>
      </c>
      <c r="AW26" t="str">
        <f>$BK$17</f>
        <v/>
      </c>
      <c r="CA26">
        <v>24</v>
      </c>
      <c r="CB26">
        <f>IF(Tính!B62="",0,IF(OR($AZ$1=0,Tính!D62=$AZ$1),1,0))</f>
        <v>0</v>
      </c>
      <c r="CC26">
        <f>IF(CB26=1,Tính!L62*1000+Tính!M62+1+(45-24)/1000000,-1)</f>
        <v>-1</v>
      </c>
      <c r="CD26" t="str">
        <f>IF(LARGE($CC$3:$CC$47,24)&lt;0,"",MATCH(LARGE($CC$3:$CC$47,24),$CC$3:$CC$47,0))</f>
        <v/>
      </c>
    </row>
    <row r="27" spans="1:82" x14ac:dyDescent="0.3">
      <c r="A27" s="54" t="str">
        <f>IF($BK$18="C","NHÓM CHÍNH",IF($BK$18="V","NHÓM VƯỢT TRỘI",IF($BL$18="","",INDEX($BA$3:$BA$22,INDEX($BJ$3:$BJ$22,$BL$18)))))</f>
        <v/>
      </c>
      <c r="B27" s="52"/>
      <c r="C27" s="26" t="str">
        <f>IF($BL$18="","",INDEX($BE$3:$BE$22,INDEX($BJ$3:$BJ$22,$BL$18)))</f>
        <v/>
      </c>
      <c r="D27" s="26" t="str">
        <f>IF($BL$18="","",INDEX($BF$3:$BF$22,INDEX($BJ$3:$BJ$22,$BL$18)))</f>
        <v/>
      </c>
      <c r="E27" s="27" t="str">
        <f>IF($BK$18="C",SUMPRODUCT(($BB$3:$BB$22="Chính")*($BF$3:$BF$22&gt;0)*($BF$3:$BF$22&gt;=0.995*$BE$3:$BE$22))&amp;"/"&amp;$BK$1,IF($BK$18="V",SUMPRODUCT(($BB$3:$BB$22="Vượt trội")*($BF$3:$BF$22&gt;0)*($BF$3:$BF$22&gt;=0.995*$BE$3:$BE$22))&amp;"/"&amp;$BL$1,IF($BL$18="","",IF(D27=0,"-",IF(C27&gt;0,D27/C27,1)))))</f>
        <v/>
      </c>
      <c r="G27" s="12" t="str">
        <f t="shared" si="2"/>
        <v/>
      </c>
      <c r="H27" s="26" t="str">
        <f>IF($BL$18="","",INDEX($BC$3:$BC$22,INDEX($BJ$3:$BJ$22,$BL$18)))</f>
        <v/>
      </c>
      <c r="I27" s="26" t="str">
        <f>IF($BL$18="","",INDEX($BD$3:$BD$22,INDEX($BJ$3:$BJ$22,$BL$18)))</f>
        <v/>
      </c>
      <c r="J27" s="27" t="str">
        <f>IF($BL$18="","",IF(H27&gt;0,I27/H27,1))</f>
        <v/>
      </c>
      <c r="K27" s="27" t="str">
        <f>IF($BK$18="C",COUNTIFS($BB$3:$BB$22,"Chính",$BG$3:$BG$22,"&gt;=0.995")&amp;"/"&amp;$BK$1,IF($BK$18="V",COUNTIFS($BB$3:$BB$22,"Vượt trội",$BG$3:$BG$22,"&gt;=0.995")&amp;"/"&amp;$BL$1,IF($BL$18="","",INDEX($BG$3:$BG$22,INDEX($BJ$3:$BJ$22,$BL$18)))))</f>
        <v/>
      </c>
      <c r="L27" s="27" t="str">
        <f>IF($BK$18="C",COUNTIFS($BB$3:$BB$22,"Chính",$BH$3:$BH$22,"&gt;=0.995")&amp;"/"&amp;$BK$1,IF($BK$18="V",COUNTIFS($BB$3:$BB$22,"Vượt trội",$BH$3:$BH$22,"&gt;=0.995")&amp;"/"&amp;$BL$1,IF($BL$18="","",INDEX($BH$3:$BH$22,INDEX($BJ$3:$BJ$22,$BL$18)))))</f>
        <v/>
      </c>
      <c r="AW27" t="str">
        <f>$BK$18</f>
        <v/>
      </c>
      <c r="CA27">
        <v>25</v>
      </c>
      <c r="CB27">
        <f>IF(Tính!B63="",0,IF(OR($AZ$1=0,Tính!D63=$AZ$1),1,0))</f>
        <v>0</v>
      </c>
      <c r="CC27">
        <f>IF(CB27=1,Tính!L63*1000+Tính!M63+1+(45-25)/1000000,-1)</f>
        <v>-1</v>
      </c>
      <c r="CD27" t="str">
        <f>IF(LARGE($CC$3:$CC$47,25)&lt;0,"",MATCH(LARGE($CC$3:$CC$47,25),$CC$3:$CC$47,0))</f>
        <v/>
      </c>
    </row>
    <row r="28" spans="1:82" x14ac:dyDescent="0.3">
      <c r="A28" s="54" t="str">
        <f>IF($BK$19="C","NHÓM CHÍNH",IF($BK$19="V","NHÓM VƯỢT TRỘI",IF($BL$19="","",INDEX($BA$3:$BA$22,INDEX($BJ$3:$BJ$22,$BL$19)))))</f>
        <v/>
      </c>
      <c r="B28" s="52"/>
      <c r="C28" s="26" t="str">
        <f>IF($BL$19="","",INDEX($BE$3:$BE$22,INDEX($BJ$3:$BJ$22,$BL$19)))</f>
        <v/>
      </c>
      <c r="D28" s="26" t="str">
        <f>IF($BL$19="","",INDEX($BF$3:$BF$22,INDEX($BJ$3:$BJ$22,$BL$19)))</f>
        <v/>
      </c>
      <c r="E28" s="27" t="str">
        <f>IF($BK$19="C",SUMPRODUCT(($BB$3:$BB$22="Chính")*($BF$3:$BF$22&gt;0)*($BF$3:$BF$22&gt;=0.995*$BE$3:$BE$22))&amp;"/"&amp;$BK$1,IF($BK$19="V",SUMPRODUCT(($BB$3:$BB$22="Vượt trội")*($BF$3:$BF$22&gt;0)*($BF$3:$BF$22&gt;=0.995*$BE$3:$BE$22))&amp;"/"&amp;$BL$1,IF($BL$19="","",IF(D28=0,"-",IF(C28&gt;0,D28/C28,1)))))</f>
        <v/>
      </c>
      <c r="G28" s="12" t="str">
        <f t="shared" si="2"/>
        <v/>
      </c>
      <c r="H28" s="26" t="str">
        <f>IF($BL$19="","",INDEX($BC$3:$BC$22,INDEX($BJ$3:$BJ$22,$BL$19)))</f>
        <v/>
      </c>
      <c r="I28" s="26" t="str">
        <f>IF($BL$19="","",INDEX($BD$3:$BD$22,INDEX($BJ$3:$BJ$22,$BL$19)))</f>
        <v/>
      </c>
      <c r="J28" s="27" t="str">
        <f>IF($BL$19="","",IF(H28&gt;0,I28/H28,1))</f>
        <v/>
      </c>
      <c r="K28" s="27" t="str">
        <f>IF($BK$19="C",COUNTIFS($BB$3:$BB$22,"Chính",$BG$3:$BG$22,"&gt;=0.995")&amp;"/"&amp;$BK$1,IF($BK$19="V",COUNTIFS($BB$3:$BB$22,"Vượt trội",$BG$3:$BG$22,"&gt;=0.995")&amp;"/"&amp;$BL$1,IF($BL$19="","",INDEX($BG$3:$BG$22,INDEX($BJ$3:$BJ$22,$BL$19)))))</f>
        <v/>
      </c>
      <c r="L28" s="27" t="str">
        <f>IF($BK$19="C",COUNTIFS($BB$3:$BB$22,"Chính",$BH$3:$BH$22,"&gt;=0.995")&amp;"/"&amp;$BK$1,IF($BK$19="V",COUNTIFS($BB$3:$BB$22,"Vượt trội",$BH$3:$BH$22,"&gt;=0.995")&amp;"/"&amp;$BL$1,IF($BL$19="","",INDEX($BH$3:$BH$22,INDEX($BJ$3:$BJ$22,$BL$19)))))</f>
        <v/>
      </c>
      <c r="AW28" t="str">
        <f>$BK$19</f>
        <v/>
      </c>
      <c r="CA28">
        <v>26</v>
      </c>
      <c r="CB28">
        <f>IF(Tính!B64="",0,IF(OR($AZ$1=0,Tính!D64=$AZ$1),1,0))</f>
        <v>0</v>
      </c>
      <c r="CC28">
        <f>IF(CB28=1,Tính!L64*1000+Tính!M64+1+(45-26)/1000000,-1)</f>
        <v>-1</v>
      </c>
      <c r="CD28" t="str">
        <f>IF(LARGE($CC$3:$CC$47,26)&lt;0,"",MATCH(LARGE($CC$3:$CC$47,26),$CC$3:$CC$47,0))</f>
        <v/>
      </c>
    </row>
    <row r="29" spans="1:82" x14ac:dyDescent="0.3">
      <c r="A29" s="54" t="str">
        <f>IF($BK$20="C","NHÓM CHÍNH",IF($BK$20="V","NHÓM VƯỢT TRỘI",IF($BL$20="","",INDEX($BA$3:$BA$22,INDEX($BJ$3:$BJ$22,$BL$20)))))</f>
        <v/>
      </c>
      <c r="B29" s="52"/>
      <c r="C29" s="26" t="str">
        <f>IF($BL$20="","",INDEX($BE$3:$BE$22,INDEX($BJ$3:$BJ$22,$BL$20)))</f>
        <v/>
      </c>
      <c r="D29" s="26" t="str">
        <f>IF($BL$20="","",INDEX($BF$3:$BF$22,INDEX($BJ$3:$BJ$22,$BL$20)))</f>
        <v/>
      </c>
      <c r="E29" s="27" t="str">
        <f>IF($BK$20="C",SUMPRODUCT(($BB$3:$BB$22="Chính")*($BF$3:$BF$22&gt;0)*($BF$3:$BF$22&gt;=0.995*$BE$3:$BE$22))&amp;"/"&amp;$BK$1,IF($BK$20="V",SUMPRODUCT(($BB$3:$BB$22="Vượt trội")*($BF$3:$BF$22&gt;0)*($BF$3:$BF$22&gt;=0.995*$BE$3:$BE$22))&amp;"/"&amp;$BL$1,IF($BL$20="","",IF(D29=0,"-",IF(C29&gt;0,D29/C29,1)))))</f>
        <v/>
      </c>
      <c r="G29" s="12" t="str">
        <f t="shared" si="2"/>
        <v/>
      </c>
      <c r="H29" s="26" t="str">
        <f>IF($BL$20="","",INDEX($BC$3:$BC$22,INDEX($BJ$3:$BJ$22,$BL$20)))</f>
        <v/>
      </c>
      <c r="I29" s="26" t="str">
        <f>IF($BL$20="","",INDEX($BD$3:$BD$22,INDEX($BJ$3:$BJ$22,$BL$20)))</f>
        <v/>
      </c>
      <c r="J29" s="27" t="str">
        <f>IF($BL$20="","",IF(H29&gt;0,I29/H29,1))</f>
        <v/>
      </c>
      <c r="K29" s="27" t="str">
        <f>IF($BK$20="C",COUNTIFS($BB$3:$BB$22,"Chính",$BG$3:$BG$22,"&gt;=0.995")&amp;"/"&amp;$BK$1,IF($BK$20="V",COUNTIFS($BB$3:$BB$22,"Vượt trội",$BG$3:$BG$22,"&gt;=0.995")&amp;"/"&amp;$BL$1,IF($BL$20="","",INDEX($BG$3:$BG$22,INDEX($BJ$3:$BJ$22,$BL$20)))))</f>
        <v/>
      </c>
      <c r="L29" s="27" t="str">
        <f>IF($BK$20="C",COUNTIFS($BB$3:$BB$22,"Chính",$BH$3:$BH$22,"&gt;=0.995")&amp;"/"&amp;$BK$1,IF($BK$20="V",COUNTIFS($BB$3:$BB$22,"Vượt trội",$BH$3:$BH$22,"&gt;=0.995")&amp;"/"&amp;$BL$1,IF($BL$20="","",INDEX($BH$3:$BH$22,INDEX($BJ$3:$BJ$22,$BL$20)))))</f>
        <v/>
      </c>
      <c r="AW29" t="str">
        <f>$BK$20</f>
        <v/>
      </c>
      <c r="CA29">
        <v>27</v>
      </c>
      <c r="CB29">
        <f>IF(Tính!B65="",0,IF(OR($AZ$1=0,Tính!D65=$AZ$1),1,0))</f>
        <v>0</v>
      </c>
      <c r="CC29">
        <f>IF(CB29=1,Tính!L65*1000+Tính!M65+1+(45-27)/1000000,-1)</f>
        <v>-1</v>
      </c>
      <c r="CD29" t="str">
        <f>IF(LARGE($CC$3:$CC$47,27)&lt;0,"",MATCH(LARGE($CC$3:$CC$47,27),$CC$3:$CC$47,0))</f>
        <v/>
      </c>
    </row>
    <row r="30" spans="1:82" x14ac:dyDescent="0.3">
      <c r="A30" s="54" t="str">
        <f>IF($BK$21="C","NHÓM CHÍNH",IF($BK$21="V","NHÓM VƯỢT TRỘI",IF($BL$21="","",INDEX($BA$3:$BA$22,INDEX($BJ$3:$BJ$22,$BL$21)))))</f>
        <v/>
      </c>
      <c r="B30" s="52"/>
      <c r="C30" s="26" t="str">
        <f>IF($BL$21="","",INDEX($BE$3:$BE$22,INDEX($BJ$3:$BJ$22,$BL$21)))</f>
        <v/>
      </c>
      <c r="D30" s="26" t="str">
        <f>IF($BL$21="","",INDEX($BF$3:$BF$22,INDEX($BJ$3:$BJ$22,$BL$21)))</f>
        <v/>
      </c>
      <c r="E30" s="27" t="str">
        <f>IF($BK$21="C",SUMPRODUCT(($BB$3:$BB$22="Chính")*($BF$3:$BF$22&gt;0)*($BF$3:$BF$22&gt;=0.995*$BE$3:$BE$22))&amp;"/"&amp;$BK$1,IF($BK$21="V",SUMPRODUCT(($BB$3:$BB$22="Vượt trội")*($BF$3:$BF$22&gt;0)*($BF$3:$BF$22&gt;=0.995*$BE$3:$BE$22))&amp;"/"&amp;$BL$1,IF($BL$21="","",IF(D30=0,"-",IF(C30&gt;0,D30/C30,1)))))</f>
        <v/>
      </c>
      <c r="G30" s="12" t="str">
        <f t="shared" si="2"/>
        <v/>
      </c>
      <c r="H30" s="26" t="str">
        <f>IF($BL$21="","",INDEX($BC$3:$BC$22,INDEX($BJ$3:$BJ$22,$BL$21)))</f>
        <v/>
      </c>
      <c r="I30" s="26" t="str">
        <f>IF($BL$21="","",INDEX($BD$3:$BD$22,INDEX($BJ$3:$BJ$22,$BL$21)))</f>
        <v/>
      </c>
      <c r="J30" s="27" t="str">
        <f>IF($BL$21="","",IF(H30&gt;0,I30/H30,1))</f>
        <v/>
      </c>
      <c r="K30" s="27" t="str">
        <f>IF($BK$21="C",COUNTIFS($BB$3:$BB$22,"Chính",$BG$3:$BG$22,"&gt;=0.995")&amp;"/"&amp;$BK$1,IF($BK$21="V",COUNTIFS($BB$3:$BB$22,"Vượt trội",$BG$3:$BG$22,"&gt;=0.995")&amp;"/"&amp;$BL$1,IF($BL$21="","",INDEX($BG$3:$BG$22,INDEX($BJ$3:$BJ$22,$BL$21)))))</f>
        <v/>
      </c>
      <c r="L30" s="27" t="str">
        <f>IF($BK$21="C",COUNTIFS($BB$3:$BB$22,"Chính",$BH$3:$BH$22,"&gt;=0.995")&amp;"/"&amp;$BK$1,IF($BK$21="V",COUNTIFS($BB$3:$BB$22,"Vượt trội",$BH$3:$BH$22,"&gt;=0.995")&amp;"/"&amp;$BL$1,IF($BL$21="","",INDEX($BH$3:$BH$22,INDEX($BJ$3:$BJ$22,$BL$21)))))</f>
        <v/>
      </c>
      <c r="AW30" t="str">
        <f>$BK$21</f>
        <v/>
      </c>
      <c r="CA30">
        <v>28</v>
      </c>
      <c r="CB30">
        <f>IF(Tính!B66="",0,IF(OR($AZ$1=0,Tính!D66=$AZ$1),1,0))</f>
        <v>0</v>
      </c>
      <c r="CC30">
        <f>IF(CB30=1,Tính!L66*1000+Tính!M66+1+(45-28)/1000000,-1)</f>
        <v>-1</v>
      </c>
      <c r="CD30" t="str">
        <f>IF(LARGE($CC$3:$CC$47,28)&lt;0,"",MATCH(LARGE($CC$3:$CC$47,28),$CC$3:$CC$47,0))</f>
        <v/>
      </c>
    </row>
    <row r="31" spans="1:82" x14ac:dyDescent="0.3">
      <c r="A31" s="54" t="str">
        <f>IF($BK$22="C","NHÓM CHÍNH",IF($BK$22="V","NHÓM VƯỢT TRỘI",IF($BL$22="","",INDEX($BA$3:$BA$22,INDEX($BJ$3:$BJ$22,$BL$22)))))</f>
        <v/>
      </c>
      <c r="B31" s="52"/>
      <c r="C31" s="26" t="str">
        <f>IF($BL$22="","",INDEX($BE$3:$BE$22,INDEX($BJ$3:$BJ$22,$BL$22)))</f>
        <v/>
      </c>
      <c r="D31" s="26" t="str">
        <f>IF($BL$22="","",INDEX($BF$3:$BF$22,INDEX($BJ$3:$BJ$22,$BL$22)))</f>
        <v/>
      </c>
      <c r="E31" s="27" t="str">
        <f>IF($BK$22="C",SUMPRODUCT(($BB$3:$BB$22="Chính")*($BF$3:$BF$22&gt;0)*($BF$3:$BF$22&gt;=0.995*$BE$3:$BE$22))&amp;"/"&amp;$BK$1,IF($BK$22="V",SUMPRODUCT(($BB$3:$BB$22="Vượt trội")*($BF$3:$BF$22&gt;0)*($BF$3:$BF$22&gt;=0.995*$BE$3:$BE$22))&amp;"/"&amp;$BL$1,IF($BL$22="","",IF(D31=0,"-",IF(C31&gt;0,D31/C31,1)))))</f>
        <v/>
      </c>
      <c r="G31" s="12" t="str">
        <f t="shared" si="2"/>
        <v/>
      </c>
      <c r="H31" s="26" t="str">
        <f>IF($BL$22="","",INDEX($BC$3:$BC$22,INDEX($BJ$3:$BJ$22,$BL$22)))</f>
        <v/>
      </c>
      <c r="I31" s="26" t="str">
        <f>IF($BL$22="","",INDEX($BD$3:$BD$22,INDEX($BJ$3:$BJ$22,$BL$22)))</f>
        <v/>
      </c>
      <c r="J31" s="27" t="str">
        <f>IF($BL$22="","",IF(H31&gt;0,I31/H31,1))</f>
        <v/>
      </c>
      <c r="K31" s="27" t="str">
        <f>IF($BK$22="C",COUNTIFS($BB$3:$BB$22,"Chính",$BG$3:$BG$22,"&gt;=0.995")&amp;"/"&amp;$BK$1,IF($BK$22="V",COUNTIFS($BB$3:$BB$22,"Vượt trội",$BG$3:$BG$22,"&gt;=0.995")&amp;"/"&amp;$BL$1,IF($BL$22="","",INDEX($BG$3:$BG$22,INDEX($BJ$3:$BJ$22,$BL$22)))))</f>
        <v/>
      </c>
      <c r="L31" s="27" t="str">
        <f>IF($BK$22="C",COUNTIFS($BB$3:$BB$22,"Chính",$BH$3:$BH$22,"&gt;=0.995")&amp;"/"&amp;$BK$1,IF($BK$22="V",COUNTIFS($BB$3:$BB$22,"Vượt trội",$BH$3:$BH$22,"&gt;=0.995")&amp;"/"&amp;$BL$1,IF($BL$22="","",INDEX($BH$3:$BH$22,INDEX($BJ$3:$BJ$22,$BL$22)))))</f>
        <v/>
      </c>
      <c r="AW31" t="str">
        <f>$BK$22</f>
        <v/>
      </c>
      <c r="CA31">
        <v>29</v>
      </c>
      <c r="CB31">
        <f>IF(Tính!B67="",0,IF(OR($AZ$1=0,Tính!D67=$AZ$1),1,0))</f>
        <v>0</v>
      </c>
      <c r="CC31">
        <f>IF(CB31=1,Tính!L67*1000+Tính!M67+1+(45-29)/1000000,-1)</f>
        <v>-1</v>
      </c>
      <c r="CD31" t="str">
        <f>IF(LARGE($CC$3:$CC$47,29)&lt;0,"",MATCH(LARGE($CC$3:$CC$47,29),$CC$3:$CC$47,0))</f>
        <v/>
      </c>
    </row>
    <row r="32" spans="1:82" x14ac:dyDescent="0.3">
      <c r="A32" s="54" t="str">
        <f>IF($BK$23="C","NHÓM CHÍNH",IF($BK$23="V","NHÓM VƯỢT TRỘI",IF($BL$23="","",INDEX($BA$3:$BA$22,INDEX($BJ$3:$BJ$22,$BL$23)))))</f>
        <v/>
      </c>
      <c r="B32" s="52"/>
      <c r="C32" s="26" t="str">
        <f>IF($BL$23="","",INDEX($BE$3:$BE$22,INDEX($BJ$3:$BJ$22,$BL$23)))</f>
        <v/>
      </c>
      <c r="D32" s="26" t="str">
        <f>IF($BL$23="","",INDEX($BF$3:$BF$22,INDEX($BJ$3:$BJ$22,$BL$23)))</f>
        <v/>
      </c>
      <c r="E32" s="27" t="str">
        <f>IF($BK$23="C",SUMPRODUCT(($BB$3:$BB$22="Chính")*($BF$3:$BF$22&gt;0)*($BF$3:$BF$22&gt;=0.995*$BE$3:$BE$22))&amp;"/"&amp;$BK$1,IF($BK$23="V",SUMPRODUCT(($BB$3:$BB$22="Vượt trội")*($BF$3:$BF$22&gt;0)*($BF$3:$BF$22&gt;=0.995*$BE$3:$BE$22))&amp;"/"&amp;$BL$1,IF($BL$23="","",IF(D32=0,"-",IF(C32&gt;0,D32/C32,1)))))</f>
        <v/>
      </c>
      <c r="G32" s="12" t="str">
        <f t="shared" si="2"/>
        <v/>
      </c>
      <c r="H32" s="26" t="str">
        <f>IF($BL$23="","",INDEX($BC$3:$BC$22,INDEX($BJ$3:$BJ$22,$BL$23)))</f>
        <v/>
      </c>
      <c r="I32" s="26" t="str">
        <f>IF($BL$23="","",INDEX($BD$3:$BD$22,INDEX($BJ$3:$BJ$22,$BL$23)))</f>
        <v/>
      </c>
      <c r="J32" s="27" t="str">
        <f>IF($BL$23="","",IF(H32&gt;0,I32/H32,1))</f>
        <v/>
      </c>
      <c r="K32" s="27" t="str">
        <f>IF($BK$23="C",COUNTIFS($BB$3:$BB$22,"Chính",$BG$3:$BG$22,"&gt;=0.995")&amp;"/"&amp;$BK$1,IF($BK$23="V",COUNTIFS($BB$3:$BB$22,"Vượt trội",$BG$3:$BG$22,"&gt;=0.995")&amp;"/"&amp;$BL$1,IF($BL$23="","",INDEX($BG$3:$BG$22,INDEX($BJ$3:$BJ$22,$BL$23)))))</f>
        <v/>
      </c>
      <c r="L32" s="27" t="str">
        <f>IF($BK$23="C",COUNTIFS($BB$3:$BB$22,"Chính",$BH$3:$BH$22,"&gt;=0.995")&amp;"/"&amp;$BK$1,IF($BK$23="V",COUNTIFS($BB$3:$BB$22,"Vượt trội",$BH$3:$BH$22,"&gt;=0.995")&amp;"/"&amp;$BL$1,IF($BL$23="","",INDEX($BH$3:$BH$22,INDEX($BJ$3:$BJ$22,$BL$23)))))</f>
        <v/>
      </c>
      <c r="AW32" t="str">
        <f>$BK$23</f>
        <v/>
      </c>
      <c r="CA32">
        <v>30</v>
      </c>
      <c r="CB32">
        <f>IF(Tính!B68="",0,IF(OR($AZ$1=0,Tính!D68=$AZ$1),1,0))</f>
        <v>0</v>
      </c>
      <c r="CC32">
        <f>IF(CB32=1,Tính!L68*1000+Tính!M68+1+(45-30)/1000000,-1)</f>
        <v>-1</v>
      </c>
      <c r="CD32" t="str">
        <f>IF(LARGE($CC$3:$CC$47,30)&lt;0,"",MATCH(LARGE($CC$3:$CC$47,30),$CC$3:$CC$47,0))</f>
        <v/>
      </c>
    </row>
    <row r="33" spans="1:82" x14ac:dyDescent="0.3">
      <c r="A33" s="54" t="str">
        <f>IF($BK$24="C","NHÓM CHÍNH",IF($BK$24="V","NHÓM VƯỢT TRỘI",IF($BL$24="","",INDEX($BA$3:$BA$22,INDEX($BJ$3:$BJ$22,$BL$24)))))</f>
        <v/>
      </c>
      <c r="B33" s="52"/>
      <c r="C33" s="26" t="str">
        <f>IF($BL$24="","",INDEX($BE$3:$BE$22,INDEX($BJ$3:$BJ$22,$BL$24)))</f>
        <v/>
      </c>
      <c r="D33" s="26" t="str">
        <f>IF($BL$24="","",INDEX($BF$3:$BF$22,INDEX($BJ$3:$BJ$22,$BL$24)))</f>
        <v/>
      </c>
      <c r="E33" s="27" t="str">
        <f>IF($BK$24="C",SUMPRODUCT(($BB$3:$BB$22="Chính")*($BF$3:$BF$22&gt;0)*($BF$3:$BF$22&gt;=0.995*$BE$3:$BE$22))&amp;"/"&amp;$BK$1,IF($BK$24="V",SUMPRODUCT(($BB$3:$BB$22="Vượt trội")*($BF$3:$BF$22&gt;0)*($BF$3:$BF$22&gt;=0.995*$BE$3:$BE$22))&amp;"/"&amp;$BL$1,IF($BL$24="","",IF(D33=0,"-",IF(C33&gt;0,D33/C33,1)))))</f>
        <v/>
      </c>
      <c r="G33" s="12" t="str">
        <f t="shared" si="2"/>
        <v/>
      </c>
      <c r="H33" s="26" t="str">
        <f>IF($BL$24="","",INDEX($BC$3:$BC$22,INDEX($BJ$3:$BJ$22,$BL$24)))</f>
        <v/>
      </c>
      <c r="I33" s="26" t="str">
        <f>IF($BL$24="","",INDEX($BD$3:$BD$22,INDEX($BJ$3:$BJ$22,$BL$24)))</f>
        <v/>
      </c>
      <c r="J33" s="27" t="str">
        <f>IF($BL$24="","",IF(H33&gt;0,I33/H33,1))</f>
        <v/>
      </c>
      <c r="K33" s="27" t="str">
        <f>IF($BK$24="C",COUNTIFS($BB$3:$BB$22,"Chính",$BG$3:$BG$22,"&gt;=0.995")&amp;"/"&amp;$BK$1,IF($BK$24="V",COUNTIFS($BB$3:$BB$22,"Vượt trội",$BG$3:$BG$22,"&gt;=0.995")&amp;"/"&amp;$BL$1,IF($BL$24="","",INDEX($BG$3:$BG$22,INDEX($BJ$3:$BJ$22,$BL$24)))))</f>
        <v/>
      </c>
      <c r="L33" s="27" t="str">
        <f>IF($BK$24="C",COUNTIFS($BB$3:$BB$22,"Chính",$BH$3:$BH$22,"&gt;=0.995")&amp;"/"&amp;$BK$1,IF($BK$24="V",COUNTIFS($BB$3:$BB$22,"Vượt trội",$BH$3:$BH$22,"&gt;=0.995")&amp;"/"&amp;$BL$1,IF($BL$24="","",INDEX($BH$3:$BH$22,INDEX($BJ$3:$BJ$22,$BL$24)))))</f>
        <v/>
      </c>
      <c r="AW33" t="str">
        <f>$BK$24</f>
        <v/>
      </c>
      <c r="CA33">
        <v>31</v>
      </c>
      <c r="CB33">
        <f>IF(Tính!B69="",0,IF(OR($AZ$1=0,Tính!D69=$AZ$1),1,0))</f>
        <v>0</v>
      </c>
      <c r="CC33">
        <f>IF(CB33=1,Tính!L69*1000+Tính!M69+1+(45-31)/1000000,-1)</f>
        <v>-1</v>
      </c>
      <c r="CD33" t="str">
        <f>IF(LARGE($CC$3:$CC$47,31)&lt;0,"",MATCH(LARGE($CC$3:$CC$47,31),$CC$3:$CC$47,0))</f>
        <v/>
      </c>
    </row>
    <row r="34" spans="1:82" x14ac:dyDescent="0.3">
      <c r="CA34">
        <v>32</v>
      </c>
      <c r="CB34">
        <f>IF(Tính!B70="",0,IF(OR($AZ$1=0,Tính!D70=$AZ$1),1,0))</f>
        <v>0</v>
      </c>
      <c r="CC34">
        <f>IF(CB34=1,Tính!L70*1000+Tính!M70+1+(45-32)/1000000,-1)</f>
        <v>-1</v>
      </c>
      <c r="CD34" t="str">
        <f>IF(LARGE($CC$3:$CC$47,32)&lt;0,"",MATCH(LARGE($CC$3:$CC$47,32),$CC$3:$CC$47,0))</f>
        <v/>
      </c>
    </row>
    <row r="35" spans="1:82" x14ac:dyDescent="0.3">
      <c r="A35" s="66" t="s">
        <v>84</v>
      </c>
      <c r="B35" s="49"/>
      <c r="C35" s="49"/>
      <c r="D35" s="49"/>
      <c r="E35" s="50"/>
      <c r="G35" s="66" t="s">
        <v>85</v>
      </c>
      <c r="H35" s="49"/>
      <c r="I35" s="49"/>
      <c r="J35" s="49"/>
      <c r="K35" s="49"/>
      <c r="L35" s="50"/>
      <c r="CA35">
        <v>33</v>
      </c>
      <c r="CB35">
        <f>IF(Tính!B71="",0,IF(OR($AZ$1=0,Tính!D71=$AZ$1),1,0))</f>
        <v>0</v>
      </c>
      <c r="CC35">
        <f>IF(CB35=1,Tính!L71*1000+Tính!M71+1+(45-33)/1000000,-1)</f>
        <v>-1</v>
      </c>
      <c r="CD35" t="str">
        <f>IF(LARGE($CC$3:$CC$47,33)&lt;0,"",MATCH(LARGE($CC$3:$CC$47,33),$CC$3:$CC$47,0))</f>
        <v/>
      </c>
    </row>
    <row r="36" spans="1:82" x14ac:dyDescent="0.3">
      <c r="A36" s="48" t="s">
        <v>86</v>
      </c>
      <c r="B36" s="50"/>
      <c r="C36" s="61" t="s">
        <v>87</v>
      </c>
      <c r="D36" s="49"/>
      <c r="E36" s="50"/>
      <c r="G36" s="4" t="s">
        <v>76</v>
      </c>
      <c r="H36" s="4" t="s">
        <v>88</v>
      </c>
      <c r="I36" s="4" t="s">
        <v>89</v>
      </c>
      <c r="J36" s="4" t="s">
        <v>90</v>
      </c>
      <c r="K36" s="48" t="s">
        <v>91</v>
      </c>
      <c r="L36" s="50"/>
      <c r="CA36">
        <v>34</v>
      </c>
      <c r="CB36">
        <f>IF(Tính!B72="",0,IF(OR($AZ$1=0,Tính!D72=$AZ$1),1,0))</f>
        <v>0</v>
      </c>
      <c r="CC36">
        <f>IF(CB36=1,Tính!L72*1000+Tính!M72+1+(45-34)/1000000,-1)</f>
        <v>-1</v>
      </c>
      <c r="CD36" t="str">
        <f>IF(LARGE($CC$3:$CC$47,34)&lt;0,"",MATCH(LARGE($CC$3:$CC$47,34),$CC$3:$CC$47,0))</f>
        <v/>
      </c>
    </row>
    <row r="37" spans="1:82" x14ac:dyDescent="0.3">
      <c r="A37" s="54" t="str">
        <f>IF($CD$3="","",1&amp;". "&amp;IF($CD$3="","",INDEX(Tính!$C$39:$C$83,$CD$3)))</f>
        <v/>
      </c>
      <c r="B37" s="52"/>
      <c r="C37" s="55" t="str">
        <f>IF($CD$3="","",INDEX(Tính!$L$39:$L$83,$CD$3))</f>
        <v/>
      </c>
      <c r="D37" s="52"/>
      <c r="E37" s="52"/>
      <c r="G37" s="26" t="str">
        <f>IF($CD$3="","",INDEX(Tính!$K$39:$K$83,$CD$3))</f>
        <v/>
      </c>
      <c r="H37" s="28" t="str">
        <f>IF($CD$3="","",INDEX(Tính!$J$39:$J$83,$CD$3))</f>
        <v/>
      </c>
      <c r="I37" s="27" t="str">
        <f>IF($CD$3="","",INDEX(Tính!$N$39:$N$83,$CD$3))</f>
        <v/>
      </c>
      <c r="J37" s="27" t="str">
        <f>IF($CD$3="","",INDEX(Tính!$M$39:$M$83,$CD$3))</f>
        <v/>
      </c>
      <c r="K37" s="51" t="str">
        <f>IF($CD$3="","",INDEX(Tính!$O$39:$O$83,$CD$3))</f>
        <v/>
      </c>
      <c r="L37" s="52"/>
      <c r="CA37">
        <v>35</v>
      </c>
      <c r="CB37">
        <f>IF(Tính!B73="",0,IF(OR($AZ$1=0,Tính!D73=$AZ$1),1,0))</f>
        <v>0</v>
      </c>
      <c r="CC37">
        <f>IF(CB37=1,Tính!L73*1000+Tính!M73+1+(45-35)/1000000,-1)</f>
        <v>-1</v>
      </c>
      <c r="CD37" t="str">
        <f>IF(LARGE($CC$3:$CC$47,35)&lt;0,"",MATCH(LARGE($CC$3:$CC$47,35),$CC$3:$CC$47,0))</f>
        <v/>
      </c>
    </row>
    <row r="38" spans="1:82" x14ac:dyDescent="0.3">
      <c r="A38" s="54" t="str">
        <f>IF($CD$4="","",2&amp;". "&amp;IF($CD$4="","",INDEX(Tính!$C$39:$C$83,$CD$4)))</f>
        <v/>
      </c>
      <c r="B38" s="52"/>
      <c r="C38" s="55" t="str">
        <f>IF($CD$4="","",INDEX(Tính!$L$39:$L$83,$CD$4))</f>
        <v/>
      </c>
      <c r="D38" s="52"/>
      <c r="E38" s="52"/>
      <c r="G38" s="26" t="str">
        <f>IF($CD$4="","",INDEX(Tính!$K$39:$K$83,$CD$4))</f>
        <v/>
      </c>
      <c r="H38" s="28" t="str">
        <f>IF($CD$4="","",INDEX(Tính!$J$39:$J$83,$CD$4))</f>
        <v/>
      </c>
      <c r="I38" s="27" t="str">
        <f>IF($CD$4="","",INDEX(Tính!$N$39:$N$83,$CD$4))</f>
        <v/>
      </c>
      <c r="J38" s="27" t="str">
        <f>IF($CD$4="","",INDEX(Tính!$M$39:$M$83,$CD$4))</f>
        <v/>
      </c>
      <c r="K38" s="51" t="str">
        <f>IF($CD$4="","",INDEX(Tính!$O$39:$O$83,$CD$4))</f>
        <v/>
      </c>
      <c r="L38" s="52"/>
      <c r="CA38">
        <v>36</v>
      </c>
      <c r="CB38">
        <f>IF(Tính!B74="",0,IF(OR($AZ$1=0,Tính!D74=$AZ$1),1,0))</f>
        <v>0</v>
      </c>
      <c r="CC38">
        <f>IF(CB38=1,Tính!L74*1000+Tính!M74+1+(45-36)/1000000,-1)</f>
        <v>-1</v>
      </c>
      <c r="CD38" t="str">
        <f>IF(LARGE($CC$3:$CC$47,36)&lt;0,"",MATCH(LARGE($CC$3:$CC$47,36),$CC$3:$CC$47,0))</f>
        <v/>
      </c>
    </row>
    <row r="39" spans="1:82" x14ac:dyDescent="0.3">
      <c r="A39" s="54" t="str">
        <f>IF($CD$5="","",3&amp;". "&amp;IF($CD$5="","",INDEX(Tính!$C$39:$C$83,$CD$5)))</f>
        <v/>
      </c>
      <c r="B39" s="52"/>
      <c r="C39" s="55" t="str">
        <f>IF($CD$5="","",INDEX(Tính!$L$39:$L$83,$CD$5))</f>
        <v/>
      </c>
      <c r="D39" s="52"/>
      <c r="E39" s="52"/>
      <c r="G39" s="26" t="str">
        <f>IF($CD$5="","",INDEX(Tính!$K$39:$K$83,$CD$5))</f>
        <v/>
      </c>
      <c r="H39" s="28" t="str">
        <f>IF($CD$5="","",INDEX(Tính!$J$39:$J$83,$CD$5))</f>
        <v/>
      </c>
      <c r="I39" s="27" t="str">
        <f>IF($CD$5="","",INDEX(Tính!$N$39:$N$83,$CD$5))</f>
        <v/>
      </c>
      <c r="J39" s="27" t="str">
        <f>IF($CD$5="","",INDEX(Tính!$M$39:$M$83,$CD$5))</f>
        <v/>
      </c>
      <c r="K39" s="51" t="str">
        <f>IF($CD$5="","",INDEX(Tính!$O$39:$O$83,$CD$5))</f>
        <v/>
      </c>
      <c r="L39" s="52"/>
      <c r="CA39">
        <v>37</v>
      </c>
      <c r="CB39">
        <f>IF(Tính!B75="",0,IF(OR($AZ$1=0,Tính!D75=$AZ$1),1,0))</f>
        <v>0</v>
      </c>
      <c r="CC39">
        <f>IF(CB39=1,Tính!L75*1000+Tính!M75+1+(45-37)/1000000,-1)</f>
        <v>-1</v>
      </c>
      <c r="CD39" t="str">
        <f>IF(LARGE($CC$3:$CC$47,37)&lt;0,"",MATCH(LARGE($CC$3:$CC$47,37),$CC$3:$CC$47,0))</f>
        <v/>
      </c>
    </row>
    <row r="40" spans="1:82" x14ac:dyDescent="0.3">
      <c r="A40" s="54" t="str">
        <f>IF($CD$6="","",4&amp;". "&amp;IF($CD$6="","",INDEX(Tính!$C$39:$C$83,$CD$6)))</f>
        <v/>
      </c>
      <c r="B40" s="52"/>
      <c r="C40" s="55" t="str">
        <f>IF($CD$6="","",INDEX(Tính!$L$39:$L$83,$CD$6))</f>
        <v/>
      </c>
      <c r="D40" s="52"/>
      <c r="E40" s="52"/>
      <c r="G40" s="26" t="str">
        <f>IF($CD$6="","",INDEX(Tính!$K$39:$K$83,$CD$6))</f>
        <v/>
      </c>
      <c r="H40" s="28" t="str">
        <f>IF($CD$6="","",INDEX(Tính!$J$39:$J$83,$CD$6))</f>
        <v/>
      </c>
      <c r="I40" s="27" t="str">
        <f>IF($CD$6="","",INDEX(Tính!$N$39:$N$83,$CD$6))</f>
        <v/>
      </c>
      <c r="J40" s="27" t="str">
        <f>IF($CD$6="","",INDEX(Tính!$M$39:$M$83,$CD$6))</f>
        <v/>
      </c>
      <c r="K40" s="51" t="str">
        <f>IF($CD$6="","",INDEX(Tính!$O$39:$O$83,$CD$6))</f>
        <v/>
      </c>
      <c r="L40" s="52"/>
      <c r="CA40">
        <v>38</v>
      </c>
      <c r="CB40">
        <f>IF(Tính!B76="",0,IF(OR($AZ$1=0,Tính!D76=$AZ$1),1,0))</f>
        <v>0</v>
      </c>
      <c r="CC40">
        <f>IF(CB40=1,Tính!L76*1000+Tính!M76+1+(45-38)/1000000,-1)</f>
        <v>-1</v>
      </c>
      <c r="CD40" t="str">
        <f>IF(LARGE($CC$3:$CC$47,38)&lt;0,"",MATCH(LARGE($CC$3:$CC$47,38),$CC$3:$CC$47,0))</f>
        <v/>
      </c>
    </row>
    <row r="41" spans="1:82" x14ac:dyDescent="0.3">
      <c r="A41" s="54" t="str">
        <f>IF($CD$7="","",5&amp;". "&amp;IF($CD$7="","",INDEX(Tính!$C$39:$C$83,$CD$7)))</f>
        <v/>
      </c>
      <c r="B41" s="52"/>
      <c r="C41" s="55" t="str">
        <f>IF($CD$7="","",INDEX(Tính!$L$39:$L$83,$CD$7))</f>
        <v/>
      </c>
      <c r="D41" s="52"/>
      <c r="E41" s="52"/>
      <c r="G41" s="26" t="str">
        <f>IF($CD$7="","",INDEX(Tính!$K$39:$K$83,$CD$7))</f>
        <v/>
      </c>
      <c r="H41" s="28" t="str">
        <f>IF($CD$7="","",INDEX(Tính!$J$39:$J$83,$CD$7))</f>
        <v/>
      </c>
      <c r="I41" s="27" t="str">
        <f>IF($CD$7="","",INDEX(Tính!$N$39:$N$83,$CD$7))</f>
        <v/>
      </c>
      <c r="J41" s="27" t="str">
        <f>IF($CD$7="","",INDEX(Tính!$M$39:$M$83,$CD$7))</f>
        <v/>
      </c>
      <c r="K41" s="51" t="str">
        <f>IF($CD$7="","",INDEX(Tính!$O$39:$O$83,$CD$7))</f>
        <v/>
      </c>
      <c r="L41" s="52"/>
      <c r="CA41">
        <v>39</v>
      </c>
      <c r="CB41">
        <f>IF(Tính!B77="",0,IF(OR($AZ$1=0,Tính!D77=$AZ$1),1,0))</f>
        <v>0</v>
      </c>
      <c r="CC41">
        <f>IF(CB41=1,Tính!L77*1000+Tính!M77+1+(45-39)/1000000,-1)</f>
        <v>-1</v>
      </c>
      <c r="CD41" t="str">
        <f>IF(LARGE($CC$3:$CC$47,39)&lt;0,"",MATCH(LARGE($CC$3:$CC$47,39),$CC$3:$CC$47,0))</f>
        <v/>
      </c>
    </row>
    <row r="42" spans="1:82" x14ac:dyDescent="0.3">
      <c r="A42" s="54" t="str">
        <f>IF($CD$8="","",6&amp;". "&amp;IF($CD$8="","",INDEX(Tính!$C$39:$C$83,$CD$8)))</f>
        <v/>
      </c>
      <c r="B42" s="52"/>
      <c r="C42" s="55" t="str">
        <f>IF($CD$8="","",INDEX(Tính!$L$39:$L$83,$CD$8))</f>
        <v/>
      </c>
      <c r="D42" s="52"/>
      <c r="E42" s="52"/>
      <c r="G42" s="26" t="str">
        <f>IF($CD$8="","",INDEX(Tính!$K$39:$K$83,$CD$8))</f>
        <v/>
      </c>
      <c r="H42" s="28" t="str">
        <f>IF($CD$8="","",INDEX(Tính!$J$39:$J$83,$CD$8))</f>
        <v/>
      </c>
      <c r="I42" s="27" t="str">
        <f>IF($CD$8="","",INDEX(Tính!$N$39:$N$83,$CD$8))</f>
        <v/>
      </c>
      <c r="J42" s="27" t="str">
        <f>IF($CD$8="","",INDEX(Tính!$M$39:$M$83,$CD$8))</f>
        <v/>
      </c>
      <c r="K42" s="51" t="str">
        <f>IF($CD$8="","",INDEX(Tính!$O$39:$O$83,$CD$8))</f>
        <v/>
      </c>
      <c r="L42" s="52"/>
      <c r="CA42">
        <v>40</v>
      </c>
      <c r="CB42">
        <f>IF(Tính!B78="",0,IF(OR($AZ$1=0,Tính!D78=$AZ$1),1,0))</f>
        <v>0</v>
      </c>
      <c r="CC42">
        <f>IF(CB42=1,Tính!L78*1000+Tính!M78+1+(45-40)/1000000,-1)</f>
        <v>-1</v>
      </c>
      <c r="CD42" t="str">
        <f>IF(LARGE($CC$3:$CC$47,40)&lt;0,"",MATCH(LARGE($CC$3:$CC$47,40),$CC$3:$CC$47,0))</f>
        <v/>
      </c>
    </row>
    <row r="43" spans="1:82" x14ac:dyDescent="0.3">
      <c r="A43" s="54" t="str">
        <f>IF($CD$9="","",7&amp;". "&amp;IF($CD$9="","",INDEX(Tính!$C$39:$C$83,$CD$9)))</f>
        <v/>
      </c>
      <c r="B43" s="52"/>
      <c r="C43" s="55" t="str">
        <f>IF($CD$9="","",INDEX(Tính!$L$39:$L$83,$CD$9))</f>
        <v/>
      </c>
      <c r="D43" s="52"/>
      <c r="E43" s="52"/>
      <c r="G43" s="26" t="str">
        <f>IF($CD$9="","",INDEX(Tính!$K$39:$K$83,$CD$9))</f>
        <v/>
      </c>
      <c r="H43" s="28" t="str">
        <f>IF($CD$9="","",INDEX(Tính!$J$39:$J$83,$CD$9))</f>
        <v/>
      </c>
      <c r="I43" s="27" t="str">
        <f>IF($CD$9="","",INDEX(Tính!$N$39:$N$83,$CD$9))</f>
        <v/>
      </c>
      <c r="J43" s="27" t="str">
        <f>IF($CD$9="","",INDEX(Tính!$M$39:$M$83,$CD$9))</f>
        <v/>
      </c>
      <c r="K43" s="51" t="str">
        <f>IF($CD$9="","",INDEX(Tính!$O$39:$O$83,$CD$9))</f>
        <v/>
      </c>
      <c r="L43" s="52"/>
      <c r="CA43">
        <v>41</v>
      </c>
      <c r="CB43">
        <f>IF(Tính!B79="",0,IF(OR($AZ$1=0,Tính!D79=$AZ$1),1,0))</f>
        <v>0</v>
      </c>
      <c r="CC43">
        <f>IF(CB43=1,Tính!L79*1000+Tính!M79+1+(45-41)/1000000,-1)</f>
        <v>-1</v>
      </c>
      <c r="CD43" t="str">
        <f>IF(LARGE($CC$3:$CC$47,41)&lt;0,"",MATCH(LARGE($CC$3:$CC$47,41),$CC$3:$CC$47,0))</f>
        <v/>
      </c>
    </row>
    <row r="44" spans="1:82" x14ac:dyDescent="0.3">
      <c r="A44" s="54" t="str">
        <f>IF($CD$10="","",8&amp;". "&amp;IF($CD$10="","",INDEX(Tính!$C$39:$C$83,$CD$10)))</f>
        <v/>
      </c>
      <c r="B44" s="52"/>
      <c r="C44" s="55" t="str">
        <f>IF($CD$10="","",INDEX(Tính!$L$39:$L$83,$CD$10))</f>
        <v/>
      </c>
      <c r="D44" s="52"/>
      <c r="E44" s="52"/>
      <c r="G44" s="26" t="str">
        <f>IF($CD$10="","",INDEX(Tính!$K$39:$K$83,$CD$10))</f>
        <v/>
      </c>
      <c r="H44" s="28" t="str">
        <f>IF($CD$10="","",INDEX(Tính!$J$39:$J$83,$CD$10))</f>
        <v/>
      </c>
      <c r="I44" s="27" t="str">
        <f>IF($CD$10="","",INDEX(Tính!$N$39:$N$83,$CD$10))</f>
        <v/>
      </c>
      <c r="J44" s="27" t="str">
        <f>IF($CD$10="","",INDEX(Tính!$M$39:$M$83,$CD$10))</f>
        <v/>
      </c>
      <c r="K44" s="51" t="str">
        <f>IF($CD$10="","",INDEX(Tính!$O$39:$O$83,$CD$10))</f>
        <v/>
      </c>
      <c r="L44" s="52"/>
      <c r="CA44">
        <v>42</v>
      </c>
      <c r="CB44">
        <f>IF(Tính!B80="",0,IF(OR($AZ$1=0,Tính!D80=$AZ$1),1,0))</f>
        <v>0</v>
      </c>
      <c r="CC44">
        <f>IF(CB44=1,Tính!L80*1000+Tính!M80+1+(45-42)/1000000,-1)</f>
        <v>-1</v>
      </c>
      <c r="CD44" t="str">
        <f>IF(LARGE($CC$3:$CC$47,42)&lt;0,"",MATCH(LARGE($CC$3:$CC$47,42),$CC$3:$CC$47,0))</f>
        <v/>
      </c>
    </row>
    <row r="45" spans="1:82" x14ac:dyDescent="0.3">
      <c r="A45" s="54" t="str">
        <f>IF($CD$11="","",9&amp;". "&amp;IF($CD$11="","",INDEX(Tính!$C$39:$C$83,$CD$11)))</f>
        <v/>
      </c>
      <c r="B45" s="52"/>
      <c r="C45" s="55" t="str">
        <f>IF($CD$11="","",INDEX(Tính!$L$39:$L$83,$CD$11))</f>
        <v/>
      </c>
      <c r="D45" s="52"/>
      <c r="E45" s="52"/>
      <c r="G45" s="26" t="str">
        <f>IF($CD$11="","",INDEX(Tính!$K$39:$K$83,$CD$11))</f>
        <v/>
      </c>
      <c r="H45" s="28" t="str">
        <f>IF($CD$11="","",INDEX(Tính!$J$39:$J$83,$CD$11))</f>
        <v/>
      </c>
      <c r="I45" s="27" t="str">
        <f>IF($CD$11="","",INDEX(Tính!$N$39:$N$83,$CD$11))</f>
        <v/>
      </c>
      <c r="J45" s="27" t="str">
        <f>IF($CD$11="","",INDEX(Tính!$M$39:$M$83,$CD$11))</f>
        <v/>
      </c>
      <c r="K45" s="51" t="str">
        <f>IF($CD$11="","",INDEX(Tính!$O$39:$O$83,$CD$11))</f>
        <v/>
      </c>
      <c r="L45" s="52"/>
      <c r="CA45">
        <v>43</v>
      </c>
      <c r="CB45">
        <f>IF(Tính!B81="",0,IF(OR($AZ$1=0,Tính!D81=$AZ$1),1,0))</f>
        <v>0</v>
      </c>
      <c r="CC45">
        <f>IF(CB45=1,Tính!L81*1000+Tính!M81+1+(45-43)/1000000,-1)</f>
        <v>-1</v>
      </c>
      <c r="CD45" t="str">
        <f>IF(LARGE($CC$3:$CC$47,43)&lt;0,"",MATCH(LARGE($CC$3:$CC$47,43),$CC$3:$CC$47,0))</f>
        <v/>
      </c>
    </row>
    <row r="46" spans="1:82" x14ac:dyDescent="0.3">
      <c r="A46" s="54" t="str">
        <f>IF($CD$12="","",10&amp;". "&amp;IF($CD$12="","",INDEX(Tính!$C$39:$C$83,$CD$12)))</f>
        <v/>
      </c>
      <c r="B46" s="52"/>
      <c r="C46" s="55" t="str">
        <f>IF($CD$12="","",INDEX(Tính!$L$39:$L$83,$CD$12))</f>
        <v/>
      </c>
      <c r="D46" s="52"/>
      <c r="E46" s="52"/>
      <c r="G46" s="26" t="str">
        <f>IF($CD$12="","",INDEX(Tính!$K$39:$K$83,$CD$12))</f>
        <v/>
      </c>
      <c r="H46" s="28" t="str">
        <f>IF($CD$12="","",INDEX(Tính!$J$39:$J$83,$CD$12))</f>
        <v/>
      </c>
      <c r="I46" s="27" t="str">
        <f>IF($CD$12="","",INDEX(Tính!$N$39:$N$83,$CD$12))</f>
        <v/>
      </c>
      <c r="J46" s="27" t="str">
        <f>IF($CD$12="","",INDEX(Tính!$M$39:$M$83,$CD$12))</f>
        <v/>
      </c>
      <c r="K46" s="51" t="str">
        <f>IF($CD$12="","",INDEX(Tính!$O$39:$O$83,$CD$12))</f>
        <v/>
      </c>
      <c r="L46" s="52"/>
      <c r="CA46">
        <v>44</v>
      </c>
      <c r="CB46">
        <f>IF(Tính!B82="",0,IF(OR($AZ$1=0,Tính!D82=$AZ$1),1,0))</f>
        <v>0</v>
      </c>
      <c r="CC46">
        <f>IF(CB46=1,Tính!L82*1000+Tính!M82+1+(45-44)/1000000,-1)</f>
        <v>-1</v>
      </c>
      <c r="CD46" t="str">
        <f>IF(LARGE($CC$3:$CC$47,44)&lt;0,"",MATCH(LARGE($CC$3:$CC$47,44),$CC$3:$CC$47,0))</f>
        <v/>
      </c>
    </row>
    <row r="47" spans="1:82" x14ac:dyDescent="0.3">
      <c r="A47" s="54" t="str">
        <f>IF($CD$13="","",11&amp;". "&amp;IF($CD$13="","",INDEX(Tính!$C$39:$C$83,$CD$13)))</f>
        <v/>
      </c>
      <c r="B47" s="52"/>
      <c r="C47" s="55" t="str">
        <f>IF($CD$13="","",INDEX(Tính!$L$39:$L$83,$CD$13))</f>
        <v/>
      </c>
      <c r="D47" s="52"/>
      <c r="E47" s="52"/>
      <c r="G47" s="26" t="str">
        <f>IF($CD$13="","",INDEX(Tính!$K$39:$K$83,$CD$13))</f>
        <v/>
      </c>
      <c r="H47" s="28" t="str">
        <f>IF($CD$13="","",INDEX(Tính!$J$39:$J$83,$CD$13))</f>
        <v/>
      </c>
      <c r="I47" s="27" t="str">
        <f>IF($CD$13="","",INDEX(Tính!$N$39:$N$83,$CD$13))</f>
        <v/>
      </c>
      <c r="J47" s="27" t="str">
        <f>IF($CD$13="","",INDEX(Tính!$M$39:$M$83,$CD$13))</f>
        <v/>
      </c>
      <c r="K47" s="51" t="str">
        <f>IF($CD$13="","",INDEX(Tính!$O$39:$O$83,$CD$13))</f>
        <v/>
      </c>
      <c r="L47" s="52"/>
      <c r="CA47">
        <v>45</v>
      </c>
      <c r="CB47">
        <f>IF(Tính!B83="",0,IF(OR($AZ$1=0,Tính!D83=$AZ$1),1,0))</f>
        <v>0</v>
      </c>
      <c r="CC47">
        <f>IF(CB47=1,Tính!L83*1000+Tính!M83+1+(45-45)/1000000,-1)</f>
        <v>-1</v>
      </c>
      <c r="CD47" t="str">
        <f>IF(LARGE($CC$3:$CC$47,45)&lt;0,"",MATCH(LARGE($CC$3:$CC$47,45),$CC$3:$CC$47,0))</f>
        <v/>
      </c>
    </row>
    <row r="48" spans="1:82" x14ac:dyDescent="0.3">
      <c r="A48" s="54" t="str">
        <f>IF($CD$14="","",12&amp;". "&amp;IF($CD$14="","",INDEX(Tính!$C$39:$C$83,$CD$14)))</f>
        <v/>
      </c>
      <c r="B48" s="52"/>
      <c r="C48" s="55" t="str">
        <f>IF($CD$14="","",INDEX(Tính!$L$39:$L$83,$CD$14))</f>
        <v/>
      </c>
      <c r="D48" s="52"/>
      <c r="E48" s="52"/>
      <c r="G48" s="26" t="str">
        <f>IF($CD$14="","",INDEX(Tính!$K$39:$K$83,$CD$14))</f>
        <v/>
      </c>
      <c r="H48" s="28" t="str">
        <f>IF($CD$14="","",INDEX(Tính!$J$39:$J$83,$CD$14))</f>
        <v/>
      </c>
      <c r="I48" s="27" t="str">
        <f>IF($CD$14="","",INDEX(Tính!$N$39:$N$83,$CD$14))</f>
        <v/>
      </c>
      <c r="J48" s="27" t="str">
        <f>IF($CD$14="","",INDEX(Tính!$M$39:$M$83,$CD$14))</f>
        <v/>
      </c>
      <c r="K48" s="51" t="str">
        <f>IF($CD$14="","",INDEX(Tính!$O$39:$O$83,$CD$14))</f>
        <v/>
      </c>
      <c r="L48" s="52"/>
    </row>
    <row r="49" spans="1:12" x14ac:dyDescent="0.3">
      <c r="A49" s="54" t="str">
        <f>IF($CD$15="","",13&amp;". "&amp;IF($CD$15="","",INDEX(Tính!$C$39:$C$83,$CD$15)))</f>
        <v/>
      </c>
      <c r="B49" s="52"/>
      <c r="C49" s="55" t="str">
        <f>IF($CD$15="","",INDEX(Tính!$L$39:$L$83,$CD$15))</f>
        <v/>
      </c>
      <c r="D49" s="52"/>
      <c r="E49" s="52"/>
      <c r="G49" s="26" t="str">
        <f>IF($CD$15="","",INDEX(Tính!$K$39:$K$83,$CD$15))</f>
        <v/>
      </c>
      <c r="H49" s="28" t="str">
        <f>IF($CD$15="","",INDEX(Tính!$J$39:$J$83,$CD$15))</f>
        <v/>
      </c>
      <c r="I49" s="27" t="str">
        <f>IF($CD$15="","",INDEX(Tính!$N$39:$N$83,$CD$15))</f>
        <v/>
      </c>
      <c r="J49" s="27" t="str">
        <f>IF($CD$15="","",INDEX(Tính!$M$39:$M$83,$CD$15))</f>
        <v/>
      </c>
      <c r="K49" s="51" t="str">
        <f>IF($CD$15="","",INDEX(Tính!$O$39:$O$83,$CD$15))</f>
        <v/>
      </c>
      <c r="L49" s="52"/>
    </row>
    <row r="50" spans="1:12" x14ac:dyDescent="0.3">
      <c r="A50" s="54" t="str">
        <f>IF($CD$16="","",14&amp;". "&amp;IF($CD$16="","",INDEX(Tính!$C$39:$C$83,$CD$16)))</f>
        <v/>
      </c>
      <c r="B50" s="52"/>
      <c r="C50" s="55" t="str">
        <f>IF($CD$16="","",INDEX(Tính!$L$39:$L$83,$CD$16))</f>
        <v/>
      </c>
      <c r="D50" s="52"/>
      <c r="E50" s="52"/>
      <c r="G50" s="26" t="str">
        <f>IF($CD$16="","",INDEX(Tính!$K$39:$K$83,$CD$16))</f>
        <v/>
      </c>
      <c r="H50" s="28" t="str">
        <f>IF($CD$16="","",INDEX(Tính!$J$39:$J$83,$CD$16))</f>
        <v/>
      </c>
      <c r="I50" s="27" t="str">
        <f>IF($CD$16="","",INDEX(Tính!$N$39:$N$83,$CD$16))</f>
        <v/>
      </c>
      <c r="J50" s="27" t="str">
        <f>IF($CD$16="","",INDEX(Tính!$M$39:$M$83,$CD$16))</f>
        <v/>
      </c>
      <c r="K50" s="51" t="str">
        <f>IF($CD$16="","",INDEX(Tính!$O$39:$O$83,$CD$16))</f>
        <v/>
      </c>
      <c r="L50" s="52"/>
    </row>
    <row r="51" spans="1:12" x14ac:dyDescent="0.3">
      <c r="A51" s="54" t="str">
        <f>IF($CD$17="","",15&amp;". "&amp;IF($CD$17="","",INDEX(Tính!$C$39:$C$83,$CD$17)))</f>
        <v/>
      </c>
      <c r="B51" s="52"/>
      <c r="C51" s="55" t="str">
        <f>IF($CD$17="","",INDEX(Tính!$L$39:$L$83,$CD$17))</f>
        <v/>
      </c>
      <c r="D51" s="52"/>
      <c r="E51" s="52"/>
      <c r="G51" s="26" t="str">
        <f>IF($CD$17="","",INDEX(Tính!$K$39:$K$83,$CD$17))</f>
        <v/>
      </c>
      <c r="H51" s="28" t="str">
        <f>IF($CD$17="","",INDEX(Tính!$J$39:$J$83,$CD$17))</f>
        <v/>
      </c>
      <c r="I51" s="27" t="str">
        <f>IF($CD$17="","",INDEX(Tính!$N$39:$N$83,$CD$17))</f>
        <v/>
      </c>
      <c r="J51" s="27" t="str">
        <f>IF($CD$17="","",INDEX(Tính!$M$39:$M$83,$CD$17))</f>
        <v/>
      </c>
      <c r="K51" s="51" t="str">
        <f>IF($CD$17="","",INDEX(Tính!$O$39:$O$83,$CD$17))</f>
        <v/>
      </c>
      <c r="L51" s="52"/>
    </row>
    <row r="52" spans="1:12" x14ac:dyDescent="0.3">
      <c r="A52" s="54" t="str">
        <f>IF($CD$18="","",16&amp;". "&amp;IF($CD$18="","",INDEX(Tính!$C$39:$C$83,$CD$18)))</f>
        <v/>
      </c>
      <c r="B52" s="52"/>
      <c r="C52" s="55" t="str">
        <f>IF($CD$18="","",INDEX(Tính!$L$39:$L$83,$CD$18))</f>
        <v/>
      </c>
      <c r="D52" s="52"/>
      <c r="E52" s="52"/>
      <c r="G52" s="26" t="str">
        <f>IF($CD$18="","",INDEX(Tính!$K$39:$K$83,$CD$18))</f>
        <v/>
      </c>
      <c r="H52" s="28" t="str">
        <f>IF($CD$18="","",INDEX(Tính!$J$39:$J$83,$CD$18))</f>
        <v/>
      </c>
      <c r="I52" s="27" t="str">
        <f>IF($CD$18="","",INDEX(Tính!$N$39:$N$83,$CD$18))</f>
        <v/>
      </c>
      <c r="J52" s="27" t="str">
        <f>IF($CD$18="","",INDEX(Tính!$M$39:$M$83,$CD$18))</f>
        <v/>
      </c>
      <c r="K52" s="51" t="str">
        <f>IF($CD$18="","",INDEX(Tính!$O$39:$O$83,$CD$18))</f>
        <v/>
      </c>
      <c r="L52" s="52"/>
    </row>
    <row r="53" spans="1:12" x14ac:dyDescent="0.3">
      <c r="A53" s="54" t="str">
        <f>IF($CD$19="","",17&amp;". "&amp;IF($CD$19="","",INDEX(Tính!$C$39:$C$83,$CD$19)))</f>
        <v/>
      </c>
      <c r="B53" s="52"/>
      <c r="C53" s="55" t="str">
        <f>IF($CD$19="","",INDEX(Tính!$L$39:$L$83,$CD$19))</f>
        <v/>
      </c>
      <c r="D53" s="52"/>
      <c r="E53" s="52"/>
      <c r="G53" s="26" t="str">
        <f>IF($CD$19="","",INDEX(Tính!$K$39:$K$83,$CD$19))</f>
        <v/>
      </c>
      <c r="H53" s="28" t="str">
        <f>IF($CD$19="","",INDEX(Tính!$J$39:$J$83,$CD$19))</f>
        <v/>
      </c>
      <c r="I53" s="27" t="str">
        <f>IF($CD$19="","",INDEX(Tính!$N$39:$N$83,$CD$19))</f>
        <v/>
      </c>
      <c r="J53" s="27" t="str">
        <f>IF($CD$19="","",INDEX(Tính!$M$39:$M$83,$CD$19))</f>
        <v/>
      </c>
      <c r="K53" s="51" t="str">
        <f>IF($CD$19="","",INDEX(Tính!$O$39:$O$83,$CD$19))</f>
        <v/>
      </c>
      <c r="L53" s="52"/>
    </row>
    <row r="54" spans="1:12" x14ac:dyDescent="0.3">
      <c r="A54" s="54" t="str">
        <f>IF($CD$20="","",18&amp;". "&amp;IF($CD$20="","",INDEX(Tính!$C$39:$C$83,$CD$20)))</f>
        <v/>
      </c>
      <c r="B54" s="52"/>
      <c r="C54" s="55" t="str">
        <f>IF($CD$20="","",INDEX(Tính!$L$39:$L$83,$CD$20))</f>
        <v/>
      </c>
      <c r="D54" s="52"/>
      <c r="E54" s="52"/>
      <c r="G54" s="26" t="str">
        <f>IF($CD$20="","",INDEX(Tính!$K$39:$K$83,$CD$20))</f>
        <v/>
      </c>
      <c r="H54" s="28" t="str">
        <f>IF($CD$20="","",INDEX(Tính!$J$39:$J$83,$CD$20))</f>
        <v/>
      </c>
      <c r="I54" s="27" t="str">
        <f>IF($CD$20="","",INDEX(Tính!$N$39:$N$83,$CD$20))</f>
        <v/>
      </c>
      <c r="J54" s="27" t="str">
        <f>IF($CD$20="","",INDEX(Tính!$M$39:$M$83,$CD$20))</f>
        <v/>
      </c>
      <c r="K54" s="51" t="str">
        <f>IF($CD$20="","",INDEX(Tính!$O$39:$O$83,$CD$20))</f>
        <v/>
      </c>
      <c r="L54" s="52"/>
    </row>
    <row r="55" spans="1:12" x14ac:dyDescent="0.3">
      <c r="A55" s="54" t="str">
        <f>IF($CD$21="","",19&amp;". "&amp;IF($CD$21="","",INDEX(Tính!$C$39:$C$83,$CD$21)))</f>
        <v/>
      </c>
      <c r="B55" s="52"/>
      <c r="C55" s="55" t="str">
        <f>IF($CD$21="","",INDEX(Tính!$L$39:$L$83,$CD$21))</f>
        <v/>
      </c>
      <c r="D55" s="52"/>
      <c r="E55" s="52"/>
      <c r="G55" s="26" t="str">
        <f>IF($CD$21="","",INDEX(Tính!$K$39:$K$83,$CD$21))</f>
        <v/>
      </c>
      <c r="H55" s="28" t="str">
        <f>IF($CD$21="","",INDEX(Tính!$J$39:$J$83,$CD$21))</f>
        <v/>
      </c>
      <c r="I55" s="27" t="str">
        <f>IF($CD$21="","",INDEX(Tính!$N$39:$N$83,$CD$21))</f>
        <v/>
      </c>
      <c r="J55" s="27" t="str">
        <f>IF($CD$21="","",INDEX(Tính!$M$39:$M$83,$CD$21))</f>
        <v/>
      </c>
      <c r="K55" s="51" t="str">
        <f>IF($CD$21="","",INDEX(Tính!$O$39:$O$83,$CD$21))</f>
        <v/>
      </c>
      <c r="L55" s="52"/>
    </row>
    <row r="56" spans="1:12" x14ac:dyDescent="0.3">
      <c r="A56" s="54" t="str">
        <f>IF($CD$22="","",20&amp;". "&amp;IF($CD$22="","",INDEX(Tính!$C$39:$C$83,$CD$22)))</f>
        <v/>
      </c>
      <c r="B56" s="52"/>
      <c r="C56" s="55" t="str">
        <f>IF($CD$22="","",INDEX(Tính!$L$39:$L$83,$CD$22))</f>
        <v/>
      </c>
      <c r="D56" s="52"/>
      <c r="E56" s="52"/>
      <c r="G56" s="26" t="str">
        <f>IF($CD$22="","",INDEX(Tính!$K$39:$K$83,$CD$22))</f>
        <v/>
      </c>
      <c r="H56" s="28" t="str">
        <f>IF($CD$22="","",INDEX(Tính!$J$39:$J$83,$CD$22))</f>
        <v/>
      </c>
      <c r="I56" s="27" t="str">
        <f>IF($CD$22="","",INDEX(Tính!$N$39:$N$83,$CD$22))</f>
        <v/>
      </c>
      <c r="J56" s="27" t="str">
        <f>IF($CD$22="","",INDEX(Tính!$M$39:$M$83,$CD$22))</f>
        <v/>
      </c>
      <c r="K56" s="51" t="str">
        <f>IF($CD$22="","",INDEX(Tính!$O$39:$O$83,$CD$22))</f>
        <v/>
      </c>
      <c r="L56" s="52"/>
    </row>
    <row r="57" spans="1:12" x14ac:dyDescent="0.3">
      <c r="A57" s="54" t="str">
        <f>IF($CD$23="","",21&amp;". "&amp;IF($CD$23="","",INDEX(Tính!$C$39:$C$83,$CD$23)))</f>
        <v/>
      </c>
      <c r="B57" s="52"/>
      <c r="C57" s="55" t="str">
        <f>IF($CD$23="","",INDEX(Tính!$L$39:$L$83,$CD$23))</f>
        <v/>
      </c>
      <c r="D57" s="52"/>
      <c r="E57" s="52"/>
      <c r="G57" s="26" t="str">
        <f>IF($CD$23="","",INDEX(Tính!$K$39:$K$83,$CD$23))</f>
        <v/>
      </c>
      <c r="H57" s="28" t="str">
        <f>IF($CD$23="","",INDEX(Tính!$J$39:$J$83,$CD$23))</f>
        <v/>
      </c>
      <c r="I57" s="27" t="str">
        <f>IF($CD$23="","",INDEX(Tính!$N$39:$N$83,$CD$23))</f>
        <v/>
      </c>
      <c r="J57" s="27" t="str">
        <f>IF($CD$23="","",INDEX(Tính!$M$39:$M$83,$CD$23))</f>
        <v/>
      </c>
      <c r="K57" s="51" t="str">
        <f>IF($CD$23="","",INDEX(Tính!$O$39:$O$83,$CD$23))</f>
        <v/>
      </c>
      <c r="L57" s="52"/>
    </row>
    <row r="58" spans="1:12" x14ac:dyDescent="0.3">
      <c r="A58" s="54" t="str">
        <f>IF($CD$24="","",22&amp;". "&amp;IF($CD$24="","",INDEX(Tính!$C$39:$C$83,$CD$24)))</f>
        <v/>
      </c>
      <c r="B58" s="52"/>
      <c r="C58" s="55" t="str">
        <f>IF($CD$24="","",INDEX(Tính!$L$39:$L$83,$CD$24))</f>
        <v/>
      </c>
      <c r="D58" s="52"/>
      <c r="E58" s="52"/>
      <c r="G58" s="26" t="str">
        <f>IF($CD$24="","",INDEX(Tính!$K$39:$K$83,$CD$24))</f>
        <v/>
      </c>
      <c r="H58" s="28" t="str">
        <f>IF($CD$24="","",INDEX(Tính!$J$39:$J$83,$CD$24))</f>
        <v/>
      </c>
      <c r="I58" s="27" t="str">
        <f>IF($CD$24="","",INDEX(Tính!$N$39:$N$83,$CD$24))</f>
        <v/>
      </c>
      <c r="J58" s="27" t="str">
        <f>IF($CD$24="","",INDEX(Tính!$M$39:$M$83,$CD$24))</f>
        <v/>
      </c>
      <c r="K58" s="51" t="str">
        <f>IF($CD$24="","",INDEX(Tính!$O$39:$O$83,$CD$24))</f>
        <v/>
      </c>
      <c r="L58" s="52"/>
    </row>
    <row r="59" spans="1:12" x14ac:dyDescent="0.3">
      <c r="A59" s="54" t="str">
        <f>IF($CD$25="","",23&amp;". "&amp;IF($CD$25="","",INDEX(Tính!$C$39:$C$83,$CD$25)))</f>
        <v/>
      </c>
      <c r="B59" s="52"/>
      <c r="C59" s="55" t="str">
        <f>IF($CD$25="","",INDEX(Tính!$L$39:$L$83,$CD$25))</f>
        <v/>
      </c>
      <c r="D59" s="52"/>
      <c r="E59" s="52"/>
      <c r="G59" s="26" t="str">
        <f>IF($CD$25="","",INDEX(Tính!$K$39:$K$83,$CD$25))</f>
        <v/>
      </c>
      <c r="H59" s="28" t="str">
        <f>IF($CD$25="","",INDEX(Tính!$J$39:$J$83,$CD$25))</f>
        <v/>
      </c>
      <c r="I59" s="27" t="str">
        <f>IF($CD$25="","",INDEX(Tính!$N$39:$N$83,$CD$25))</f>
        <v/>
      </c>
      <c r="J59" s="27" t="str">
        <f>IF($CD$25="","",INDEX(Tính!$M$39:$M$83,$CD$25))</f>
        <v/>
      </c>
      <c r="K59" s="51" t="str">
        <f>IF($CD$25="","",INDEX(Tính!$O$39:$O$83,$CD$25))</f>
        <v/>
      </c>
      <c r="L59" s="52"/>
    </row>
    <row r="60" spans="1:12" x14ac:dyDescent="0.3">
      <c r="A60" s="54" t="str">
        <f>IF($CD$26="","",24&amp;". "&amp;IF($CD$26="","",INDEX(Tính!$C$39:$C$83,$CD$26)))</f>
        <v/>
      </c>
      <c r="B60" s="52"/>
      <c r="C60" s="55" t="str">
        <f>IF($CD$26="","",INDEX(Tính!$L$39:$L$83,$CD$26))</f>
        <v/>
      </c>
      <c r="D60" s="52"/>
      <c r="E60" s="52"/>
      <c r="G60" s="26" t="str">
        <f>IF($CD$26="","",INDEX(Tính!$K$39:$K$83,$CD$26))</f>
        <v/>
      </c>
      <c r="H60" s="28" t="str">
        <f>IF($CD$26="","",INDEX(Tính!$J$39:$J$83,$CD$26))</f>
        <v/>
      </c>
      <c r="I60" s="27" t="str">
        <f>IF($CD$26="","",INDEX(Tính!$N$39:$N$83,$CD$26))</f>
        <v/>
      </c>
      <c r="J60" s="27" t="str">
        <f>IF($CD$26="","",INDEX(Tính!$M$39:$M$83,$CD$26))</f>
        <v/>
      </c>
      <c r="K60" s="51" t="str">
        <f>IF($CD$26="","",INDEX(Tính!$O$39:$O$83,$CD$26))</f>
        <v/>
      </c>
      <c r="L60" s="52"/>
    </row>
    <row r="61" spans="1:12" x14ac:dyDescent="0.3">
      <c r="A61" s="54" t="str">
        <f>IF($CD$27="","",25&amp;". "&amp;IF($CD$27="","",INDEX(Tính!$C$39:$C$83,$CD$27)))</f>
        <v/>
      </c>
      <c r="B61" s="52"/>
      <c r="C61" s="55" t="str">
        <f>IF($CD$27="","",INDEX(Tính!$L$39:$L$83,$CD$27))</f>
        <v/>
      </c>
      <c r="D61" s="52"/>
      <c r="E61" s="52"/>
      <c r="G61" s="26" t="str">
        <f>IF($CD$27="","",INDEX(Tính!$K$39:$K$83,$CD$27))</f>
        <v/>
      </c>
      <c r="H61" s="28" t="str">
        <f>IF($CD$27="","",INDEX(Tính!$J$39:$J$83,$CD$27))</f>
        <v/>
      </c>
      <c r="I61" s="27" t="str">
        <f>IF($CD$27="","",INDEX(Tính!$N$39:$N$83,$CD$27))</f>
        <v/>
      </c>
      <c r="J61" s="27" t="str">
        <f>IF($CD$27="","",INDEX(Tính!$M$39:$M$83,$CD$27))</f>
        <v/>
      </c>
      <c r="K61" s="51" t="str">
        <f>IF($CD$27="","",INDEX(Tính!$O$39:$O$83,$CD$27))</f>
        <v/>
      </c>
      <c r="L61" s="52"/>
    </row>
    <row r="62" spans="1:12" x14ac:dyDescent="0.3">
      <c r="A62" s="54" t="str">
        <f>IF($CD$28="","",26&amp;". "&amp;IF($CD$28="","",INDEX(Tính!$C$39:$C$83,$CD$28)))</f>
        <v/>
      </c>
      <c r="B62" s="52"/>
      <c r="C62" s="55" t="str">
        <f>IF($CD$28="","",INDEX(Tính!$L$39:$L$83,$CD$28))</f>
        <v/>
      </c>
      <c r="D62" s="52"/>
      <c r="E62" s="52"/>
      <c r="G62" s="26" t="str">
        <f>IF($CD$28="","",INDEX(Tính!$K$39:$K$83,$CD$28))</f>
        <v/>
      </c>
      <c r="H62" s="28" t="str">
        <f>IF($CD$28="","",INDEX(Tính!$J$39:$J$83,$CD$28))</f>
        <v/>
      </c>
      <c r="I62" s="27" t="str">
        <f>IF($CD$28="","",INDEX(Tính!$N$39:$N$83,$CD$28))</f>
        <v/>
      </c>
      <c r="J62" s="27" t="str">
        <f>IF($CD$28="","",INDEX(Tính!$M$39:$M$83,$CD$28))</f>
        <v/>
      </c>
      <c r="K62" s="51" t="str">
        <f>IF($CD$28="","",INDEX(Tính!$O$39:$O$83,$CD$28))</f>
        <v/>
      </c>
      <c r="L62" s="52"/>
    </row>
    <row r="63" spans="1:12" x14ac:dyDescent="0.3">
      <c r="A63" s="54" t="str">
        <f>IF($CD$29="","",27&amp;". "&amp;IF($CD$29="","",INDEX(Tính!$C$39:$C$83,$CD$29)))</f>
        <v/>
      </c>
      <c r="B63" s="52"/>
      <c r="C63" s="55" t="str">
        <f>IF($CD$29="","",INDEX(Tính!$L$39:$L$83,$CD$29))</f>
        <v/>
      </c>
      <c r="D63" s="52"/>
      <c r="E63" s="52"/>
      <c r="G63" s="26" t="str">
        <f>IF($CD$29="","",INDEX(Tính!$K$39:$K$83,$CD$29))</f>
        <v/>
      </c>
      <c r="H63" s="28" t="str">
        <f>IF($CD$29="","",INDEX(Tính!$J$39:$J$83,$CD$29))</f>
        <v/>
      </c>
      <c r="I63" s="27" t="str">
        <f>IF($CD$29="","",INDEX(Tính!$N$39:$N$83,$CD$29))</f>
        <v/>
      </c>
      <c r="J63" s="27" t="str">
        <f>IF($CD$29="","",INDEX(Tính!$M$39:$M$83,$CD$29))</f>
        <v/>
      </c>
      <c r="K63" s="51" t="str">
        <f>IF($CD$29="","",INDEX(Tính!$O$39:$O$83,$CD$29))</f>
        <v/>
      </c>
      <c r="L63" s="52"/>
    </row>
    <row r="64" spans="1:12" x14ac:dyDescent="0.3">
      <c r="A64" s="54" t="str">
        <f>IF($CD$30="","",28&amp;". "&amp;IF($CD$30="","",INDEX(Tính!$C$39:$C$83,$CD$30)))</f>
        <v/>
      </c>
      <c r="B64" s="52"/>
      <c r="C64" s="55" t="str">
        <f>IF($CD$30="","",INDEX(Tính!$L$39:$L$83,$CD$30))</f>
        <v/>
      </c>
      <c r="D64" s="52"/>
      <c r="E64" s="52"/>
      <c r="G64" s="26" t="str">
        <f>IF($CD$30="","",INDEX(Tính!$K$39:$K$83,$CD$30))</f>
        <v/>
      </c>
      <c r="H64" s="28" t="str">
        <f>IF($CD$30="","",INDEX(Tính!$J$39:$J$83,$CD$30))</f>
        <v/>
      </c>
      <c r="I64" s="27" t="str">
        <f>IF($CD$30="","",INDEX(Tính!$N$39:$N$83,$CD$30))</f>
        <v/>
      </c>
      <c r="J64" s="27" t="str">
        <f>IF($CD$30="","",INDEX(Tính!$M$39:$M$83,$CD$30))</f>
        <v/>
      </c>
      <c r="K64" s="51" t="str">
        <f>IF($CD$30="","",INDEX(Tính!$O$39:$O$83,$CD$30))</f>
        <v/>
      </c>
      <c r="L64" s="52"/>
    </row>
    <row r="65" spans="1:12" x14ac:dyDescent="0.3">
      <c r="A65" s="54" t="str">
        <f>IF($CD$31="","",29&amp;". "&amp;IF($CD$31="","",INDEX(Tính!$C$39:$C$83,$CD$31)))</f>
        <v/>
      </c>
      <c r="B65" s="52"/>
      <c r="C65" s="55" t="str">
        <f>IF($CD$31="","",INDEX(Tính!$L$39:$L$83,$CD$31))</f>
        <v/>
      </c>
      <c r="D65" s="52"/>
      <c r="E65" s="52"/>
      <c r="G65" s="26" t="str">
        <f>IF($CD$31="","",INDEX(Tính!$K$39:$K$83,$CD$31))</f>
        <v/>
      </c>
      <c r="H65" s="28" t="str">
        <f>IF($CD$31="","",INDEX(Tính!$J$39:$J$83,$CD$31))</f>
        <v/>
      </c>
      <c r="I65" s="27" t="str">
        <f>IF($CD$31="","",INDEX(Tính!$N$39:$N$83,$CD$31))</f>
        <v/>
      </c>
      <c r="J65" s="27" t="str">
        <f>IF($CD$31="","",INDEX(Tính!$M$39:$M$83,$CD$31))</f>
        <v/>
      </c>
      <c r="K65" s="51" t="str">
        <f>IF($CD$31="","",INDEX(Tính!$O$39:$O$83,$CD$31))</f>
        <v/>
      </c>
      <c r="L65" s="52"/>
    </row>
    <row r="66" spans="1:12" x14ac:dyDescent="0.3">
      <c r="A66" s="54" t="str">
        <f>IF($CD$32="","",30&amp;". "&amp;IF($CD$32="","",INDEX(Tính!$C$39:$C$83,$CD$32)))</f>
        <v/>
      </c>
      <c r="B66" s="52"/>
      <c r="C66" s="55" t="str">
        <f>IF($CD$32="","",INDEX(Tính!$L$39:$L$83,$CD$32))</f>
        <v/>
      </c>
      <c r="D66" s="52"/>
      <c r="E66" s="52"/>
      <c r="G66" s="26" t="str">
        <f>IF($CD$32="","",INDEX(Tính!$K$39:$K$83,$CD$32))</f>
        <v/>
      </c>
      <c r="H66" s="28" t="str">
        <f>IF($CD$32="","",INDEX(Tính!$J$39:$J$83,$CD$32))</f>
        <v/>
      </c>
      <c r="I66" s="27" t="str">
        <f>IF($CD$32="","",INDEX(Tính!$N$39:$N$83,$CD$32))</f>
        <v/>
      </c>
      <c r="J66" s="27" t="str">
        <f>IF($CD$32="","",INDEX(Tính!$M$39:$M$83,$CD$32))</f>
        <v/>
      </c>
      <c r="K66" s="51" t="str">
        <f>IF($CD$32="","",INDEX(Tính!$O$39:$O$83,$CD$32))</f>
        <v/>
      </c>
      <c r="L66" s="52"/>
    </row>
    <row r="67" spans="1:12" x14ac:dyDescent="0.3">
      <c r="A67" s="54" t="str">
        <f>IF($CD$33="","",31&amp;". "&amp;IF($CD$33="","",INDEX(Tính!$C$39:$C$83,$CD$33)))</f>
        <v/>
      </c>
      <c r="B67" s="52"/>
      <c r="C67" s="55" t="str">
        <f>IF($CD$33="","",INDEX(Tính!$L$39:$L$83,$CD$33))</f>
        <v/>
      </c>
      <c r="D67" s="52"/>
      <c r="E67" s="52"/>
      <c r="G67" s="26" t="str">
        <f>IF($CD$33="","",INDEX(Tính!$K$39:$K$83,$CD$33))</f>
        <v/>
      </c>
      <c r="H67" s="28" t="str">
        <f>IF($CD$33="","",INDEX(Tính!$J$39:$J$83,$CD$33))</f>
        <v/>
      </c>
      <c r="I67" s="27" t="str">
        <f>IF($CD$33="","",INDEX(Tính!$N$39:$N$83,$CD$33))</f>
        <v/>
      </c>
      <c r="J67" s="27" t="str">
        <f>IF($CD$33="","",INDEX(Tính!$M$39:$M$83,$CD$33))</f>
        <v/>
      </c>
      <c r="K67" s="51" t="str">
        <f>IF($CD$33="","",INDEX(Tính!$O$39:$O$83,$CD$33))</f>
        <v/>
      </c>
      <c r="L67" s="52"/>
    </row>
    <row r="68" spans="1:12" x14ac:dyDescent="0.3">
      <c r="A68" s="54" t="str">
        <f>IF($CD$34="","",32&amp;". "&amp;IF($CD$34="","",INDEX(Tính!$C$39:$C$83,$CD$34)))</f>
        <v/>
      </c>
      <c r="B68" s="52"/>
      <c r="C68" s="55" t="str">
        <f>IF($CD$34="","",INDEX(Tính!$L$39:$L$83,$CD$34))</f>
        <v/>
      </c>
      <c r="D68" s="52"/>
      <c r="E68" s="52"/>
      <c r="G68" s="26" t="str">
        <f>IF($CD$34="","",INDEX(Tính!$K$39:$K$83,$CD$34))</f>
        <v/>
      </c>
      <c r="H68" s="28" t="str">
        <f>IF($CD$34="","",INDEX(Tính!$J$39:$J$83,$CD$34))</f>
        <v/>
      </c>
      <c r="I68" s="27" t="str">
        <f>IF($CD$34="","",INDEX(Tính!$N$39:$N$83,$CD$34))</f>
        <v/>
      </c>
      <c r="J68" s="27" t="str">
        <f>IF($CD$34="","",INDEX(Tính!$M$39:$M$83,$CD$34))</f>
        <v/>
      </c>
      <c r="K68" s="51" t="str">
        <f>IF($CD$34="","",INDEX(Tính!$O$39:$O$83,$CD$34))</f>
        <v/>
      </c>
      <c r="L68" s="52"/>
    </row>
    <row r="69" spans="1:12" x14ac:dyDescent="0.3">
      <c r="A69" s="54" t="str">
        <f>IF($CD$35="","",33&amp;". "&amp;IF($CD$35="","",INDEX(Tính!$C$39:$C$83,$CD$35)))</f>
        <v/>
      </c>
      <c r="B69" s="52"/>
      <c r="C69" s="55" t="str">
        <f>IF($CD$35="","",INDEX(Tính!$L$39:$L$83,$CD$35))</f>
        <v/>
      </c>
      <c r="D69" s="52"/>
      <c r="E69" s="52"/>
      <c r="G69" s="26" t="str">
        <f>IF($CD$35="","",INDEX(Tính!$K$39:$K$83,$CD$35))</f>
        <v/>
      </c>
      <c r="H69" s="28" t="str">
        <f>IF($CD$35="","",INDEX(Tính!$J$39:$J$83,$CD$35))</f>
        <v/>
      </c>
      <c r="I69" s="27" t="str">
        <f>IF($CD$35="","",INDEX(Tính!$N$39:$N$83,$CD$35))</f>
        <v/>
      </c>
      <c r="J69" s="27" t="str">
        <f>IF($CD$35="","",INDEX(Tính!$M$39:$M$83,$CD$35))</f>
        <v/>
      </c>
      <c r="K69" s="51" t="str">
        <f>IF($CD$35="","",INDEX(Tính!$O$39:$O$83,$CD$35))</f>
        <v/>
      </c>
      <c r="L69" s="52"/>
    </row>
    <row r="70" spans="1:12" x14ac:dyDescent="0.3">
      <c r="A70" s="54" t="str">
        <f>IF($CD$36="","",34&amp;". "&amp;IF($CD$36="","",INDEX(Tính!$C$39:$C$83,$CD$36)))</f>
        <v/>
      </c>
      <c r="B70" s="52"/>
      <c r="C70" s="55" t="str">
        <f>IF($CD$36="","",INDEX(Tính!$L$39:$L$83,$CD$36))</f>
        <v/>
      </c>
      <c r="D70" s="52"/>
      <c r="E70" s="52"/>
      <c r="G70" s="26" t="str">
        <f>IF($CD$36="","",INDEX(Tính!$K$39:$K$83,$CD$36))</f>
        <v/>
      </c>
      <c r="H70" s="28" t="str">
        <f>IF($CD$36="","",INDEX(Tính!$J$39:$J$83,$CD$36))</f>
        <v/>
      </c>
      <c r="I70" s="27" t="str">
        <f>IF($CD$36="","",INDEX(Tính!$N$39:$N$83,$CD$36))</f>
        <v/>
      </c>
      <c r="J70" s="27" t="str">
        <f>IF($CD$36="","",INDEX(Tính!$M$39:$M$83,$CD$36))</f>
        <v/>
      </c>
      <c r="K70" s="51" t="str">
        <f>IF($CD$36="","",INDEX(Tính!$O$39:$O$83,$CD$36))</f>
        <v/>
      </c>
      <c r="L70" s="52"/>
    </row>
    <row r="71" spans="1:12" x14ac:dyDescent="0.3">
      <c r="A71" s="54" t="str">
        <f>IF($CD$37="","",35&amp;". "&amp;IF($CD$37="","",INDEX(Tính!$C$39:$C$83,$CD$37)))</f>
        <v/>
      </c>
      <c r="B71" s="52"/>
      <c r="C71" s="55" t="str">
        <f>IF($CD$37="","",INDEX(Tính!$L$39:$L$83,$CD$37))</f>
        <v/>
      </c>
      <c r="D71" s="52"/>
      <c r="E71" s="52"/>
      <c r="G71" s="26" t="str">
        <f>IF($CD$37="","",INDEX(Tính!$K$39:$K$83,$CD$37))</f>
        <v/>
      </c>
      <c r="H71" s="28" t="str">
        <f>IF($CD$37="","",INDEX(Tính!$J$39:$J$83,$CD$37))</f>
        <v/>
      </c>
      <c r="I71" s="27" t="str">
        <f>IF($CD$37="","",INDEX(Tính!$N$39:$N$83,$CD$37))</f>
        <v/>
      </c>
      <c r="J71" s="27" t="str">
        <f>IF($CD$37="","",INDEX(Tính!$M$39:$M$83,$CD$37))</f>
        <v/>
      </c>
      <c r="K71" s="51" t="str">
        <f>IF($CD$37="","",INDEX(Tính!$O$39:$O$83,$CD$37))</f>
        <v/>
      </c>
      <c r="L71" s="52"/>
    </row>
    <row r="72" spans="1:12" x14ac:dyDescent="0.3">
      <c r="A72" s="54" t="str">
        <f>IF($CD$38="","",36&amp;". "&amp;IF($CD$38="","",INDEX(Tính!$C$39:$C$83,$CD$38)))</f>
        <v/>
      </c>
      <c r="B72" s="52"/>
      <c r="C72" s="55" t="str">
        <f>IF($CD$38="","",INDEX(Tính!$L$39:$L$83,$CD$38))</f>
        <v/>
      </c>
      <c r="D72" s="52"/>
      <c r="E72" s="52"/>
      <c r="G72" s="26" t="str">
        <f>IF($CD$38="","",INDEX(Tính!$K$39:$K$83,$CD$38))</f>
        <v/>
      </c>
      <c r="H72" s="28" t="str">
        <f>IF($CD$38="","",INDEX(Tính!$J$39:$J$83,$CD$38))</f>
        <v/>
      </c>
      <c r="I72" s="27" t="str">
        <f>IF($CD$38="","",INDEX(Tính!$N$39:$N$83,$CD$38))</f>
        <v/>
      </c>
      <c r="J72" s="27" t="str">
        <f>IF($CD$38="","",INDEX(Tính!$M$39:$M$83,$CD$38))</f>
        <v/>
      </c>
      <c r="K72" s="51" t="str">
        <f>IF($CD$38="","",INDEX(Tính!$O$39:$O$83,$CD$38))</f>
        <v/>
      </c>
      <c r="L72" s="52"/>
    </row>
    <row r="73" spans="1:12" x14ac:dyDescent="0.3">
      <c r="A73" s="54" t="str">
        <f>IF($CD$39="","",37&amp;". "&amp;IF($CD$39="","",INDEX(Tính!$C$39:$C$83,$CD$39)))</f>
        <v/>
      </c>
      <c r="B73" s="52"/>
      <c r="C73" s="55" t="str">
        <f>IF($CD$39="","",INDEX(Tính!$L$39:$L$83,$CD$39))</f>
        <v/>
      </c>
      <c r="D73" s="52"/>
      <c r="E73" s="52"/>
      <c r="G73" s="26" t="str">
        <f>IF($CD$39="","",INDEX(Tính!$K$39:$K$83,$CD$39))</f>
        <v/>
      </c>
      <c r="H73" s="28" t="str">
        <f>IF($CD$39="","",INDEX(Tính!$J$39:$J$83,$CD$39))</f>
        <v/>
      </c>
      <c r="I73" s="27" t="str">
        <f>IF($CD$39="","",INDEX(Tính!$N$39:$N$83,$CD$39))</f>
        <v/>
      </c>
      <c r="J73" s="27" t="str">
        <f>IF($CD$39="","",INDEX(Tính!$M$39:$M$83,$CD$39))</f>
        <v/>
      </c>
      <c r="K73" s="51" t="str">
        <f>IF($CD$39="","",INDEX(Tính!$O$39:$O$83,$CD$39))</f>
        <v/>
      </c>
      <c r="L73" s="52"/>
    </row>
    <row r="74" spans="1:12" x14ac:dyDescent="0.3">
      <c r="A74" s="54" t="str">
        <f>IF($CD$40="","",38&amp;". "&amp;IF($CD$40="","",INDEX(Tính!$C$39:$C$83,$CD$40)))</f>
        <v/>
      </c>
      <c r="B74" s="52"/>
      <c r="C74" s="55" t="str">
        <f>IF($CD$40="","",INDEX(Tính!$L$39:$L$83,$CD$40))</f>
        <v/>
      </c>
      <c r="D74" s="52"/>
      <c r="E74" s="52"/>
      <c r="G74" s="26" t="str">
        <f>IF($CD$40="","",INDEX(Tính!$K$39:$K$83,$CD$40))</f>
        <v/>
      </c>
      <c r="H74" s="28" t="str">
        <f>IF($CD$40="","",INDEX(Tính!$J$39:$J$83,$CD$40))</f>
        <v/>
      </c>
      <c r="I74" s="27" t="str">
        <f>IF($CD$40="","",INDEX(Tính!$N$39:$N$83,$CD$40))</f>
        <v/>
      </c>
      <c r="J74" s="27" t="str">
        <f>IF($CD$40="","",INDEX(Tính!$M$39:$M$83,$CD$40))</f>
        <v/>
      </c>
      <c r="K74" s="51" t="str">
        <f>IF($CD$40="","",INDEX(Tính!$O$39:$O$83,$CD$40))</f>
        <v/>
      </c>
      <c r="L74" s="52"/>
    </row>
    <row r="75" spans="1:12" x14ac:dyDescent="0.3">
      <c r="A75" s="54" t="str">
        <f>IF($CD$41="","",39&amp;". "&amp;IF($CD$41="","",INDEX(Tính!$C$39:$C$83,$CD$41)))</f>
        <v/>
      </c>
      <c r="B75" s="52"/>
      <c r="C75" s="55" t="str">
        <f>IF($CD$41="","",INDEX(Tính!$L$39:$L$83,$CD$41))</f>
        <v/>
      </c>
      <c r="D75" s="52"/>
      <c r="E75" s="52"/>
      <c r="G75" s="26" t="str">
        <f>IF($CD$41="","",INDEX(Tính!$K$39:$K$83,$CD$41))</f>
        <v/>
      </c>
      <c r="H75" s="28" t="str">
        <f>IF($CD$41="","",INDEX(Tính!$J$39:$J$83,$CD$41))</f>
        <v/>
      </c>
      <c r="I75" s="27" t="str">
        <f>IF($CD$41="","",INDEX(Tính!$N$39:$N$83,$CD$41))</f>
        <v/>
      </c>
      <c r="J75" s="27" t="str">
        <f>IF($CD$41="","",INDEX(Tính!$M$39:$M$83,$CD$41))</f>
        <v/>
      </c>
      <c r="K75" s="51" t="str">
        <f>IF($CD$41="","",INDEX(Tính!$O$39:$O$83,$CD$41))</f>
        <v/>
      </c>
      <c r="L75" s="52"/>
    </row>
    <row r="76" spans="1:12" x14ac:dyDescent="0.3">
      <c r="A76" s="54" t="str">
        <f>IF($CD$42="","",40&amp;". "&amp;IF($CD$42="","",INDEX(Tính!$C$39:$C$83,$CD$42)))</f>
        <v/>
      </c>
      <c r="B76" s="52"/>
      <c r="C76" s="55" t="str">
        <f>IF($CD$42="","",INDEX(Tính!$L$39:$L$83,$CD$42))</f>
        <v/>
      </c>
      <c r="D76" s="52"/>
      <c r="E76" s="52"/>
      <c r="G76" s="26" t="str">
        <f>IF($CD$42="","",INDEX(Tính!$K$39:$K$83,$CD$42))</f>
        <v/>
      </c>
      <c r="H76" s="28" t="str">
        <f>IF($CD$42="","",INDEX(Tính!$J$39:$J$83,$CD$42))</f>
        <v/>
      </c>
      <c r="I76" s="27" t="str">
        <f>IF($CD$42="","",INDEX(Tính!$N$39:$N$83,$CD$42))</f>
        <v/>
      </c>
      <c r="J76" s="27" t="str">
        <f>IF($CD$42="","",INDEX(Tính!$M$39:$M$83,$CD$42))</f>
        <v/>
      </c>
      <c r="K76" s="51" t="str">
        <f>IF($CD$42="","",INDEX(Tính!$O$39:$O$83,$CD$42))</f>
        <v/>
      </c>
      <c r="L76" s="52"/>
    </row>
    <row r="77" spans="1:12" x14ac:dyDescent="0.3">
      <c r="A77" s="54" t="str">
        <f>IF($CD$43="","",41&amp;". "&amp;IF($CD$43="","",INDEX(Tính!$C$39:$C$83,$CD$43)))</f>
        <v/>
      </c>
      <c r="B77" s="52"/>
      <c r="C77" s="55" t="str">
        <f>IF($CD$43="","",INDEX(Tính!$L$39:$L$83,$CD$43))</f>
        <v/>
      </c>
      <c r="D77" s="52"/>
      <c r="E77" s="52"/>
      <c r="G77" s="26" t="str">
        <f>IF($CD$43="","",INDEX(Tính!$K$39:$K$83,$CD$43))</f>
        <v/>
      </c>
      <c r="H77" s="28" t="str">
        <f>IF($CD$43="","",INDEX(Tính!$J$39:$J$83,$CD$43))</f>
        <v/>
      </c>
      <c r="I77" s="27" t="str">
        <f>IF($CD$43="","",INDEX(Tính!$N$39:$N$83,$CD$43))</f>
        <v/>
      </c>
      <c r="J77" s="27" t="str">
        <f>IF($CD$43="","",INDEX(Tính!$M$39:$M$83,$CD$43))</f>
        <v/>
      </c>
      <c r="K77" s="51" t="str">
        <f>IF($CD$43="","",INDEX(Tính!$O$39:$O$83,$CD$43))</f>
        <v/>
      </c>
      <c r="L77" s="52"/>
    </row>
    <row r="78" spans="1:12" x14ac:dyDescent="0.3">
      <c r="A78" s="54" t="str">
        <f>IF($CD$44="","",42&amp;". "&amp;IF($CD$44="","",INDEX(Tính!$C$39:$C$83,$CD$44)))</f>
        <v/>
      </c>
      <c r="B78" s="52"/>
      <c r="C78" s="55" t="str">
        <f>IF($CD$44="","",INDEX(Tính!$L$39:$L$83,$CD$44))</f>
        <v/>
      </c>
      <c r="D78" s="52"/>
      <c r="E78" s="52"/>
      <c r="G78" s="26" t="str">
        <f>IF($CD$44="","",INDEX(Tính!$K$39:$K$83,$CD$44))</f>
        <v/>
      </c>
      <c r="H78" s="28" t="str">
        <f>IF($CD$44="","",INDEX(Tính!$J$39:$J$83,$CD$44))</f>
        <v/>
      </c>
      <c r="I78" s="27" t="str">
        <f>IF($CD$44="","",INDEX(Tính!$N$39:$N$83,$CD$44))</f>
        <v/>
      </c>
      <c r="J78" s="27" t="str">
        <f>IF($CD$44="","",INDEX(Tính!$M$39:$M$83,$CD$44))</f>
        <v/>
      </c>
      <c r="K78" s="51" t="str">
        <f>IF($CD$44="","",INDEX(Tính!$O$39:$O$83,$CD$44))</f>
        <v/>
      </c>
      <c r="L78" s="52"/>
    </row>
    <row r="79" spans="1:12" x14ac:dyDescent="0.3">
      <c r="A79" s="54" t="str">
        <f>IF($CD$45="","",43&amp;". "&amp;IF($CD$45="","",INDEX(Tính!$C$39:$C$83,$CD$45)))</f>
        <v/>
      </c>
      <c r="B79" s="52"/>
      <c r="C79" s="55" t="str">
        <f>IF($CD$45="","",INDEX(Tính!$L$39:$L$83,$CD$45))</f>
        <v/>
      </c>
      <c r="D79" s="52"/>
      <c r="E79" s="52"/>
      <c r="G79" s="26" t="str">
        <f>IF($CD$45="","",INDEX(Tính!$K$39:$K$83,$CD$45))</f>
        <v/>
      </c>
      <c r="H79" s="28" t="str">
        <f>IF($CD$45="","",INDEX(Tính!$J$39:$J$83,$CD$45))</f>
        <v/>
      </c>
      <c r="I79" s="27" t="str">
        <f>IF($CD$45="","",INDEX(Tính!$N$39:$N$83,$CD$45))</f>
        <v/>
      </c>
      <c r="J79" s="27" t="str">
        <f>IF($CD$45="","",INDEX(Tính!$M$39:$M$83,$CD$45))</f>
        <v/>
      </c>
      <c r="K79" s="51" t="str">
        <f>IF($CD$45="","",INDEX(Tính!$O$39:$O$83,$CD$45))</f>
        <v/>
      </c>
      <c r="L79" s="52"/>
    </row>
    <row r="80" spans="1:12" x14ac:dyDescent="0.3">
      <c r="A80" s="54" t="str">
        <f>IF($CD$46="","",44&amp;". "&amp;IF($CD$46="","",INDEX(Tính!$C$39:$C$83,$CD$46)))</f>
        <v/>
      </c>
      <c r="B80" s="52"/>
      <c r="C80" s="55" t="str">
        <f>IF($CD$46="","",INDEX(Tính!$L$39:$L$83,$CD$46))</f>
        <v/>
      </c>
      <c r="D80" s="52"/>
      <c r="E80" s="52"/>
      <c r="G80" s="26" t="str">
        <f>IF($CD$46="","",INDEX(Tính!$K$39:$K$83,$CD$46))</f>
        <v/>
      </c>
      <c r="H80" s="28" t="str">
        <f>IF($CD$46="","",INDEX(Tính!$J$39:$J$83,$CD$46))</f>
        <v/>
      </c>
      <c r="I80" s="27" t="str">
        <f>IF($CD$46="","",INDEX(Tính!$N$39:$N$83,$CD$46))</f>
        <v/>
      </c>
      <c r="J80" s="27" t="str">
        <f>IF($CD$46="","",INDEX(Tính!$M$39:$M$83,$CD$46))</f>
        <v/>
      </c>
      <c r="K80" s="51" t="str">
        <f>IF($CD$46="","",INDEX(Tính!$O$39:$O$83,$CD$46))</f>
        <v/>
      </c>
      <c r="L80" s="52"/>
    </row>
    <row r="81" spans="1:12" x14ac:dyDescent="0.3">
      <c r="A81" s="54" t="str">
        <f>IF($CD$47="","",45&amp;". "&amp;IF($CD$47="","",INDEX(Tính!$C$39:$C$83,$CD$47)))</f>
        <v/>
      </c>
      <c r="B81" s="52"/>
      <c r="C81" s="55" t="str">
        <f>IF($CD$47="","",INDEX(Tính!$L$39:$L$83,$CD$47))</f>
        <v/>
      </c>
      <c r="D81" s="52"/>
      <c r="E81" s="52"/>
      <c r="G81" s="26" t="str">
        <f>IF($CD$47="","",INDEX(Tính!$K$39:$K$83,$CD$47))</f>
        <v/>
      </c>
      <c r="H81" s="28" t="str">
        <f>IF($CD$47="","",INDEX(Tính!$J$39:$J$83,$CD$47))</f>
        <v/>
      </c>
      <c r="I81" s="27" t="str">
        <f>IF($CD$47="","",INDEX(Tính!$N$39:$N$83,$CD$47))</f>
        <v/>
      </c>
      <c r="J81" s="27" t="str">
        <f>IF($CD$47="","",INDEX(Tính!$M$39:$M$83,$CD$47))</f>
        <v/>
      </c>
      <c r="K81" s="51" t="str">
        <f>IF($CD$47="","",INDEX(Tính!$O$39:$O$83,$CD$47))</f>
        <v/>
      </c>
      <c r="L81" s="52"/>
    </row>
    <row r="82" spans="1:12" x14ac:dyDescent="0.3">
      <c r="A82" s="8" t="s">
        <v>92</v>
      </c>
    </row>
  </sheetData>
  <mergeCells count="190">
    <mergeCell ref="A1:L1"/>
    <mergeCell ref="A13:B13"/>
    <mergeCell ref="A44:B44"/>
    <mergeCell ref="K62:L62"/>
    <mergeCell ref="A31:B31"/>
    <mergeCell ref="A58:B58"/>
    <mergeCell ref="B2:D2"/>
    <mergeCell ref="I5:L5"/>
    <mergeCell ref="C47:E47"/>
    <mergeCell ref="G5:H5"/>
    <mergeCell ref="K61:L61"/>
    <mergeCell ref="C68:E68"/>
    <mergeCell ref="K39:L39"/>
    <mergeCell ref="K70:L70"/>
    <mergeCell ref="K48:L48"/>
    <mergeCell ref="G4:H4"/>
    <mergeCell ref="A20:B20"/>
    <mergeCell ref="A35:E35"/>
    <mergeCell ref="C58:E58"/>
    <mergeCell ref="A29:B29"/>
    <mergeCell ref="C5:E5"/>
    <mergeCell ref="K38:L38"/>
    <mergeCell ref="C45:E45"/>
    <mergeCell ref="G6:H6"/>
    <mergeCell ref="K75:L75"/>
    <mergeCell ref="A18:B18"/>
    <mergeCell ref="A50:B50"/>
    <mergeCell ref="K59:L59"/>
    <mergeCell ref="C66:E66"/>
    <mergeCell ref="K77:L77"/>
    <mergeCell ref="C53:E53"/>
    <mergeCell ref="A47:B47"/>
    <mergeCell ref="A72:B72"/>
    <mergeCell ref="A5:B5"/>
    <mergeCell ref="C69:E69"/>
    <mergeCell ref="A32:B32"/>
    <mergeCell ref="K71:L71"/>
    <mergeCell ref="A14:B14"/>
    <mergeCell ref="C78:E78"/>
    <mergeCell ref="A23:B23"/>
    <mergeCell ref="C62:E62"/>
    <mergeCell ref="A4:B4"/>
    <mergeCell ref="A38:B38"/>
    <mergeCell ref="K73:L73"/>
    <mergeCell ref="A43:B43"/>
    <mergeCell ref="K65:L65"/>
    <mergeCell ref="C4:E4"/>
    <mergeCell ref="K57:L57"/>
    <mergeCell ref="C64:E64"/>
    <mergeCell ref="A40:B40"/>
    <mergeCell ref="A67:B67"/>
    <mergeCell ref="C54:E54"/>
    <mergeCell ref="A24:B24"/>
    <mergeCell ref="C41:E41"/>
    <mergeCell ref="A60:B60"/>
    <mergeCell ref="C56:E56"/>
    <mergeCell ref="G8:H8"/>
    <mergeCell ref="F2:L2"/>
    <mergeCell ref="C73:E73"/>
    <mergeCell ref="C63:E63"/>
    <mergeCell ref="A77:B77"/>
    <mergeCell ref="K74:L74"/>
    <mergeCell ref="C50:E50"/>
    <mergeCell ref="K68:L68"/>
    <mergeCell ref="C55:E55"/>
    <mergeCell ref="A49:B49"/>
    <mergeCell ref="A36:B36"/>
    <mergeCell ref="K45:L45"/>
    <mergeCell ref="K54:L54"/>
    <mergeCell ref="A69:B69"/>
    <mergeCell ref="K60:L60"/>
    <mergeCell ref="C36:E36"/>
    <mergeCell ref="A65:B65"/>
    <mergeCell ref="K47:L47"/>
    <mergeCell ref="K44:L44"/>
    <mergeCell ref="A75:B75"/>
    <mergeCell ref="G35:L35"/>
    <mergeCell ref="K46:L46"/>
    <mergeCell ref="K40:L40"/>
    <mergeCell ref="C67:E67"/>
    <mergeCell ref="A55:B55"/>
    <mergeCell ref="I7:L7"/>
    <mergeCell ref="I8:J8"/>
    <mergeCell ref="A8:B8"/>
    <mergeCell ref="A52:B52"/>
    <mergeCell ref="I10:J10"/>
    <mergeCell ref="A63:B63"/>
    <mergeCell ref="C79:E79"/>
    <mergeCell ref="A10:B10"/>
    <mergeCell ref="K10:L10"/>
    <mergeCell ref="K66:L66"/>
    <mergeCell ref="A78:B78"/>
    <mergeCell ref="A12:B12"/>
    <mergeCell ref="C72:E72"/>
    <mergeCell ref="A21:B21"/>
    <mergeCell ref="C37:E37"/>
    <mergeCell ref="A57:B57"/>
    <mergeCell ref="K36:L36"/>
    <mergeCell ref="C43:E43"/>
    <mergeCell ref="A16:B16"/>
    <mergeCell ref="C76:E76"/>
    <mergeCell ref="A25:B25"/>
    <mergeCell ref="G10:H10"/>
    <mergeCell ref="C8:E8"/>
    <mergeCell ref="A66:B66"/>
    <mergeCell ref="K41:L41"/>
    <mergeCell ref="A46:B46"/>
    <mergeCell ref="C48:E48"/>
    <mergeCell ref="C70:E70"/>
    <mergeCell ref="K72:L72"/>
    <mergeCell ref="C81:E81"/>
    <mergeCell ref="C38:E38"/>
    <mergeCell ref="K56:L56"/>
    <mergeCell ref="A26:B26"/>
    <mergeCell ref="K43:L43"/>
    <mergeCell ref="A71:B71"/>
    <mergeCell ref="A80:B80"/>
    <mergeCell ref="A81:B81"/>
    <mergeCell ref="A48:B48"/>
    <mergeCell ref="A30:B30"/>
    <mergeCell ref="I6:J6"/>
    <mergeCell ref="D10:E10"/>
    <mergeCell ref="A59:B59"/>
    <mergeCell ref="A11:B11"/>
    <mergeCell ref="C75:E75"/>
    <mergeCell ref="A45:B45"/>
    <mergeCell ref="K80:L80"/>
    <mergeCell ref="C59:E59"/>
    <mergeCell ref="A79:B79"/>
    <mergeCell ref="K55:L55"/>
    <mergeCell ref="A61:B61"/>
    <mergeCell ref="C46:E46"/>
    <mergeCell ref="K64:L64"/>
    <mergeCell ref="K79:L79"/>
    <mergeCell ref="C65:E65"/>
    <mergeCell ref="K51:L51"/>
    <mergeCell ref="G7:H7"/>
    <mergeCell ref="C52:E52"/>
    <mergeCell ref="C61:E61"/>
    <mergeCell ref="C39:E39"/>
    <mergeCell ref="K63:L63"/>
    <mergeCell ref="A37:B37"/>
    <mergeCell ref="K81:L81"/>
    <mergeCell ref="K76:L76"/>
    <mergeCell ref="K50:L50"/>
    <mergeCell ref="A74:B74"/>
    <mergeCell ref="C7:E7"/>
    <mergeCell ref="A27:B27"/>
    <mergeCell ref="A56:B56"/>
    <mergeCell ref="K58:L58"/>
    <mergeCell ref="K52:L52"/>
    <mergeCell ref="K67:L67"/>
    <mergeCell ref="C57:E57"/>
    <mergeCell ref="A76:B76"/>
    <mergeCell ref="A33:B33"/>
    <mergeCell ref="K42:L42"/>
    <mergeCell ref="A42:B42"/>
    <mergeCell ref="C49:E49"/>
    <mergeCell ref="A17:B17"/>
    <mergeCell ref="C77:E77"/>
    <mergeCell ref="A22:B22"/>
    <mergeCell ref="A53:B53"/>
    <mergeCell ref="C42:E42"/>
    <mergeCell ref="A62:B62"/>
    <mergeCell ref="K53:L53"/>
    <mergeCell ref="C74:E74"/>
    <mergeCell ref="K49:L49"/>
    <mergeCell ref="C6:D6"/>
    <mergeCell ref="A15:B15"/>
    <mergeCell ref="C44:E44"/>
    <mergeCell ref="A64:B64"/>
    <mergeCell ref="A73:B73"/>
    <mergeCell ref="C80:E80"/>
    <mergeCell ref="A51:B51"/>
    <mergeCell ref="I4:L4"/>
    <mergeCell ref="C40:E40"/>
    <mergeCell ref="A70:B70"/>
    <mergeCell ref="C51:E51"/>
    <mergeCell ref="C60:E60"/>
    <mergeCell ref="A54:B54"/>
    <mergeCell ref="A7:B7"/>
    <mergeCell ref="C71:E71"/>
    <mergeCell ref="A41:B41"/>
    <mergeCell ref="A19:B19"/>
    <mergeCell ref="A68:B68"/>
    <mergeCell ref="A28:B28"/>
    <mergeCell ref="K37:L37"/>
    <mergeCell ref="K69:L69"/>
    <mergeCell ref="A39:B39"/>
    <mergeCell ref="K78:L78"/>
  </mergeCells>
  <conditionalFormatting sqref="A12:A33">
    <cfRule type="expression" dxfId="485" priority="38" stopIfTrue="1">
      <formula>AND(ISNUMBER($L12),$L12&gt;=1)</formula>
    </cfRule>
    <cfRule type="expression" dxfId="484" priority="37" stopIfTrue="1">
      <formula>AND(ISNUMBER($L12),ROUND($L12,2)=0)</formula>
    </cfRule>
    <cfRule type="expression" dxfId="483" priority="40" stopIfTrue="1">
      <formula>ISNUMBER($L12)</formula>
    </cfRule>
    <cfRule type="expression" dxfId="482" priority="39" stopIfTrue="1">
      <formula>AND(ISNUMBER($L12),$L12&gt;=1*0.8)</formula>
    </cfRule>
  </conditionalFormatting>
  <conditionalFormatting sqref="A12:E33">
    <cfRule type="expression" dxfId="481" priority="17" stopIfTrue="1">
      <formula>$AW12="C"</formula>
    </cfRule>
    <cfRule type="expression" dxfId="480" priority="18" stopIfTrue="1">
      <formula>$AW12="V"</formula>
    </cfRule>
    <cfRule type="expression" dxfId="479" priority="53">
      <formula>$A12&lt;&gt;""</formula>
    </cfRule>
  </conditionalFormatting>
  <conditionalFormatting sqref="A37:E81">
    <cfRule type="expression" dxfId="478" priority="55">
      <formula>$A37&lt;&gt;""</formula>
    </cfRule>
  </conditionalFormatting>
  <conditionalFormatting sqref="B6">
    <cfRule type="expression" dxfId="477" priority="1" stopIfTrue="1">
      <formula>AND(ISNUMBER(B6),ROUND(B6,2)=0)</formula>
    </cfRule>
    <cfRule type="expression" dxfId="476" priority="2" stopIfTrue="1">
      <formula>AND(ISNUMBER(B6),B6&gt;=1)</formula>
    </cfRule>
    <cfRule type="expression" dxfId="475" priority="3" stopIfTrue="1">
      <formula>AND(ISNUMBER(B6),B6&gt;=1*0.8)</formula>
    </cfRule>
    <cfRule type="expression" dxfId="474" priority="4" stopIfTrue="1">
      <formula>ISNUMBER(B6)</formula>
    </cfRule>
  </conditionalFormatting>
  <conditionalFormatting sqref="C8">
    <cfRule type="expression" dxfId="473" priority="13" stopIfTrue="1">
      <formula>AND(ISNUMBER(C8),C8&gt;=MucTieuTC)</formula>
    </cfRule>
    <cfRule type="expression" dxfId="472" priority="14">
      <formula>ISNUMBER(C8)</formula>
    </cfRule>
  </conditionalFormatting>
  <conditionalFormatting sqref="E12:E33">
    <cfRule type="expression" dxfId="471" priority="21" stopIfTrue="1">
      <formula>AND(ISNUMBER(E12),ROUND(E12,2)=0)</formula>
    </cfRule>
    <cfRule type="expression" dxfId="470" priority="22" stopIfTrue="1">
      <formula>AND(ISNUMBER(E12),E12&gt;=1)</formula>
    </cfRule>
    <cfRule type="expression" dxfId="469" priority="23" stopIfTrue="1">
      <formula>AND(ISNUMBER(E12),E12&gt;=1*0.8)</formula>
    </cfRule>
    <cfRule type="expression" dxfId="468" priority="24" stopIfTrue="1">
      <formula>ISNUMBER(E12)</formula>
    </cfRule>
  </conditionalFormatting>
  <conditionalFormatting sqref="G12:G33">
    <cfRule type="expression" dxfId="467" priority="43" stopIfTrue="1">
      <formula>AND(ISNUMBER($L12),$L12&gt;=1*0.8)</formula>
    </cfRule>
    <cfRule type="expression" dxfId="466" priority="42" stopIfTrue="1">
      <formula>AND(ISNUMBER($L12),$L12&gt;=1)</formula>
    </cfRule>
    <cfRule type="expression" dxfId="465" priority="41" stopIfTrue="1">
      <formula>AND(ISNUMBER($L12),ROUND($L12,2)=0)</formula>
    </cfRule>
    <cfRule type="expression" dxfId="464" priority="44" stopIfTrue="1">
      <formula>ISNUMBER($L12)</formula>
    </cfRule>
  </conditionalFormatting>
  <conditionalFormatting sqref="G12:L33">
    <cfRule type="expression" dxfId="463" priority="19" stopIfTrue="1">
      <formula>$AW12="C"</formula>
    </cfRule>
    <cfRule type="expression" dxfId="462" priority="20" stopIfTrue="1">
      <formula>$AW12="V"</formula>
    </cfRule>
    <cfRule type="expression" dxfId="461" priority="54">
      <formula>$G12&lt;&gt;""</formula>
    </cfRule>
  </conditionalFormatting>
  <conditionalFormatting sqref="G37:L81">
    <cfRule type="expression" dxfId="460" priority="56">
      <formula>$A37&lt;&gt;""</formula>
    </cfRule>
  </conditionalFormatting>
  <conditionalFormatting sqref="I6">
    <cfRule type="expression" dxfId="459" priority="10" stopIfTrue="1">
      <formula>AND(ISNUMBER(I6),I6&gt;=NgayQua/SoNgay)</formula>
    </cfRule>
    <cfRule type="expression" dxfId="458" priority="11" stopIfTrue="1">
      <formula>AND(ISNUMBER(I6),I6&gt;=NgayQua/SoNgay*0.8)</formula>
    </cfRule>
    <cfRule type="expression" dxfId="457" priority="12" stopIfTrue="1">
      <formula>ISNUMBER(I6)</formula>
    </cfRule>
  </conditionalFormatting>
  <conditionalFormatting sqref="I6:I7">
    <cfRule type="expression" dxfId="456" priority="5" stopIfTrue="1">
      <formula>AND(ISNUMBER(I6),ROUND(I6,2)=0)</formula>
    </cfRule>
  </conditionalFormatting>
  <conditionalFormatting sqref="I7">
    <cfRule type="expression" dxfId="455" priority="7" stopIfTrue="1">
      <formula>AND(ISNUMBER(I7),I7&gt;=1*0.8)</formula>
    </cfRule>
    <cfRule type="expression" dxfId="454" priority="8" stopIfTrue="1">
      <formula>ISNUMBER(I7)</formula>
    </cfRule>
    <cfRule type="expression" dxfId="453" priority="6" stopIfTrue="1">
      <formula>AND(ISNUMBER(I7),I7&gt;=1)</formula>
    </cfRule>
  </conditionalFormatting>
  <conditionalFormatting sqref="I8">
    <cfRule type="expression" dxfId="452" priority="16">
      <formula>ISNUMBER(I8)</formula>
    </cfRule>
    <cfRule type="expression" dxfId="451" priority="15" stopIfTrue="1">
      <formula>AND(ISNUMBER(I8),I8&gt;=MucTieuTC)</formula>
    </cfRule>
  </conditionalFormatting>
  <conditionalFormatting sqref="I37:I81">
    <cfRule type="expression" dxfId="450" priority="46" stopIfTrue="1">
      <formula>AND(ISNUMBER(I37),I37&gt;=NgayQua/SoNgay)</formula>
    </cfRule>
    <cfRule type="expression" dxfId="449" priority="47" stopIfTrue="1">
      <formula>AND(ISNUMBER(I37),I37&gt;=NgayQua/SoNgay*0.8)</formula>
    </cfRule>
    <cfRule type="expression" dxfId="448" priority="48" stopIfTrue="1">
      <formula>ISNUMBER(I37)</formula>
    </cfRule>
  </conditionalFormatting>
  <conditionalFormatting sqref="I37:J81">
    <cfRule type="expression" dxfId="447" priority="45" stopIfTrue="1">
      <formula>AND(ISNUMBER(I37),ROUND(I37,2)=0)</formula>
    </cfRule>
  </conditionalFormatting>
  <conditionalFormatting sqref="J12:J33">
    <cfRule type="expression" dxfId="446" priority="28" stopIfTrue="1">
      <formula>ISNUMBER(J12)</formula>
    </cfRule>
    <cfRule type="expression" dxfId="445" priority="27" stopIfTrue="1">
      <formula>AND(ISNUMBER(J12),J12&gt;=NgayQua/SoNgay*0.8)</formula>
    </cfRule>
    <cfRule type="expression" dxfId="444" priority="26" stopIfTrue="1">
      <formula>AND(ISNUMBER(J12),J12&gt;=NgayQua/SoNgay)</formula>
    </cfRule>
  </conditionalFormatting>
  <conditionalFormatting sqref="J37:J81">
    <cfRule type="expression" dxfId="443" priority="50" stopIfTrue="1">
      <formula>AND(ISNUMBER(J37),J37&gt;=1)</formula>
    </cfRule>
    <cfRule type="expression" dxfId="442" priority="51" stopIfTrue="1">
      <formula>AND(ISNUMBER(J37),J37&gt;=1*0.8)</formula>
    </cfRule>
    <cfRule type="expression" dxfId="441" priority="52" stopIfTrue="1">
      <formula>ISNUMBER(J37)</formula>
    </cfRule>
  </conditionalFormatting>
  <conditionalFormatting sqref="J12:L33">
    <cfRule type="expression" dxfId="440" priority="25" stopIfTrue="1">
      <formula>AND(ISNUMBER(J12),ROUND(J12,2)=0)</formula>
    </cfRule>
  </conditionalFormatting>
  <conditionalFormatting sqref="K12:L33">
    <cfRule type="expression" dxfId="439" priority="30" stopIfTrue="1">
      <formula>AND(ISNUMBER(K12),K12&gt;=1)</formula>
    </cfRule>
    <cfRule type="expression" dxfId="438" priority="31" stopIfTrue="1">
      <formula>AND(ISNUMBER(K12),K12&gt;=1*0.8)</formula>
    </cfRule>
    <cfRule type="expression" dxfId="437" priority="32" stopIfTrue="1">
      <formula>ISNUMBER(K12)</formula>
    </cfRule>
  </conditionalFormatting>
  <dataValidations count="1">
    <dataValidation type="list" allowBlank="1" sqref="B2">
      <formula1>Tính!$Z$31:$Z$35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Tính!$Z$31:$Z$35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D51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0" customWidth="1"/>
    <col min="2" max="2" width="9" customWidth="1"/>
    <col min="3" max="4" width="11" customWidth="1"/>
    <col min="5" max="6" width="10" customWidth="1"/>
    <col min="7" max="7" width="2.44140625" customWidth="1"/>
    <col min="8" max="8" width="6" customWidth="1"/>
    <col min="9" max="9" width="28" customWidth="1"/>
    <col min="10" max="11" width="10" customWidth="1"/>
    <col min="12" max="14" width="9" customWidth="1"/>
    <col min="15" max="30" width="13" customWidth="1"/>
    <col min="49" max="65" width="13" hidden="1" customWidth="1"/>
    <col min="79" max="82" width="13" hidden="1" customWidth="1"/>
  </cols>
  <sheetData>
    <row r="1" spans="1:82" ht="17.399999999999999" x14ac:dyDescent="0.3">
      <c r="A1" s="74" t="str">
        <f ca="1">"BÁO CÁO LŨY KẾ — "&amp;'Khai báo'!B3&amp;" · số đến hết "&amp;TEXT(NgayQua,"00")&amp;"/"&amp;'Khai báo'!B4</f>
        <v>BÁO CÁO LŨY KẾ —  · số đến hết 25/10/2026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AX1">
        <f>MIN(20,COUNT($CD$3:$CD$47))</f>
        <v>0</v>
      </c>
      <c r="AZ1">
        <f>IF(OR($B$2="",$B$2="Tổng cụm",$B$2="—"),0,IFERROR(MATCH($B$2,Tính!$B$31:$B$34,0),0))</f>
        <v>0</v>
      </c>
      <c r="BK1">
        <f>COUNTIF($BB$3:$BB$22,"Chính")</f>
        <v>0</v>
      </c>
      <c r="BL1">
        <f>COUNTIF($BB$3:$BB$22,"Vượt trội")</f>
        <v>0</v>
      </c>
      <c r="BM1">
        <f>$BK$1+$BL$1+($BK$1&gt;0)+($BL$1&gt;0)</f>
        <v>0</v>
      </c>
    </row>
    <row r="2" spans="1:82" ht="15.6" x14ac:dyDescent="0.3">
      <c r="A2" s="17" t="s">
        <v>59</v>
      </c>
      <c r="B2" s="75" t="s">
        <v>60</v>
      </c>
      <c r="C2" s="49"/>
      <c r="D2" s="50"/>
      <c r="F2" s="65" t="s">
        <v>61</v>
      </c>
      <c r="G2" s="52"/>
      <c r="H2" s="52"/>
      <c r="I2" s="52"/>
      <c r="J2" s="52"/>
      <c r="K2" s="52"/>
      <c r="L2" s="52"/>
      <c r="AX2">
        <f>COUNT($BJ$3:$BJ$22)</f>
        <v>0</v>
      </c>
      <c r="BA2" t="s">
        <v>62</v>
      </c>
      <c r="BJ2" t="s">
        <v>63</v>
      </c>
    </row>
    <row r="3" spans="1:82" x14ac:dyDescent="0.3">
      <c r="AX3">
        <f>$BM$1</f>
        <v>0</v>
      </c>
      <c r="BA3" t="str">
        <f>Tính!B3</f>
        <v/>
      </c>
      <c r="BB3" t="str">
        <f>Tính!D3</f>
        <v/>
      </c>
      <c r="BC3">
        <f>IF($AZ$1=0,Tính!$Z$3,CHOOSE($AZ$1,Tính!$G$3,Tính!$L$3,Tính!$Q$3,Tính!$V$3))</f>
        <v>0</v>
      </c>
      <c r="BD3">
        <f>IF($AZ$1=0,Tính!$Y$3,CHOOSE($AZ$1,Tính!$E$3,Tính!$J$3,Tính!$O$3,Tính!$T$3))</f>
        <v>0</v>
      </c>
      <c r="BE3">
        <f>IF($AZ$1=0,Tính!$AB$3,CHOOSE($AZ$1,Tính!$I$3,Tính!$N$3,Tính!$S$3,Tính!$X$3))</f>
        <v>0</v>
      </c>
      <c r="BF3">
        <f>IF($AZ$1=0,Tính!$AA$3,CHOOSE($AZ$1,Tính!$H$3,Tính!$M$3,Tính!$R$3,Tính!$W$3))</f>
        <v>0</v>
      </c>
      <c r="BG3">
        <f t="shared" ref="BG3:BG22" si="0">IF(BC3&gt;0,BD3/NgayQua*SoNgay/BC3,IF(BD3&gt;0,1,0))</f>
        <v>0</v>
      </c>
      <c r="BH3">
        <f t="shared" ref="BH3:BH22" si="1">IF(CoRTNhom=1,IF(BC3&gt;0,(BD3+BF3)/(NgayQua+1)*SoNgay/BC3,IF(BD3+BF3&gt;0,1,0)),BG3)</f>
        <v>0</v>
      </c>
      <c r="BI3">
        <f>IF(BA3="",-1,IF(BB3="Chính",1000,0)+BG3+(20-1)/100000)</f>
        <v>-1</v>
      </c>
      <c r="BJ3" t="str">
        <f>IF(LARGE($BI$3:$BI$22,1)&lt;0,"",MATCH(LARGE($BI$3:$BI$22,1),$BI$3:$BI$22,0))</f>
        <v/>
      </c>
      <c r="BK3" t="str">
        <f>IF(1=1,IF($BK$1&gt;0,"C",""),IF(1&lt;=$BK$1+1,"g",IF(1=$BK$1+2,IF($BL$1&gt;0,"V",""),IF(1&lt;=$BK$1+2+$BL$1,"g",""))))</f>
        <v/>
      </c>
      <c r="BL3" t="str">
        <f>IF(BK3="g",IF(1&lt;=$BK$1+1,1-1,1-2),"")</f>
        <v/>
      </c>
      <c r="CA3">
        <v>1</v>
      </c>
      <c r="CB3">
        <f>IF(Tính!B39="",0,IF(OR($AZ$1=0,Tính!D39=$AZ$1),1,0))</f>
        <v>0</v>
      </c>
      <c r="CC3">
        <f>IF(CB3=1,Tính!M39+1+(45-1)/1000000,-1)</f>
        <v>-1</v>
      </c>
      <c r="CD3" t="str">
        <f>IF(LARGE($CC$3:$CC$47,1)&lt;0,"",MATCH(LARGE($CC$3:$CC$47,1),$CC$3:$CC$47,0))</f>
        <v/>
      </c>
    </row>
    <row r="4" spans="1:82" x14ac:dyDescent="0.3">
      <c r="A4" s="48" t="s">
        <v>77</v>
      </c>
      <c r="B4" s="78"/>
      <c r="C4" s="48" t="str">
        <f>$B$2</f>
        <v>Tổng cụm</v>
      </c>
      <c r="D4" s="49"/>
      <c r="E4" s="49"/>
      <c r="F4" s="50"/>
      <c r="H4" s="29" t="str">
        <f t="shared" ref="H4:H49" si="2">IF($AX4=0,"Hạng",IF($AX4=1,$AY4,""))</f>
        <v>Hạng</v>
      </c>
      <c r="I4" s="12" t="str">
        <f>IF($AX4=0,"Nhân viên",IF($AX4=1,INDEX(Tính!$F$39:$F$83,INDEX($CD$3:$CD$47,$AY4))&amp;" · "&amp;INDEX(Tính!$O$39:$O$83,INDEX($CD$3:$CD$47,$AY4)),IF($AX4=3,"Nhóm hàng",IF($AX4=4,INDEX($BA$3:$BA$22,INDEX($BJ$3:$BJ$22,$AY4)),IF($AX4=5,"Số nhóm đạt",IF($AX4=7,"NHÓM CHÍNH",IF($AX4=8,"NHÓM VƯỢT TRỘI","")))))))</f>
        <v>Nhân viên</v>
      </c>
      <c r="J4" s="30" t="str">
        <f>IF($AX4=0,"Mục tiêu",IF($AX4=1,FIXED(INDEX(Tính!$J$39:$J$83,INDEX($CD$3:$CD$47,$AY4)),0),IF($AX4=3,"Cả shop",IF($AX4=4,INDEX($BG$3:$BG$22,INDEX($BJ$3:$BJ$22,$AY4)),IF($AX4=5,COUNTIF($BG$3:$BG$22,"&gt;=0.995")&amp;"/"&amp;COUNTIF($BA$3:$BA$22,"?*"),IF($AX4=7,COUNTIFS($BB$3:$BB$22,"Chính",$BG$3:$BG$22,"&gt;=0.995")&amp;"/"&amp;$BK$1,IF($AX4=8,COUNTIFS($BB$3:$BB$22,"Vượt trội",$BG$3:$BG$22,"&gt;=0.995")&amp;"/"&amp;$BL$1,"")))))))</f>
        <v>Mục tiêu</v>
      </c>
      <c r="K4" s="30" t="str">
        <f>IF($AX4=0,"DT QĐ",IF($AX4=1,FIXED(INDEX(Tính!$K$39:$K$83,INDEX($CD$3:$CD$47,$AY4)),1),IF($AX4=3,IF($CD$3="","",INDEX(Tính!$F$39:$F$83,$CD$3)),IF($AX4=4,IF($CD$3="","",INDEX(Tính!$C$182:$V$226,$CD$3,INDEX($BJ$3:$BJ$22,$AY4))),IF($AX4=5,IF($CD$3="","",INDEX(Tính!$P$39:$P$83,$CD$3)&amp;"/"&amp;COUNTIF($BA$3:$BA$22,"?*")),IF($AX4=7,IF($CD$3="","",INDEX(Tính!$Q$39:$Q$83,$CD$3)&amp;"/"&amp;$BK$1),IF($AX4=8,IF($CD$3="","",INDEX(Tính!$R$39:$R$83,$CD$3)&amp;"/"&amp;$BL$1),"")))))))</f>
        <v>DT QĐ</v>
      </c>
      <c r="L4" s="31" t="str">
        <f>IF($AX4=0,"% HT",IF($AX4=1,INDEX(Tính!$N$39:$N$83,INDEX($CD$3:$CD$47,$AY4)),IF($AX4=3,IF($CD$4="","",INDEX(Tính!$F$39:$F$83,$CD$4)),IF($AX4=4,IF($CD$4="","",INDEX(Tính!$C$182:$V$226,$CD$4,INDEX($BJ$3:$BJ$22,$AY4))),IF($AX4=5,IF($CD$4="","",INDEX(Tính!$P$39:$P$83,$CD$4)&amp;"/"&amp;COUNTIF($BA$3:$BA$22,"?*")),IF($AX4=7,IF($CD$4="","",INDEX(Tính!$Q$39:$Q$83,$CD$4)&amp;"/"&amp;$BK$1),IF($AX4=8,IF($CD$4="","",INDEX(Tính!$R$39:$R$83,$CD$4)&amp;"/"&amp;$BL$1),"")))))))</f>
        <v>% HT</v>
      </c>
      <c r="M4" s="31" t="str">
        <f>IF($AX4=0,"Dự kiến",IF($AX4=1,INDEX(Tính!$M$39:$M$83,INDEX($CD$3:$CD$47,$AY4)),IF($AX4=3,IF($CD$5="","",INDEX(Tính!$F$39:$F$83,$CD$5)),IF($AX4=4,IF($CD$5="","",INDEX(Tính!$C$182:$V$226,$CD$5,INDEX($BJ$3:$BJ$22,$AY4))),IF($AX4=5,IF($CD$5="","",INDEX(Tính!$P$39:$P$83,$CD$5)&amp;"/"&amp;COUNTIF($BA$3:$BA$22,"?*")),IF($AX4=7,IF($CD$5="","",INDEX(Tính!$Q$39:$Q$83,$CD$5)&amp;"/"&amp;$BK$1),IF($AX4=8,IF($CD$5="","",INDEX(Tính!$R$39:$R$83,$CD$5)&amp;"/"&amp;$BL$1),"")))))))</f>
        <v>Dự kiến</v>
      </c>
      <c r="N4" s="31" t="str">
        <f>IF($AX4=0,"NH đạt",IF($AX4=1,INDEX(Tính!$P$39:$P$83,INDEX($CD$3:$CD$47,$AY4))&amp;"/"&amp;COUNTIF($BA$3:$BA$22,"?*"),IF($AX4=3,IF($CD$6="","",INDEX(Tính!$F$39:$F$83,$CD$6)),IF($AX4=4,IF($CD$6="","",INDEX(Tính!$C$182:$V$226,$CD$6,INDEX($BJ$3:$BJ$22,$AY4))),IF($AX4=5,IF($CD$6="","",INDEX(Tính!$P$39:$P$83,$CD$6)&amp;"/"&amp;COUNTIF($BA$3:$BA$22,"?*")),IF($AX4=7,IF($CD$6="","",INDEX(Tính!$Q$39:$Q$83,$CD$6)&amp;"/"&amp;$BK$1),IF($AX4=8,IF($CD$6="","",INDEX(Tính!$R$39:$R$83,$CD$6)&amp;"/"&amp;$BL$1),"")))))))</f>
        <v>NH đạt</v>
      </c>
      <c r="O4" s="31" t="str">
        <f>IF($AX4=3,IF($CD$7="","",INDEX(Tính!$F$39:$F$83,$CD$7)),IF($AX4=4,IF($CD$7="","",INDEX(Tính!$C$182:$V$226,$CD$7,INDEX($BJ$3:$BJ$22,$AY4))),IF($AX4=5,IF($CD$7="","",INDEX(Tính!$P$39:$P$83,$CD$7)&amp;"/"&amp;COUNTIF($BA$3:$BA$22,"?*")),IF($AX4=7,IF($CD$7="","",INDEX(Tính!$Q$39:$Q$83,$CD$7)&amp;"/"&amp;$BK$1),IF($AX4=8,IF($CD$7="","",INDEX(Tính!$R$39:$R$83,$CD$7)&amp;"/"&amp;$BL$1),"")))))</f>
        <v/>
      </c>
      <c r="P4" s="31" t="str">
        <f>IF($AX4=3,IF($CD$8="","",INDEX(Tính!$F$39:$F$83,$CD$8)),IF($AX4=4,IF($CD$8="","",INDEX(Tính!$C$182:$V$226,$CD$8,INDEX($BJ$3:$BJ$22,$AY4))),IF($AX4=5,IF($CD$8="","",INDEX(Tính!$P$39:$P$83,$CD$8)&amp;"/"&amp;COUNTIF($BA$3:$BA$22,"?*")),IF($AX4=7,IF($CD$8="","",INDEX(Tính!$Q$39:$Q$83,$CD$8)&amp;"/"&amp;$BK$1),IF($AX4=8,IF($CD$8="","",INDEX(Tính!$R$39:$R$83,$CD$8)&amp;"/"&amp;$BL$1),"")))))</f>
        <v/>
      </c>
      <c r="Q4" s="31" t="str">
        <f>IF($AX4=3,IF($CD$9="","",INDEX(Tính!$F$39:$F$83,$CD$9)),IF($AX4=4,IF($CD$9="","",INDEX(Tính!$C$182:$V$226,$CD$9,INDEX($BJ$3:$BJ$22,$AY4))),IF($AX4=5,IF($CD$9="","",INDEX(Tính!$P$39:$P$83,$CD$9)&amp;"/"&amp;COUNTIF($BA$3:$BA$22,"?*")),IF($AX4=7,IF($CD$9="","",INDEX(Tính!$Q$39:$Q$83,$CD$9)&amp;"/"&amp;$BK$1),IF($AX4=8,IF($CD$9="","",INDEX(Tính!$R$39:$R$83,$CD$9)&amp;"/"&amp;$BL$1),"")))))</f>
        <v/>
      </c>
      <c r="R4" s="31" t="str">
        <f>IF($AX4=3,IF($CD$10="","",INDEX(Tính!$F$39:$F$83,$CD$10)),IF($AX4=4,IF($CD$10="","",INDEX(Tính!$C$182:$V$226,$CD$10,INDEX($BJ$3:$BJ$22,$AY4))),IF($AX4=5,IF($CD$10="","",INDEX(Tính!$P$39:$P$83,$CD$10)&amp;"/"&amp;COUNTIF($BA$3:$BA$22,"?*")),IF($AX4=7,IF($CD$10="","",INDEX(Tính!$Q$39:$Q$83,$CD$10)&amp;"/"&amp;$BK$1),IF($AX4=8,IF($CD$10="","",INDEX(Tính!$R$39:$R$83,$CD$10)&amp;"/"&amp;$BL$1),"")))))</f>
        <v/>
      </c>
      <c r="S4" s="31" t="str">
        <f>IF($AX4=3,IF($CD$11="","",INDEX(Tính!$F$39:$F$83,$CD$11)),IF($AX4=4,IF($CD$11="","",INDEX(Tính!$C$182:$V$226,$CD$11,INDEX($BJ$3:$BJ$22,$AY4))),IF($AX4=5,IF($CD$11="","",INDEX(Tính!$P$39:$P$83,$CD$11)&amp;"/"&amp;COUNTIF($BA$3:$BA$22,"?*")),IF($AX4=7,IF($CD$11="","",INDEX(Tính!$Q$39:$Q$83,$CD$11)&amp;"/"&amp;$BK$1),IF($AX4=8,IF($CD$11="","",INDEX(Tính!$R$39:$R$83,$CD$11)&amp;"/"&amp;$BL$1),"")))))</f>
        <v/>
      </c>
      <c r="T4" s="31" t="str">
        <f>IF($AX4=3,IF($CD$12="","",INDEX(Tính!$F$39:$F$83,$CD$12)),IF($AX4=4,IF($CD$12="","",INDEX(Tính!$C$182:$V$226,$CD$12,INDEX($BJ$3:$BJ$22,$AY4))),IF($AX4=5,IF($CD$12="","",INDEX(Tính!$P$39:$P$83,$CD$12)&amp;"/"&amp;COUNTIF($BA$3:$BA$22,"?*")),IF($AX4=7,IF($CD$12="","",INDEX(Tính!$Q$39:$Q$83,$CD$12)&amp;"/"&amp;$BK$1),IF($AX4=8,IF($CD$12="","",INDEX(Tính!$R$39:$R$83,$CD$12)&amp;"/"&amp;$BL$1),"")))))</f>
        <v/>
      </c>
      <c r="U4" s="31" t="str">
        <f>IF($AX4=3,IF($CD$13="","",INDEX(Tính!$F$39:$F$83,$CD$13)),IF($AX4=4,IF($CD$13="","",INDEX(Tính!$C$182:$V$226,$CD$13,INDEX($BJ$3:$BJ$22,$AY4))),IF($AX4=5,IF($CD$13="","",INDEX(Tính!$P$39:$P$83,$CD$13)&amp;"/"&amp;COUNTIF($BA$3:$BA$22,"?*")),IF($AX4=7,IF($CD$13="","",INDEX(Tính!$Q$39:$Q$83,$CD$13)&amp;"/"&amp;$BK$1),IF($AX4=8,IF($CD$13="","",INDEX(Tính!$R$39:$R$83,$CD$13)&amp;"/"&amp;$BL$1),"")))))</f>
        <v/>
      </c>
      <c r="V4" s="31" t="str">
        <f>IF($AX4=3,IF($CD$14="","",INDEX(Tính!$F$39:$F$83,$CD$14)),IF($AX4=4,IF($CD$14="","",INDEX(Tính!$C$182:$V$226,$CD$14,INDEX($BJ$3:$BJ$22,$AY4))),IF($AX4=5,IF($CD$14="","",INDEX(Tính!$P$39:$P$83,$CD$14)&amp;"/"&amp;COUNTIF($BA$3:$BA$22,"?*")),IF($AX4=7,IF($CD$14="","",INDEX(Tính!$Q$39:$Q$83,$CD$14)&amp;"/"&amp;$BK$1),IF($AX4=8,IF($CD$14="","",INDEX(Tính!$R$39:$R$83,$CD$14)&amp;"/"&amp;$BL$1),"")))))</f>
        <v/>
      </c>
      <c r="W4" s="31" t="str">
        <f>IF($AX4=3,IF($CD$15="","",INDEX(Tính!$F$39:$F$83,$CD$15)),IF($AX4=4,IF($CD$15="","",INDEX(Tính!$C$182:$V$226,$CD$15,INDEX($BJ$3:$BJ$22,$AY4))),IF($AX4=5,IF($CD$15="","",INDEX(Tính!$P$39:$P$83,$CD$15)&amp;"/"&amp;COUNTIF($BA$3:$BA$22,"?*")),IF($AX4=7,IF($CD$15="","",INDEX(Tính!$Q$39:$Q$83,$CD$15)&amp;"/"&amp;$BK$1),IF($AX4=8,IF($CD$15="","",INDEX(Tính!$R$39:$R$83,$CD$15)&amp;"/"&amp;$BL$1),"")))))</f>
        <v/>
      </c>
      <c r="X4" s="31" t="str">
        <f>IF($AX4=3,IF($CD$16="","",INDEX(Tính!$F$39:$F$83,$CD$16)),IF($AX4=4,IF($CD$16="","",INDEX(Tính!$C$182:$V$226,$CD$16,INDEX($BJ$3:$BJ$22,$AY4))),IF($AX4=5,IF($CD$16="","",INDEX(Tính!$P$39:$P$83,$CD$16)&amp;"/"&amp;COUNTIF($BA$3:$BA$22,"?*")),IF($AX4=7,IF($CD$16="","",INDEX(Tính!$Q$39:$Q$83,$CD$16)&amp;"/"&amp;$BK$1),IF($AX4=8,IF($CD$16="","",INDEX(Tính!$R$39:$R$83,$CD$16)&amp;"/"&amp;$BL$1),"")))))</f>
        <v/>
      </c>
      <c r="Y4" s="31" t="str">
        <f>IF($AX4=3,IF($CD$17="","",INDEX(Tính!$F$39:$F$83,$CD$17)),IF($AX4=4,IF($CD$17="","",INDEX(Tính!$C$182:$V$226,$CD$17,INDEX($BJ$3:$BJ$22,$AY4))),IF($AX4=5,IF($CD$17="","",INDEX(Tính!$P$39:$P$83,$CD$17)&amp;"/"&amp;COUNTIF($BA$3:$BA$22,"?*")),IF($AX4=7,IF($CD$17="","",INDEX(Tính!$Q$39:$Q$83,$CD$17)&amp;"/"&amp;$BK$1),IF($AX4=8,IF($CD$17="","",INDEX(Tính!$R$39:$R$83,$CD$17)&amp;"/"&amp;$BL$1),"")))))</f>
        <v/>
      </c>
      <c r="Z4" s="31" t="str">
        <f>IF($AX4=3,IF($CD$18="","",INDEX(Tính!$F$39:$F$83,$CD$18)),IF($AX4=4,IF($CD$18="","",INDEX(Tính!$C$182:$V$226,$CD$18,INDEX($BJ$3:$BJ$22,$AY4))),IF($AX4=5,IF($CD$18="","",INDEX(Tính!$P$39:$P$83,$CD$18)&amp;"/"&amp;COUNTIF($BA$3:$BA$22,"?*")),IF($AX4=7,IF($CD$18="","",INDEX(Tính!$Q$39:$Q$83,$CD$18)&amp;"/"&amp;$BK$1),IF($AX4=8,IF($CD$18="","",INDEX(Tính!$R$39:$R$83,$CD$18)&amp;"/"&amp;$BL$1),"")))))</f>
        <v/>
      </c>
      <c r="AA4" s="31" t="str">
        <f>IF($AX4=3,IF($CD$19="","",INDEX(Tính!$F$39:$F$83,$CD$19)),IF($AX4=4,IF($CD$19="","",INDEX(Tính!$C$182:$V$226,$CD$19,INDEX($BJ$3:$BJ$22,$AY4))),IF($AX4=5,IF($CD$19="","",INDEX(Tính!$P$39:$P$83,$CD$19)&amp;"/"&amp;COUNTIF($BA$3:$BA$22,"?*")),IF($AX4=7,IF($CD$19="","",INDEX(Tính!$Q$39:$Q$83,$CD$19)&amp;"/"&amp;$BK$1),IF($AX4=8,IF($CD$19="","",INDEX(Tính!$R$39:$R$83,$CD$19)&amp;"/"&amp;$BL$1),"")))))</f>
        <v/>
      </c>
      <c r="AB4" s="31" t="str">
        <f>IF($AX4=3,IF($CD$20="","",INDEX(Tính!$F$39:$F$83,$CD$20)),IF($AX4=4,IF($CD$20="","",INDEX(Tính!$C$182:$V$226,$CD$20,INDEX($BJ$3:$BJ$22,$AY4))),IF($AX4=5,IF($CD$20="","",INDEX(Tính!$P$39:$P$83,$CD$20)&amp;"/"&amp;COUNTIF($BA$3:$BA$22,"?*")),IF($AX4=7,IF($CD$20="","",INDEX(Tính!$Q$39:$Q$83,$CD$20)&amp;"/"&amp;$BK$1),IF($AX4=8,IF($CD$20="","",INDEX(Tính!$R$39:$R$83,$CD$20)&amp;"/"&amp;$BL$1),"")))))</f>
        <v/>
      </c>
      <c r="AC4" s="31" t="str">
        <f>IF($AX4=3,IF($CD$21="","",INDEX(Tính!$F$39:$F$83,$CD$21)),IF($AX4=4,IF($CD$21="","",INDEX(Tính!$C$182:$V$226,$CD$21,INDEX($BJ$3:$BJ$22,$AY4))),IF($AX4=5,IF($CD$21="","",INDEX(Tính!$P$39:$P$83,$CD$21)&amp;"/"&amp;COUNTIF($BA$3:$BA$22,"?*")),IF($AX4=7,IF($CD$21="","",INDEX(Tính!$Q$39:$Q$83,$CD$21)&amp;"/"&amp;$BK$1),IF($AX4=8,IF($CD$21="","",INDEX(Tính!$R$39:$R$83,$CD$21)&amp;"/"&amp;$BL$1),"")))))</f>
        <v/>
      </c>
      <c r="AD4" s="31" t="str">
        <f>IF($AX4=3,IF($CD$22="","",INDEX(Tính!$F$39:$F$83,$CD$22)),IF($AX4=4,IF($CD$22="","",INDEX(Tính!$C$182:$V$226,$CD$22,INDEX($BJ$3:$BJ$22,$AY4))),IF($AX4=5,IF($CD$22="","",INDEX(Tính!$P$39:$P$83,$CD$22)&amp;"/"&amp;COUNTIF($BA$3:$BA$22,"?*")),IF($AX4=7,IF($CD$22="","",INDEX(Tính!$Q$39:$Q$83,$CD$22)&amp;"/"&amp;$BK$1),IF($AX4=8,IF($CD$22="","",INDEX(Tính!$R$39:$R$83,$CD$22)&amp;"/"&amp;$BL$1),"")))))</f>
        <v/>
      </c>
      <c r="AX4">
        <f>IF(0=0,0,IF(0&lt;=$AX$1,1,IF(0=$AX$1+1,2,IF(0=$AX$1+2,3,IF((0-$AX$1-2)&lt;=$AX$3,IF(INDEX($BK$3:$BK$24,(0-$AX$1-2))="C",7,IF(INDEX($BK$3:$BK$24,(0-$AX$1-2))="V",8,4)),IF((0-$AX$1-2)=$AX$3+1,5,6))))))</f>
        <v>0</v>
      </c>
      <c r="AY4">
        <f>IF(AX4=1,0,IF(AX4=4,INDEX($BL$3:$BL$24,(0-$AX$1-2)),0))</f>
        <v>0</v>
      </c>
      <c r="BA4" t="str">
        <f>Tính!B4</f>
        <v/>
      </c>
      <c r="BB4" t="str">
        <f>Tính!D4</f>
        <v/>
      </c>
      <c r="BC4">
        <f>IF($AZ$1=0,Tính!$Z$4,CHOOSE($AZ$1,Tính!$G$4,Tính!$L$4,Tính!$Q$4,Tính!$V$4))</f>
        <v>0</v>
      </c>
      <c r="BD4">
        <f>IF($AZ$1=0,Tính!$Y$4,CHOOSE($AZ$1,Tính!$E$4,Tính!$J$4,Tính!$O$4,Tính!$T$4))</f>
        <v>0</v>
      </c>
      <c r="BE4">
        <f>IF($AZ$1=0,Tính!$AB$4,CHOOSE($AZ$1,Tính!$I$4,Tính!$N$4,Tính!$S$4,Tính!$X$4))</f>
        <v>0</v>
      </c>
      <c r="BF4">
        <f>IF($AZ$1=0,Tính!$AA$4,CHOOSE($AZ$1,Tính!$H$4,Tính!$M$4,Tính!$R$4,Tính!$W$4))</f>
        <v>0</v>
      </c>
      <c r="BG4">
        <f t="shared" si="0"/>
        <v>0</v>
      </c>
      <c r="BH4">
        <f t="shared" si="1"/>
        <v>0</v>
      </c>
      <c r="BI4">
        <f>IF(BA4="",-1,IF(BB4="Chính",1000,0)+BG4+(20-2)/100000)</f>
        <v>-1</v>
      </c>
      <c r="BJ4" t="str">
        <f>IF(LARGE($BI$3:$BI$22,2)&lt;0,"",MATCH(LARGE($BI$3:$BI$22,2),$BI$3:$BI$22,0))</f>
        <v/>
      </c>
      <c r="BK4" t="str">
        <f>IF(2=1,IF($BK$1&gt;0,"C",""),IF(2&lt;=$BK$1+1,"g",IF(2=$BK$1+2,IF($BL$1&gt;0,"V",""),IF(2&lt;=$BK$1+2+$BL$1,"g",""))))</f>
        <v/>
      </c>
      <c r="BL4" t="str">
        <f>IF(BK4="g",IF(2&lt;=$BK$1+1,2-1,2-2),"")</f>
        <v/>
      </c>
      <c r="CA4">
        <v>2</v>
      </c>
      <c r="CB4">
        <f>IF(Tính!B40="",0,IF(OR($AZ$1=0,Tính!D40=$AZ$1),1,0))</f>
        <v>0</v>
      </c>
      <c r="CC4">
        <f>IF(CB4=1,Tính!M40+1+(45-2)/1000000,-1)</f>
        <v>-1</v>
      </c>
      <c r="CD4" t="str">
        <f>IF(LARGE($CC$3:$CC$47,2)&lt;0,"",MATCH(LARGE($CC$3:$CC$47,2),$CC$3:$CC$47,0))</f>
        <v/>
      </c>
    </row>
    <row r="5" spans="1:82" x14ac:dyDescent="0.3">
      <c r="A5" s="79"/>
      <c r="B5" s="80"/>
      <c r="C5" s="32" t="s">
        <v>93</v>
      </c>
      <c r="D5" s="32" t="s">
        <v>65</v>
      </c>
      <c r="E5" s="32" t="s">
        <v>79</v>
      </c>
      <c r="F5" s="32" t="s">
        <v>90</v>
      </c>
      <c r="H5" s="29" t="str">
        <f t="shared" si="2"/>
        <v/>
      </c>
      <c r="I5" s="12" t="str">
        <f>IF($AX5=0,"Nhân viên",IF($AX5=1,INDEX(Tính!$F$39:$F$83,INDEX($CD$3:$CD$47,$AY5))&amp;" · "&amp;INDEX(Tính!$O$39:$O$83,INDEX($CD$3:$CD$47,$AY5)),IF($AX5=3,"Nhóm hàng",IF($AX5=4,INDEX($BA$3:$BA$22,INDEX($BJ$3:$BJ$22,$AY5)),IF($AX5=5,"Số nhóm đạt",IF($AX5=7,"NHÓM CHÍNH",IF($AX5=8,"NHÓM VƯỢT TRỘI","")))))))</f>
        <v/>
      </c>
      <c r="J5" s="30" t="str">
        <f>IF($AX5=0,"Mục tiêu",IF($AX5=1,FIXED(INDEX(Tính!$J$39:$J$83,INDEX($CD$3:$CD$47,$AY5)),0),IF($AX5=3,"Cả shop",IF($AX5=4,INDEX($BG$3:$BG$22,INDEX($BJ$3:$BJ$22,$AY5)),IF($AX5=5,COUNTIF($BG$3:$BG$22,"&gt;=0.995")&amp;"/"&amp;COUNTIF($BA$3:$BA$22,"?*"),IF($AX5=7,COUNTIFS($BB$3:$BB$22,"Chính",$BG$3:$BG$22,"&gt;=0.995")&amp;"/"&amp;$BK$1,IF($AX5=8,COUNTIFS($BB$3:$BB$22,"Vượt trội",$BG$3:$BG$22,"&gt;=0.995")&amp;"/"&amp;$BL$1,"")))))))</f>
        <v/>
      </c>
      <c r="K5" s="30" t="str">
        <f>IF($AX5=0,"DT QĐ",IF($AX5=1,FIXED(INDEX(Tính!$K$39:$K$83,INDEX($CD$3:$CD$47,$AY5)),1),IF($AX5=3,IF($CD$3="","",INDEX(Tính!$F$39:$F$83,$CD$3)),IF($AX5=4,IF($CD$3="","",INDEX(Tính!$C$182:$V$226,$CD$3,INDEX($BJ$3:$BJ$22,$AY5))),IF($AX5=5,IF($CD$3="","",INDEX(Tính!$P$39:$P$83,$CD$3)&amp;"/"&amp;COUNTIF($BA$3:$BA$22,"?*")),IF($AX5=7,IF($CD$3="","",INDEX(Tính!$Q$39:$Q$83,$CD$3)&amp;"/"&amp;$BK$1),IF($AX5=8,IF($CD$3="","",INDEX(Tính!$R$39:$R$83,$CD$3)&amp;"/"&amp;$BL$1),"")))))))</f>
        <v/>
      </c>
      <c r="L5" s="31" t="str">
        <f>IF($AX5=0,"% HT",IF($AX5=1,INDEX(Tính!$N$39:$N$83,INDEX($CD$3:$CD$47,$AY5)),IF($AX5=3,IF($CD$4="","",INDEX(Tính!$F$39:$F$83,$CD$4)),IF($AX5=4,IF($CD$4="","",INDEX(Tính!$C$182:$V$226,$CD$4,INDEX($BJ$3:$BJ$22,$AY5))),IF($AX5=5,IF($CD$4="","",INDEX(Tính!$P$39:$P$83,$CD$4)&amp;"/"&amp;COUNTIF($BA$3:$BA$22,"?*")),IF($AX5=7,IF($CD$4="","",INDEX(Tính!$Q$39:$Q$83,$CD$4)&amp;"/"&amp;$BK$1),IF($AX5=8,IF($CD$4="","",INDEX(Tính!$R$39:$R$83,$CD$4)&amp;"/"&amp;$BL$1),"")))))))</f>
        <v/>
      </c>
      <c r="M5" s="31" t="str">
        <f>IF($AX5=0,"Dự kiến",IF($AX5=1,INDEX(Tính!$M$39:$M$83,INDEX($CD$3:$CD$47,$AY5)),IF($AX5=3,IF($CD$5="","",INDEX(Tính!$F$39:$F$83,$CD$5)),IF($AX5=4,IF($CD$5="","",INDEX(Tính!$C$182:$V$226,$CD$5,INDEX($BJ$3:$BJ$22,$AY5))),IF($AX5=5,IF($CD$5="","",INDEX(Tính!$P$39:$P$83,$CD$5)&amp;"/"&amp;COUNTIF($BA$3:$BA$22,"?*")),IF($AX5=7,IF($CD$5="","",INDEX(Tính!$Q$39:$Q$83,$CD$5)&amp;"/"&amp;$BK$1),IF($AX5=8,IF($CD$5="","",INDEX(Tính!$R$39:$R$83,$CD$5)&amp;"/"&amp;$BL$1),"")))))))</f>
        <v/>
      </c>
      <c r="N5" s="31" t="str">
        <f>IF($AX5=0,"NH đạt",IF($AX5=1,INDEX(Tính!$P$39:$P$83,INDEX($CD$3:$CD$47,$AY5))&amp;"/"&amp;COUNTIF($BA$3:$BA$22,"?*"),IF($AX5=3,IF($CD$6="","",INDEX(Tính!$F$39:$F$83,$CD$6)),IF($AX5=4,IF($CD$6="","",INDEX(Tính!$C$182:$V$226,$CD$6,INDEX($BJ$3:$BJ$22,$AY5))),IF($AX5=5,IF($CD$6="","",INDEX(Tính!$P$39:$P$83,$CD$6)&amp;"/"&amp;COUNTIF($BA$3:$BA$22,"?*")),IF($AX5=7,IF($CD$6="","",INDEX(Tính!$Q$39:$Q$83,$CD$6)&amp;"/"&amp;$BK$1),IF($AX5=8,IF($CD$6="","",INDEX(Tính!$R$39:$R$83,$CD$6)&amp;"/"&amp;$BL$1),"")))))))</f>
        <v/>
      </c>
      <c r="O5" s="31" t="str">
        <f>IF($AX5=3,IF($CD$7="","",INDEX(Tính!$F$39:$F$83,$CD$7)),IF($AX5=4,IF($CD$7="","",INDEX(Tính!$C$182:$V$226,$CD$7,INDEX($BJ$3:$BJ$22,$AY5))),IF($AX5=5,IF($CD$7="","",INDEX(Tính!$P$39:$P$83,$CD$7)&amp;"/"&amp;COUNTIF($BA$3:$BA$22,"?*")),IF($AX5=7,IF($CD$7="","",INDEX(Tính!$Q$39:$Q$83,$CD$7)&amp;"/"&amp;$BK$1),IF($AX5=8,IF($CD$7="","",INDEX(Tính!$R$39:$R$83,$CD$7)&amp;"/"&amp;$BL$1),"")))))</f>
        <v/>
      </c>
      <c r="P5" s="31" t="str">
        <f>IF($AX5=3,IF($CD$8="","",INDEX(Tính!$F$39:$F$83,$CD$8)),IF($AX5=4,IF($CD$8="","",INDEX(Tính!$C$182:$V$226,$CD$8,INDEX($BJ$3:$BJ$22,$AY5))),IF($AX5=5,IF($CD$8="","",INDEX(Tính!$P$39:$P$83,$CD$8)&amp;"/"&amp;COUNTIF($BA$3:$BA$22,"?*")),IF($AX5=7,IF($CD$8="","",INDEX(Tính!$Q$39:$Q$83,$CD$8)&amp;"/"&amp;$BK$1),IF($AX5=8,IF($CD$8="","",INDEX(Tính!$R$39:$R$83,$CD$8)&amp;"/"&amp;$BL$1),"")))))</f>
        <v/>
      </c>
      <c r="Q5" s="31" t="str">
        <f>IF($AX5=3,IF($CD$9="","",INDEX(Tính!$F$39:$F$83,$CD$9)),IF($AX5=4,IF($CD$9="","",INDEX(Tính!$C$182:$V$226,$CD$9,INDEX($BJ$3:$BJ$22,$AY5))),IF($AX5=5,IF($CD$9="","",INDEX(Tính!$P$39:$P$83,$CD$9)&amp;"/"&amp;COUNTIF($BA$3:$BA$22,"?*")),IF($AX5=7,IF($CD$9="","",INDEX(Tính!$Q$39:$Q$83,$CD$9)&amp;"/"&amp;$BK$1),IF($AX5=8,IF($CD$9="","",INDEX(Tính!$R$39:$R$83,$CD$9)&amp;"/"&amp;$BL$1),"")))))</f>
        <v/>
      </c>
      <c r="R5" s="31" t="str">
        <f>IF($AX5=3,IF($CD$10="","",INDEX(Tính!$F$39:$F$83,$CD$10)),IF($AX5=4,IF($CD$10="","",INDEX(Tính!$C$182:$V$226,$CD$10,INDEX($BJ$3:$BJ$22,$AY5))),IF($AX5=5,IF($CD$10="","",INDEX(Tính!$P$39:$P$83,$CD$10)&amp;"/"&amp;COUNTIF($BA$3:$BA$22,"?*")),IF($AX5=7,IF($CD$10="","",INDEX(Tính!$Q$39:$Q$83,$CD$10)&amp;"/"&amp;$BK$1),IF($AX5=8,IF($CD$10="","",INDEX(Tính!$R$39:$R$83,$CD$10)&amp;"/"&amp;$BL$1),"")))))</f>
        <v/>
      </c>
      <c r="S5" s="31" t="str">
        <f>IF($AX5=3,IF($CD$11="","",INDEX(Tính!$F$39:$F$83,$CD$11)),IF($AX5=4,IF($CD$11="","",INDEX(Tính!$C$182:$V$226,$CD$11,INDEX($BJ$3:$BJ$22,$AY5))),IF($AX5=5,IF($CD$11="","",INDEX(Tính!$P$39:$P$83,$CD$11)&amp;"/"&amp;COUNTIF($BA$3:$BA$22,"?*")),IF($AX5=7,IF($CD$11="","",INDEX(Tính!$Q$39:$Q$83,$CD$11)&amp;"/"&amp;$BK$1),IF($AX5=8,IF($CD$11="","",INDEX(Tính!$R$39:$R$83,$CD$11)&amp;"/"&amp;$BL$1),"")))))</f>
        <v/>
      </c>
      <c r="T5" s="31" t="str">
        <f>IF($AX5=3,IF($CD$12="","",INDEX(Tính!$F$39:$F$83,$CD$12)),IF($AX5=4,IF($CD$12="","",INDEX(Tính!$C$182:$V$226,$CD$12,INDEX($BJ$3:$BJ$22,$AY5))),IF($AX5=5,IF($CD$12="","",INDEX(Tính!$P$39:$P$83,$CD$12)&amp;"/"&amp;COUNTIF($BA$3:$BA$22,"?*")),IF($AX5=7,IF($CD$12="","",INDEX(Tính!$Q$39:$Q$83,$CD$12)&amp;"/"&amp;$BK$1),IF($AX5=8,IF($CD$12="","",INDEX(Tính!$R$39:$R$83,$CD$12)&amp;"/"&amp;$BL$1),"")))))</f>
        <v/>
      </c>
      <c r="U5" s="31" t="str">
        <f>IF($AX5=3,IF($CD$13="","",INDEX(Tính!$F$39:$F$83,$CD$13)),IF($AX5=4,IF($CD$13="","",INDEX(Tính!$C$182:$V$226,$CD$13,INDEX($BJ$3:$BJ$22,$AY5))),IF($AX5=5,IF($CD$13="","",INDEX(Tính!$P$39:$P$83,$CD$13)&amp;"/"&amp;COUNTIF($BA$3:$BA$22,"?*")),IF($AX5=7,IF($CD$13="","",INDEX(Tính!$Q$39:$Q$83,$CD$13)&amp;"/"&amp;$BK$1),IF($AX5=8,IF($CD$13="","",INDEX(Tính!$R$39:$R$83,$CD$13)&amp;"/"&amp;$BL$1),"")))))</f>
        <v/>
      </c>
      <c r="V5" s="31" t="str">
        <f>IF($AX5=3,IF($CD$14="","",INDEX(Tính!$F$39:$F$83,$CD$14)),IF($AX5=4,IF($CD$14="","",INDEX(Tính!$C$182:$V$226,$CD$14,INDEX($BJ$3:$BJ$22,$AY5))),IF($AX5=5,IF($CD$14="","",INDEX(Tính!$P$39:$P$83,$CD$14)&amp;"/"&amp;COUNTIF($BA$3:$BA$22,"?*")),IF($AX5=7,IF($CD$14="","",INDEX(Tính!$Q$39:$Q$83,$CD$14)&amp;"/"&amp;$BK$1),IF($AX5=8,IF($CD$14="","",INDEX(Tính!$R$39:$R$83,$CD$14)&amp;"/"&amp;$BL$1),"")))))</f>
        <v/>
      </c>
      <c r="W5" s="31" t="str">
        <f>IF($AX5=3,IF($CD$15="","",INDEX(Tính!$F$39:$F$83,$CD$15)),IF($AX5=4,IF($CD$15="","",INDEX(Tính!$C$182:$V$226,$CD$15,INDEX($BJ$3:$BJ$22,$AY5))),IF($AX5=5,IF($CD$15="","",INDEX(Tính!$P$39:$P$83,$CD$15)&amp;"/"&amp;COUNTIF($BA$3:$BA$22,"?*")),IF($AX5=7,IF($CD$15="","",INDEX(Tính!$Q$39:$Q$83,$CD$15)&amp;"/"&amp;$BK$1),IF($AX5=8,IF($CD$15="","",INDEX(Tính!$R$39:$R$83,$CD$15)&amp;"/"&amp;$BL$1),"")))))</f>
        <v/>
      </c>
      <c r="X5" s="31" t="str">
        <f>IF($AX5=3,IF($CD$16="","",INDEX(Tính!$F$39:$F$83,$CD$16)),IF($AX5=4,IF($CD$16="","",INDEX(Tính!$C$182:$V$226,$CD$16,INDEX($BJ$3:$BJ$22,$AY5))),IF($AX5=5,IF($CD$16="","",INDEX(Tính!$P$39:$P$83,$CD$16)&amp;"/"&amp;COUNTIF($BA$3:$BA$22,"?*")),IF($AX5=7,IF($CD$16="","",INDEX(Tính!$Q$39:$Q$83,$CD$16)&amp;"/"&amp;$BK$1),IF($AX5=8,IF($CD$16="","",INDEX(Tính!$R$39:$R$83,$CD$16)&amp;"/"&amp;$BL$1),"")))))</f>
        <v/>
      </c>
      <c r="Y5" s="31" t="str">
        <f>IF($AX5=3,IF($CD$17="","",INDEX(Tính!$F$39:$F$83,$CD$17)),IF($AX5=4,IF($CD$17="","",INDEX(Tính!$C$182:$V$226,$CD$17,INDEX($BJ$3:$BJ$22,$AY5))),IF($AX5=5,IF($CD$17="","",INDEX(Tính!$P$39:$P$83,$CD$17)&amp;"/"&amp;COUNTIF($BA$3:$BA$22,"?*")),IF($AX5=7,IF($CD$17="","",INDEX(Tính!$Q$39:$Q$83,$CD$17)&amp;"/"&amp;$BK$1),IF($AX5=8,IF($CD$17="","",INDEX(Tính!$R$39:$R$83,$CD$17)&amp;"/"&amp;$BL$1),"")))))</f>
        <v/>
      </c>
      <c r="Z5" s="31" t="str">
        <f>IF($AX5=3,IF($CD$18="","",INDEX(Tính!$F$39:$F$83,$CD$18)),IF($AX5=4,IF($CD$18="","",INDEX(Tính!$C$182:$V$226,$CD$18,INDEX($BJ$3:$BJ$22,$AY5))),IF($AX5=5,IF($CD$18="","",INDEX(Tính!$P$39:$P$83,$CD$18)&amp;"/"&amp;COUNTIF($BA$3:$BA$22,"?*")),IF($AX5=7,IF($CD$18="","",INDEX(Tính!$Q$39:$Q$83,$CD$18)&amp;"/"&amp;$BK$1),IF($AX5=8,IF($CD$18="","",INDEX(Tính!$R$39:$R$83,$CD$18)&amp;"/"&amp;$BL$1),"")))))</f>
        <v/>
      </c>
      <c r="AA5" s="31" t="str">
        <f>IF($AX5=3,IF($CD$19="","",INDEX(Tính!$F$39:$F$83,$CD$19)),IF($AX5=4,IF($CD$19="","",INDEX(Tính!$C$182:$V$226,$CD$19,INDEX($BJ$3:$BJ$22,$AY5))),IF($AX5=5,IF($CD$19="","",INDEX(Tính!$P$39:$P$83,$CD$19)&amp;"/"&amp;COUNTIF($BA$3:$BA$22,"?*")),IF($AX5=7,IF($CD$19="","",INDEX(Tính!$Q$39:$Q$83,$CD$19)&amp;"/"&amp;$BK$1),IF($AX5=8,IF($CD$19="","",INDEX(Tính!$R$39:$R$83,$CD$19)&amp;"/"&amp;$BL$1),"")))))</f>
        <v/>
      </c>
      <c r="AB5" s="31" t="str">
        <f>IF($AX5=3,IF($CD$20="","",INDEX(Tính!$F$39:$F$83,$CD$20)),IF($AX5=4,IF($CD$20="","",INDEX(Tính!$C$182:$V$226,$CD$20,INDEX($BJ$3:$BJ$22,$AY5))),IF($AX5=5,IF($CD$20="","",INDEX(Tính!$P$39:$P$83,$CD$20)&amp;"/"&amp;COUNTIF($BA$3:$BA$22,"?*")),IF($AX5=7,IF($CD$20="","",INDEX(Tính!$Q$39:$Q$83,$CD$20)&amp;"/"&amp;$BK$1),IF($AX5=8,IF($CD$20="","",INDEX(Tính!$R$39:$R$83,$CD$20)&amp;"/"&amp;$BL$1),"")))))</f>
        <v/>
      </c>
      <c r="AC5" s="31" t="str">
        <f>IF($AX5=3,IF($CD$21="","",INDEX(Tính!$F$39:$F$83,$CD$21)),IF($AX5=4,IF($CD$21="","",INDEX(Tính!$C$182:$V$226,$CD$21,INDEX($BJ$3:$BJ$22,$AY5))),IF($AX5=5,IF($CD$21="","",INDEX(Tính!$P$39:$P$83,$CD$21)&amp;"/"&amp;COUNTIF($BA$3:$BA$22,"?*")),IF($AX5=7,IF($CD$21="","",INDEX(Tính!$Q$39:$Q$83,$CD$21)&amp;"/"&amp;$BK$1),IF($AX5=8,IF($CD$21="","",INDEX(Tính!$R$39:$R$83,$CD$21)&amp;"/"&amp;$BL$1),"")))))</f>
        <v/>
      </c>
      <c r="AD5" s="31" t="str">
        <f>IF($AX5=3,IF($CD$22="","",INDEX(Tính!$F$39:$F$83,$CD$22)),IF($AX5=4,IF($CD$22="","",INDEX(Tính!$C$182:$V$226,$CD$22,INDEX($BJ$3:$BJ$22,$AY5))),IF($AX5=5,IF($CD$22="","",INDEX(Tính!$P$39:$P$83,$CD$22)&amp;"/"&amp;COUNTIF($BA$3:$BA$22,"?*")),IF($AX5=7,IF($CD$22="","",INDEX(Tính!$Q$39:$Q$83,$CD$22)&amp;"/"&amp;$BK$1),IF($AX5=8,IF($CD$22="","",INDEX(Tính!$R$39:$R$83,$CD$22)&amp;"/"&amp;$BL$1),"")))))</f>
        <v/>
      </c>
      <c r="AX5">
        <f>IF(1=0,0,IF(1&lt;=$AX$1,1,IF(1=$AX$1+1,2,IF(1=$AX$1+2,3,IF((1-$AX$1-2)&lt;=$AX$3,IF(INDEX($BK$3:$BK$24,(1-$AX$1-2))="C",7,IF(INDEX($BK$3:$BK$24,(1-$AX$1-2))="V",8,4)),IF((1-$AX$1-2)=$AX$3+1,5,6))))))</f>
        <v>2</v>
      </c>
      <c r="AY5">
        <f>IF(AX5=1,1,IF(AX5=4,INDEX($BL$3:$BL$24,(1-$AX$1-2)),0))</f>
        <v>0</v>
      </c>
      <c r="BA5" t="str">
        <f>Tính!B5</f>
        <v/>
      </c>
      <c r="BB5" t="str">
        <f>Tính!D5</f>
        <v/>
      </c>
      <c r="BC5">
        <f>IF($AZ$1=0,Tính!$Z$5,CHOOSE($AZ$1,Tính!$G$5,Tính!$L$5,Tính!$Q$5,Tính!$V$5))</f>
        <v>0</v>
      </c>
      <c r="BD5">
        <f>IF($AZ$1=0,Tính!$Y$5,CHOOSE($AZ$1,Tính!$E$5,Tính!$J$5,Tính!$O$5,Tính!$T$5))</f>
        <v>0</v>
      </c>
      <c r="BE5">
        <f>IF($AZ$1=0,Tính!$AB$5,CHOOSE($AZ$1,Tính!$I$5,Tính!$N$5,Tính!$S$5,Tính!$X$5))</f>
        <v>0</v>
      </c>
      <c r="BF5">
        <f>IF($AZ$1=0,Tính!$AA$5,CHOOSE($AZ$1,Tính!$H$5,Tính!$M$5,Tính!$R$5,Tính!$W$5))</f>
        <v>0</v>
      </c>
      <c r="BG5">
        <f t="shared" si="0"/>
        <v>0</v>
      </c>
      <c r="BH5">
        <f t="shared" si="1"/>
        <v>0</v>
      </c>
      <c r="BI5">
        <f>IF(BA5="",-1,IF(BB5="Chính",1000,0)+BG5+(20-3)/100000)</f>
        <v>-1</v>
      </c>
      <c r="BJ5" t="str">
        <f>IF(LARGE($BI$3:$BI$22,3)&lt;0,"",MATCH(LARGE($BI$3:$BI$22,3),$BI$3:$BI$22,0))</f>
        <v/>
      </c>
      <c r="BK5" t="str">
        <f>IF(3=1,IF($BK$1&gt;0,"C",""),IF(3&lt;=$BK$1+1,"g",IF(3=$BK$1+2,IF($BL$1&gt;0,"V",""),IF(3&lt;=$BK$1+2+$BL$1,"g",""))))</f>
        <v/>
      </c>
      <c r="BL5" t="str">
        <f>IF(BK5="g",IF(3&lt;=$BK$1+1,3-1,3-2),"")</f>
        <v/>
      </c>
      <c r="CA5">
        <v>3</v>
      </c>
      <c r="CB5">
        <f>IF(Tính!B41="",0,IF(OR($AZ$1=0,Tính!D41=$AZ$1),1,0))</f>
        <v>0</v>
      </c>
      <c r="CC5">
        <f>IF(CB5=1,Tính!M41+1+(45-3)/1000000,-1)</f>
        <v>-1</v>
      </c>
      <c r="CD5" t="str">
        <f>IF(LARGE($CC$3:$CC$47,3)&lt;0,"",MATCH(LARGE($CC$3:$CC$47,3),$CC$3:$CC$47,0))</f>
        <v/>
      </c>
    </row>
    <row r="6" spans="1:82" ht="15.6" x14ac:dyDescent="0.3">
      <c r="A6" s="77" t="s">
        <v>94</v>
      </c>
      <c r="B6" s="50"/>
      <c r="C6" s="33">
        <f>INDEX(Tính!$D$31:$D$35,IF($AZ$1=0,5,$AZ$1))</f>
        <v>0</v>
      </c>
      <c r="D6" s="33">
        <f>INDEX(Tính!$F$31:$F$35,IF($AZ$1=0,5,$AZ$1))</f>
        <v>0</v>
      </c>
      <c r="E6" s="34">
        <f>IF(C6&gt;0,D6/C6,0)</f>
        <v>0</v>
      </c>
      <c r="F6" s="34">
        <f>IF(C6&gt;0,D6/NgayQua*SoNgay/C6,0)</f>
        <v>0</v>
      </c>
      <c r="H6" s="29" t="str">
        <f t="shared" si="2"/>
        <v/>
      </c>
      <c r="I6" s="12" t="str">
        <f>IF($AX6=0,"Nhân viên",IF($AX6=1,INDEX(Tính!$F$39:$F$83,INDEX($CD$3:$CD$47,$AY6))&amp;" · "&amp;INDEX(Tính!$O$39:$O$83,INDEX($CD$3:$CD$47,$AY6)),IF($AX6=3,"Nhóm hàng",IF($AX6=4,INDEX($BA$3:$BA$22,INDEX($BJ$3:$BJ$22,$AY6)),IF($AX6=5,"Số nhóm đạt",IF($AX6=7,"NHÓM CHÍNH",IF($AX6=8,"NHÓM VƯỢT TRỘI","")))))))</f>
        <v>Nhóm hàng</v>
      </c>
      <c r="J6" s="30" t="str">
        <f>IF($AX6=0,"Mục tiêu",IF($AX6=1,FIXED(INDEX(Tính!$J$39:$J$83,INDEX($CD$3:$CD$47,$AY6)),0),IF($AX6=3,"Cả shop",IF($AX6=4,INDEX($BG$3:$BG$22,INDEX($BJ$3:$BJ$22,$AY6)),IF($AX6=5,COUNTIF($BG$3:$BG$22,"&gt;=0.995")&amp;"/"&amp;COUNTIF($BA$3:$BA$22,"?*"),IF($AX6=7,COUNTIFS($BB$3:$BB$22,"Chính",$BG$3:$BG$22,"&gt;=0.995")&amp;"/"&amp;$BK$1,IF($AX6=8,COUNTIFS($BB$3:$BB$22,"Vượt trội",$BG$3:$BG$22,"&gt;=0.995")&amp;"/"&amp;$BL$1,"")))))))</f>
        <v>Cả shop</v>
      </c>
      <c r="K6" s="30" t="str">
        <f>IF($AX6=0,"DT QĐ",IF($AX6=1,FIXED(INDEX(Tính!$K$39:$K$83,INDEX($CD$3:$CD$47,$AY6)),1),IF($AX6=3,IF($CD$3="","",INDEX(Tính!$F$39:$F$83,$CD$3)),IF($AX6=4,IF($CD$3="","",INDEX(Tính!$C$182:$V$226,$CD$3,INDEX($BJ$3:$BJ$22,$AY6))),IF($AX6=5,IF($CD$3="","",INDEX(Tính!$P$39:$P$83,$CD$3)&amp;"/"&amp;COUNTIF($BA$3:$BA$22,"?*")),IF($AX6=7,IF($CD$3="","",INDEX(Tính!$Q$39:$Q$83,$CD$3)&amp;"/"&amp;$BK$1),IF($AX6=8,IF($CD$3="","",INDEX(Tính!$R$39:$R$83,$CD$3)&amp;"/"&amp;$BL$1),"")))))))</f>
        <v/>
      </c>
      <c r="L6" s="31" t="str">
        <f>IF($AX6=0,"% HT",IF($AX6=1,INDEX(Tính!$N$39:$N$83,INDEX($CD$3:$CD$47,$AY6)),IF($AX6=3,IF($CD$4="","",INDEX(Tính!$F$39:$F$83,$CD$4)),IF($AX6=4,IF($CD$4="","",INDEX(Tính!$C$182:$V$226,$CD$4,INDEX($BJ$3:$BJ$22,$AY6))),IF($AX6=5,IF($CD$4="","",INDEX(Tính!$P$39:$P$83,$CD$4)&amp;"/"&amp;COUNTIF($BA$3:$BA$22,"?*")),IF($AX6=7,IF($CD$4="","",INDEX(Tính!$Q$39:$Q$83,$CD$4)&amp;"/"&amp;$BK$1),IF($AX6=8,IF($CD$4="","",INDEX(Tính!$R$39:$R$83,$CD$4)&amp;"/"&amp;$BL$1),"")))))))</f>
        <v/>
      </c>
      <c r="M6" s="31" t="str">
        <f>IF($AX6=0,"Dự kiến",IF($AX6=1,INDEX(Tính!$M$39:$M$83,INDEX($CD$3:$CD$47,$AY6)),IF($AX6=3,IF($CD$5="","",INDEX(Tính!$F$39:$F$83,$CD$5)),IF($AX6=4,IF($CD$5="","",INDEX(Tính!$C$182:$V$226,$CD$5,INDEX($BJ$3:$BJ$22,$AY6))),IF($AX6=5,IF($CD$5="","",INDEX(Tính!$P$39:$P$83,$CD$5)&amp;"/"&amp;COUNTIF($BA$3:$BA$22,"?*")),IF($AX6=7,IF($CD$5="","",INDEX(Tính!$Q$39:$Q$83,$CD$5)&amp;"/"&amp;$BK$1),IF($AX6=8,IF($CD$5="","",INDEX(Tính!$R$39:$R$83,$CD$5)&amp;"/"&amp;$BL$1),"")))))))</f>
        <v/>
      </c>
      <c r="N6" s="31" t="str">
        <f>IF($AX6=0,"NH đạt",IF($AX6=1,INDEX(Tính!$P$39:$P$83,INDEX($CD$3:$CD$47,$AY6))&amp;"/"&amp;COUNTIF($BA$3:$BA$22,"?*"),IF($AX6=3,IF($CD$6="","",INDEX(Tính!$F$39:$F$83,$CD$6)),IF($AX6=4,IF($CD$6="","",INDEX(Tính!$C$182:$V$226,$CD$6,INDEX($BJ$3:$BJ$22,$AY6))),IF($AX6=5,IF($CD$6="","",INDEX(Tính!$P$39:$P$83,$CD$6)&amp;"/"&amp;COUNTIF($BA$3:$BA$22,"?*")),IF($AX6=7,IF($CD$6="","",INDEX(Tính!$Q$39:$Q$83,$CD$6)&amp;"/"&amp;$BK$1),IF($AX6=8,IF($CD$6="","",INDEX(Tính!$R$39:$R$83,$CD$6)&amp;"/"&amp;$BL$1),"")))))))</f>
        <v/>
      </c>
      <c r="O6" s="31" t="str">
        <f>IF($AX6=3,IF($CD$7="","",INDEX(Tính!$F$39:$F$83,$CD$7)),IF($AX6=4,IF($CD$7="","",INDEX(Tính!$C$182:$V$226,$CD$7,INDEX($BJ$3:$BJ$22,$AY6))),IF($AX6=5,IF($CD$7="","",INDEX(Tính!$P$39:$P$83,$CD$7)&amp;"/"&amp;COUNTIF($BA$3:$BA$22,"?*")),IF($AX6=7,IF($CD$7="","",INDEX(Tính!$Q$39:$Q$83,$CD$7)&amp;"/"&amp;$BK$1),IF($AX6=8,IF($CD$7="","",INDEX(Tính!$R$39:$R$83,$CD$7)&amp;"/"&amp;$BL$1),"")))))</f>
        <v/>
      </c>
      <c r="P6" s="31" t="str">
        <f>IF($AX6=3,IF($CD$8="","",INDEX(Tính!$F$39:$F$83,$CD$8)),IF($AX6=4,IF($CD$8="","",INDEX(Tính!$C$182:$V$226,$CD$8,INDEX($BJ$3:$BJ$22,$AY6))),IF($AX6=5,IF($CD$8="","",INDEX(Tính!$P$39:$P$83,$CD$8)&amp;"/"&amp;COUNTIF($BA$3:$BA$22,"?*")),IF($AX6=7,IF($CD$8="","",INDEX(Tính!$Q$39:$Q$83,$CD$8)&amp;"/"&amp;$BK$1),IF($AX6=8,IF($CD$8="","",INDEX(Tính!$R$39:$R$83,$CD$8)&amp;"/"&amp;$BL$1),"")))))</f>
        <v/>
      </c>
      <c r="Q6" s="31" t="str">
        <f>IF($AX6=3,IF($CD$9="","",INDEX(Tính!$F$39:$F$83,$CD$9)),IF($AX6=4,IF($CD$9="","",INDEX(Tính!$C$182:$V$226,$CD$9,INDEX($BJ$3:$BJ$22,$AY6))),IF($AX6=5,IF($CD$9="","",INDEX(Tính!$P$39:$P$83,$CD$9)&amp;"/"&amp;COUNTIF($BA$3:$BA$22,"?*")),IF($AX6=7,IF($CD$9="","",INDEX(Tính!$Q$39:$Q$83,$CD$9)&amp;"/"&amp;$BK$1),IF($AX6=8,IF($CD$9="","",INDEX(Tính!$R$39:$R$83,$CD$9)&amp;"/"&amp;$BL$1),"")))))</f>
        <v/>
      </c>
      <c r="R6" s="31" t="str">
        <f>IF($AX6=3,IF($CD$10="","",INDEX(Tính!$F$39:$F$83,$CD$10)),IF($AX6=4,IF($CD$10="","",INDEX(Tính!$C$182:$V$226,$CD$10,INDEX($BJ$3:$BJ$22,$AY6))),IF($AX6=5,IF($CD$10="","",INDEX(Tính!$P$39:$P$83,$CD$10)&amp;"/"&amp;COUNTIF($BA$3:$BA$22,"?*")),IF($AX6=7,IF($CD$10="","",INDEX(Tính!$Q$39:$Q$83,$CD$10)&amp;"/"&amp;$BK$1),IF($AX6=8,IF($CD$10="","",INDEX(Tính!$R$39:$R$83,$CD$10)&amp;"/"&amp;$BL$1),"")))))</f>
        <v/>
      </c>
      <c r="S6" s="31" t="str">
        <f>IF($AX6=3,IF($CD$11="","",INDEX(Tính!$F$39:$F$83,$CD$11)),IF($AX6=4,IF($CD$11="","",INDEX(Tính!$C$182:$V$226,$CD$11,INDEX($BJ$3:$BJ$22,$AY6))),IF($AX6=5,IF($CD$11="","",INDEX(Tính!$P$39:$P$83,$CD$11)&amp;"/"&amp;COUNTIF($BA$3:$BA$22,"?*")),IF($AX6=7,IF($CD$11="","",INDEX(Tính!$Q$39:$Q$83,$CD$11)&amp;"/"&amp;$BK$1),IF($AX6=8,IF($CD$11="","",INDEX(Tính!$R$39:$R$83,$CD$11)&amp;"/"&amp;$BL$1),"")))))</f>
        <v/>
      </c>
      <c r="T6" s="31" t="str">
        <f>IF($AX6=3,IF($CD$12="","",INDEX(Tính!$F$39:$F$83,$CD$12)),IF($AX6=4,IF($CD$12="","",INDEX(Tính!$C$182:$V$226,$CD$12,INDEX($BJ$3:$BJ$22,$AY6))),IF($AX6=5,IF($CD$12="","",INDEX(Tính!$P$39:$P$83,$CD$12)&amp;"/"&amp;COUNTIF($BA$3:$BA$22,"?*")),IF($AX6=7,IF($CD$12="","",INDEX(Tính!$Q$39:$Q$83,$CD$12)&amp;"/"&amp;$BK$1),IF($AX6=8,IF($CD$12="","",INDEX(Tính!$R$39:$R$83,$CD$12)&amp;"/"&amp;$BL$1),"")))))</f>
        <v/>
      </c>
      <c r="U6" s="31" t="str">
        <f>IF($AX6=3,IF($CD$13="","",INDEX(Tính!$F$39:$F$83,$CD$13)),IF($AX6=4,IF($CD$13="","",INDEX(Tính!$C$182:$V$226,$CD$13,INDEX($BJ$3:$BJ$22,$AY6))),IF($AX6=5,IF($CD$13="","",INDEX(Tính!$P$39:$P$83,$CD$13)&amp;"/"&amp;COUNTIF($BA$3:$BA$22,"?*")),IF($AX6=7,IF($CD$13="","",INDEX(Tính!$Q$39:$Q$83,$CD$13)&amp;"/"&amp;$BK$1),IF($AX6=8,IF($CD$13="","",INDEX(Tính!$R$39:$R$83,$CD$13)&amp;"/"&amp;$BL$1),"")))))</f>
        <v/>
      </c>
      <c r="V6" s="31" t="str">
        <f>IF($AX6=3,IF($CD$14="","",INDEX(Tính!$F$39:$F$83,$CD$14)),IF($AX6=4,IF($CD$14="","",INDEX(Tính!$C$182:$V$226,$CD$14,INDEX($BJ$3:$BJ$22,$AY6))),IF($AX6=5,IF($CD$14="","",INDEX(Tính!$P$39:$P$83,$CD$14)&amp;"/"&amp;COUNTIF($BA$3:$BA$22,"?*")),IF($AX6=7,IF($CD$14="","",INDEX(Tính!$Q$39:$Q$83,$CD$14)&amp;"/"&amp;$BK$1),IF($AX6=8,IF($CD$14="","",INDEX(Tính!$R$39:$R$83,$CD$14)&amp;"/"&amp;$BL$1),"")))))</f>
        <v/>
      </c>
      <c r="W6" s="31" t="str">
        <f>IF($AX6=3,IF($CD$15="","",INDEX(Tính!$F$39:$F$83,$CD$15)),IF($AX6=4,IF($CD$15="","",INDEX(Tính!$C$182:$V$226,$CD$15,INDEX($BJ$3:$BJ$22,$AY6))),IF($AX6=5,IF($CD$15="","",INDEX(Tính!$P$39:$P$83,$CD$15)&amp;"/"&amp;COUNTIF($BA$3:$BA$22,"?*")),IF($AX6=7,IF($CD$15="","",INDEX(Tính!$Q$39:$Q$83,$CD$15)&amp;"/"&amp;$BK$1),IF($AX6=8,IF($CD$15="","",INDEX(Tính!$R$39:$R$83,$CD$15)&amp;"/"&amp;$BL$1),"")))))</f>
        <v/>
      </c>
      <c r="X6" s="31" t="str">
        <f>IF($AX6=3,IF($CD$16="","",INDEX(Tính!$F$39:$F$83,$CD$16)),IF($AX6=4,IF($CD$16="","",INDEX(Tính!$C$182:$V$226,$CD$16,INDEX($BJ$3:$BJ$22,$AY6))),IF($AX6=5,IF($CD$16="","",INDEX(Tính!$P$39:$P$83,$CD$16)&amp;"/"&amp;COUNTIF($BA$3:$BA$22,"?*")),IF($AX6=7,IF($CD$16="","",INDEX(Tính!$Q$39:$Q$83,$CD$16)&amp;"/"&amp;$BK$1),IF($AX6=8,IF($CD$16="","",INDEX(Tính!$R$39:$R$83,$CD$16)&amp;"/"&amp;$BL$1),"")))))</f>
        <v/>
      </c>
      <c r="Y6" s="31" t="str">
        <f>IF($AX6=3,IF($CD$17="","",INDEX(Tính!$F$39:$F$83,$CD$17)),IF($AX6=4,IF($CD$17="","",INDEX(Tính!$C$182:$V$226,$CD$17,INDEX($BJ$3:$BJ$22,$AY6))),IF($AX6=5,IF($CD$17="","",INDEX(Tính!$P$39:$P$83,$CD$17)&amp;"/"&amp;COUNTIF($BA$3:$BA$22,"?*")),IF($AX6=7,IF($CD$17="","",INDEX(Tính!$Q$39:$Q$83,$CD$17)&amp;"/"&amp;$BK$1),IF($AX6=8,IF($CD$17="","",INDEX(Tính!$R$39:$R$83,$CD$17)&amp;"/"&amp;$BL$1),"")))))</f>
        <v/>
      </c>
      <c r="Z6" s="31" t="str">
        <f>IF($AX6=3,IF($CD$18="","",INDEX(Tính!$F$39:$F$83,$CD$18)),IF($AX6=4,IF($CD$18="","",INDEX(Tính!$C$182:$V$226,$CD$18,INDEX($BJ$3:$BJ$22,$AY6))),IF($AX6=5,IF($CD$18="","",INDEX(Tính!$P$39:$P$83,$CD$18)&amp;"/"&amp;COUNTIF($BA$3:$BA$22,"?*")),IF($AX6=7,IF($CD$18="","",INDEX(Tính!$Q$39:$Q$83,$CD$18)&amp;"/"&amp;$BK$1),IF($AX6=8,IF($CD$18="","",INDEX(Tính!$R$39:$R$83,$CD$18)&amp;"/"&amp;$BL$1),"")))))</f>
        <v/>
      </c>
      <c r="AA6" s="31" t="str">
        <f>IF($AX6=3,IF($CD$19="","",INDEX(Tính!$F$39:$F$83,$CD$19)),IF($AX6=4,IF($CD$19="","",INDEX(Tính!$C$182:$V$226,$CD$19,INDEX($BJ$3:$BJ$22,$AY6))),IF($AX6=5,IF($CD$19="","",INDEX(Tính!$P$39:$P$83,$CD$19)&amp;"/"&amp;COUNTIF($BA$3:$BA$22,"?*")),IF($AX6=7,IF($CD$19="","",INDEX(Tính!$Q$39:$Q$83,$CD$19)&amp;"/"&amp;$BK$1),IF($AX6=8,IF($CD$19="","",INDEX(Tính!$R$39:$R$83,$CD$19)&amp;"/"&amp;$BL$1),"")))))</f>
        <v/>
      </c>
      <c r="AB6" s="31" t="str">
        <f>IF($AX6=3,IF($CD$20="","",INDEX(Tính!$F$39:$F$83,$CD$20)),IF($AX6=4,IF($CD$20="","",INDEX(Tính!$C$182:$V$226,$CD$20,INDEX($BJ$3:$BJ$22,$AY6))),IF($AX6=5,IF($CD$20="","",INDEX(Tính!$P$39:$P$83,$CD$20)&amp;"/"&amp;COUNTIF($BA$3:$BA$22,"?*")),IF($AX6=7,IF($CD$20="","",INDEX(Tính!$Q$39:$Q$83,$CD$20)&amp;"/"&amp;$BK$1),IF($AX6=8,IF($CD$20="","",INDEX(Tính!$R$39:$R$83,$CD$20)&amp;"/"&amp;$BL$1),"")))))</f>
        <v/>
      </c>
      <c r="AC6" s="31" t="str">
        <f>IF($AX6=3,IF($CD$21="","",INDEX(Tính!$F$39:$F$83,$CD$21)),IF($AX6=4,IF($CD$21="","",INDEX(Tính!$C$182:$V$226,$CD$21,INDEX($BJ$3:$BJ$22,$AY6))),IF($AX6=5,IF($CD$21="","",INDEX(Tính!$P$39:$P$83,$CD$21)&amp;"/"&amp;COUNTIF($BA$3:$BA$22,"?*")),IF($AX6=7,IF($CD$21="","",INDEX(Tính!$Q$39:$Q$83,$CD$21)&amp;"/"&amp;$BK$1),IF($AX6=8,IF($CD$21="","",INDEX(Tính!$R$39:$R$83,$CD$21)&amp;"/"&amp;$BL$1),"")))))</f>
        <v/>
      </c>
      <c r="AD6" s="31" t="str">
        <f>IF($AX6=3,IF($CD$22="","",INDEX(Tính!$F$39:$F$83,$CD$22)),IF($AX6=4,IF($CD$22="","",INDEX(Tính!$C$182:$V$226,$CD$22,INDEX($BJ$3:$BJ$22,$AY6))),IF($AX6=5,IF($CD$22="","",INDEX(Tính!$P$39:$P$83,$CD$22)&amp;"/"&amp;COUNTIF($BA$3:$BA$22,"?*")),IF($AX6=7,IF($CD$22="","",INDEX(Tính!$Q$39:$Q$83,$CD$22)&amp;"/"&amp;$BK$1),IF($AX6=8,IF($CD$22="","",INDEX(Tính!$R$39:$R$83,$CD$22)&amp;"/"&amp;$BL$1),"")))))</f>
        <v/>
      </c>
      <c r="AX6">
        <f>IF(2=0,0,IF(2&lt;=$AX$1,1,IF(2=$AX$1+1,2,IF(2=$AX$1+2,3,IF((2-$AX$1-2)&lt;=$AX$3,IF(INDEX($BK$3:$BK$24,(2-$AX$1-2))="C",7,IF(INDEX($BK$3:$BK$24,(2-$AX$1-2))="V",8,4)),IF((2-$AX$1-2)=$AX$3+1,5,6))))))</f>
        <v>3</v>
      </c>
      <c r="AY6">
        <f>IF(AX6=1,2,IF(AX6=4,INDEX($BL$3:$BL$24,(2-$AX$1-2)),0))</f>
        <v>0</v>
      </c>
      <c r="BA6" t="str">
        <f>Tính!B6</f>
        <v/>
      </c>
      <c r="BB6" t="str">
        <f>Tính!D6</f>
        <v/>
      </c>
      <c r="BC6">
        <f>IF($AZ$1=0,Tính!$Z$6,CHOOSE($AZ$1,Tính!$G$6,Tính!$L$6,Tính!$Q$6,Tính!$V$6))</f>
        <v>0</v>
      </c>
      <c r="BD6">
        <f>IF($AZ$1=0,Tính!$Y$6,CHOOSE($AZ$1,Tính!$E$6,Tính!$J$6,Tính!$O$6,Tính!$T$6))</f>
        <v>0</v>
      </c>
      <c r="BE6">
        <f>IF($AZ$1=0,Tính!$AB$6,CHOOSE($AZ$1,Tính!$I$6,Tính!$N$6,Tính!$S$6,Tính!$X$6))</f>
        <v>0</v>
      </c>
      <c r="BF6">
        <f>IF($AZ$1=0,Tính!$AA$6,CHOOSE($AZ$1,Tính!$H$6,Tính!$M$6,Tính!$R$6,Tính!$W$6))</f>
        <v>0</v>
      </c>
      <c r="BG6">
        <f t="shared" si="0"/>
        <v>0</v>
      </c>
      <c r="BH6">
        <f t="shared" si="1"/>
        <v>0</v>
      </c>
      <c r="BI6">
        <f>IF(BA6="",-1,IF(BB6="Chính",1000,0)+BG6+(20-4)/100000)</f>
        <v>-1</v>
      </c>
      <c r="BJ6" t="str">
        <f>IF(LARGE($BI$3:$BI$22,4)&lt;0,"",MATCH(LARGE($BI$3:$BI$22,4),$BI$3:$BI$22,0))</f>
        <v/>
      </c>
      <c r="BK6" t="str">
        <f>IF(4=1,IF($BK$1&gt;0,"C",""),IF(4&lt;=$BK$1+1,"g",IF(4=$BK$1+2,IF($BL$1&gt;0,"V",""),IF(4&lt;=$BK$1+2+$BL$1,"g",""))))</f>
        <v/>
      </c>
      <c r="BL6" t="str">
        <f>IF(BK6="g",IF(4&lt;=$BK$1+1,4-1,4-2),"")</f>
        <v/>
      </c>
      <c r="CA6">
        <v>4</v>
      </c>
      <c r="CB6">
        <f>IF(Tính!B42="",0,IF(OR($AZ$1=0,Tính!D42=$AZ$1),1,0))</f>
        <v>0</v>
      </c>
      <c r="CC6">
        <f>IF(CB6=1,Tính!M42+1+(45-4)/1000000,-1)</f>
        <v>-1</v>
      </c>
      <c r="CD6" t="str">
        <f>IF(LARGE($CC$3:$CC$47,4)&lt;0,"",MATCH(LARGE($CC$3:$CC$47,4),$CC$3:$CC$47,0))</f>
        <v/>
      </c>
    </row>
    <row r="7" spans="1:82" ht="15.6" x14ac:dyDescent="0.3">
      <c r="A7" s="77" t="s">
        <v>95</v>
      </c>
      <c r="B7" s="50"/>
      <c r="C7" s="34">
        <f>MucTieuTC</f>
        <v>0.3</v>
      </c>
      <c r="D7" s="34">
        <f>INDEX(Tính!$H$31:$H$35,IF($AZ$1=0,5,$AZ$1))</f>
        <v>0</v>
      </c>
      <c r="E7" s="77" t="str">
        <f>IF(D7&gt;=C7,"Đạt","Chưa đạt")</f>
        <v>Chưa đạt</v>
      </c>
      <c r="F7" s="50"/>
      <c r="H7" s="29" t="str">
        <f t="shared" si="2"/>
        <v/>
      </c>
      <c r="I7" s="12" t="str">
        <f>IF($AX7=0,"Nhân viên",IF($AX7=1,INDEX(Tính!$F$39:$F$83,INDEX($CD$3:$CD$47,$AY7))&amp;" · "&amp;INDEX(Tính!$O$39:$O$83,INDEX($CD$3:$CD$47,$AY7)),IF($AX7=3,"Nhóm hàng",IF($AX7=4,INDEX($BA$3:$BA$22,INDEX($BJ$3:$BJ$22,$AY7)),IF($AX7=5,"Số nhóm đạt",IF($AX7=7,"NHÓM CHÍNH",IF($AX7=8,"NHÓM VƯỢT TRỘI","")))))))</f>
        <v>Số nhóm đạt</v>
      </c>
      <c r="J7" s="30" t="str">
        <f>IF($AX7=0,"Mục tiêu",IF($AX7=1,FIXED(INDEX(Tính!$J$39:$J$83,INDEX($CD$3:$CD$47,$AY7)),0),IF($AX7=3,"Cả shop",IF($AX7=4,INDEX($BG$3:$BG$22,INDEX($BJ$3:$BJ$22,$AY7)),IF($AX7=5,COUNTIF($BG$3:$BG$22,"&gt;=0.995")&amp;"/"&amp;COUNTIF($BA$3:$BA$22,"?*"),IF($AX7=7,COUNTIFS($BB$3:$BB$22,"Chính",$BG$3:$BG$22,"&gt;=0.995")&amp;"/"&amp;$BK$1,IF($AX7=8,COUNTIFS($BB$3:$BB$22,"Vượt trội",$BG$3:$BG$22,"&gt;=0.995")&amp;"/"&amp;$BL$1,"")))))))</f>
        <v>0/0</v>
      </c>
      <c r="K7" s="30" t="str">
        <f>IF($AX7=0,"DT QĐ",IF($AX7=1,FIXED(INDEX(Tính!$K$39:$K$83,INDEX($CD$3:$CD$47,$AY7)),1),IF($AX7=3,IF($CD$3="","",INDEX(Tính!$F$39:$F$83,$CD$3)),IF($AX7=4,IF($CD$3="","",INDEX(Tính!$C$182:$V$226,$CD$3,INDEX($BJ$3:$BJ$22,$AY7))),IF($AX7=5,IF($CD$3="","",INDEX(Tính!$P$39:$P$83,$CD$3)&amp;"/"&amp;COUNTIF($BA$3:$BA$22,"?*")),IF($AX7=7,IF($CD$3="","",INDEX(Tính!$Q$39:$Q$83,$CD$3)&amp;"/"&amp;$BK$1),IF($AX7=8,IF($CD$3="","",INDEX(Tính!$R$39:$R$83,$CD$3)&amp;"/"&amp;$BL$1),"")))))))</f>
        <v/>
      </c>
      <c r="L7" s="31" t="str">
        <f>IF($AX7=0,"% HT",IF($AX7=1,INDEX(Tính!$N$39:$N$83,INDEX($CD$3:$CD$47,$AY7)),IF($AX7=3,IF($CD$4="","",INDEX(Tính!$F$39:$F$83,$CD$4)),IF($AX7=4,IF($CD$4="","",INDEX(Tính!$C$182:$V$226,$CD$4,INDEX($BJ$3:$BJ$22,$AY7))),IF($AX7=5,IF($CD$4="","",INDEX(Tính!$P$39:$P$83,$CD$4)&amp;"/"&amp;COUNTIF($BA$3:$BA$22,"?*")),IF($AX7=7,IF($CD$4="","",INDEX(Tính!$Q$39:$Q$83,$CD$4)&amp;"/"&amp;$BK$1),IF($AX7=8,IF($CD$4="","",INDEX(Tính!$R$39:$R$83,$CD$4)&amp;"/"&amp;$BL$1),"")))))))</f>
        <v/>
      </c>
      <c r="M7" s="31" t="str">
        <f>IF($AX7=0,"Dự kiến",IF($AX7=1,INDEX(Tính!$M$39:$M$83,INDEX($CD$3:$CD$47,$AY7)),IF($AX7=3,IF($CD$5="","",INDEX(Tính!$F$39:$F$83,$CD$5)),IF($AX7=4,IF($CD$5="","",INDEX(Tính!$C$182:$V$226,$CD$5,INDEX($BJ$3:$BJ$22,$AY7))),IF($AX7=5,IF($CD$5="","",INDEX(Tính!$P$39:$P$83,$CD$5)&amp;"/"&amp;COUNTIF($BA$3:$BA$22,"?*")),IF($AX7=7,IF($CD$5="","",INDEX(Tính!$Q$39:$Q$83,$CD$5)&amp;"/"&amp;$BK$1),IF($AX7=8,IF($CD$5="","",INDEX(Tính!$R$39:$R$83,$CD$5)&amp;"/"&amp;$BL$1),"")))))))</f>
        <v/>
      </c>
      <c r="N7" s="31" t="str">
        <f>IF($AX7=0,"NH đạt",IF($AX7=1,INDEX(Tính!$P$39:$P$83,INDEX($CD$3:$CD$47,$AY7))&amp;"/"&amp;COUNTIF($BA$3:$BA$22,"?*"),IF($AX7=3,IF($CD$6="","",INDEX(Tính!$F$39:$F$83,$CD$6)),IF($AX7=4,IF($CD$6="","",INDEX(Tính!$C$182:$V$226,$CD$6,INDEX($BJ$3:$BJ$22,$AY7))),IF($AX7=5,IF($CD$6="","",INDEX(Tính!$P$39:$P$83,$CD$6)&amp;"/"&amp;COUNTIF($BA$3:$BA$22,"?*")),IF($AX7=7,IF($CD$6="","",INDEX(Tính!$Q$39:$Q$83,$CD$6)&amp;"/"&amp;$BK$1),IF($AX7=8,IF($CD$6="","",INDEX(Tính!$R$39:$R$83,$CD$6)&amp;"/"&amp;$BL$1),"")))))))</f>
        <v/>
      </c>
      <c r="O7" s="31" t="str">
        <f>IF($AX7=3,IF($CD$7="","",INDEX(Tính!$F$39:$F$83,$CD$7)),IF($AX7=4,IF($CD$7="","",INDEX(Tính!$C$182:$V$226,$CD$7,INDEX($BJ$3:$BJ$22,$AY7))),IF($AX7=5,IF($CD$7="","",INDEX(Tính!$P$39:$P$83,$CD$7)&amp;"/"&amp;COUNTIF($BA$3:$BA$22,"?*")),IF($AX7=7,IF($CD$7="","",INDEX(Tính!$Q$39:$Q$83,$CD$7)&amp;"/"&amp;$BK$1),IF($AX7=8,IF($CD$7="","",INDEX(Tính!$R$39:$R$83,$CD$7)&amp;"/"&amp;$BL$1),"")))))</f>
        <v/>
      </c>
      <c r="P7" s="31" t="str">
        <f>IF($AX7=3,IF($CD$8="","",INDEX(Tính!$F$39:$F$83,$CD$8)),IF($AX7=4,IF($CD$8="","",INDEX(Tính!$C$182:$V$226,$CD$8,INDEX($BJ$3:$BJ$22,$AY7))),IF($AX7=5,IF($CD$8="","",INDEX(Tính!$P$39:$P$83,$CD$8)&amp;"/"&amp;COUNTIF($BA$3:$BA$22,"?*")),IF($AX7=7,IF($CD$8="","",INDEX(Tính!$Q$39:$Q$83,$CD$8)&amp;"/"&amp;$BK$1),IF($AX7=8,IF($CD$8="","",INDEX(Tính!$R$39:$R$83,$CD$8)&amp;"/"&amp;$BL$1),"")))))</f>
        <v/>
      </c>
      <c r="Q7" s="31" t="str">
        <f>IF($AX7=3,IF($CD$9="","",INDEX(Tính!$F$39:$F$83,$CD$9)),IF($AX7=4,IF($CD$9="","",INDEX(Tính!$C$182:$V$226,$CD$9,INDEX($BJ$3:$BJ$22,$AY7))),IF($AX7=5,IF($CD$9="","",INDEX(Tính!$P$39:$P$83,$CD$9)&amp;"/"&amp;COUNTIF($BA$3:$BA$22,"?*")),IF($AX7=7,IF($CD$9="","",INDEX(Tính!$Q$39:$Q$83,$CD$9)&amp;"/"&amp;$BK$1),IF($AX7=8,IF($CD$9="","",INDEX(Tính!$R$39:$R$83,$CD$9)&amp;"/"&amp;$BL$1),"")))))</f>
        <v/>
      </c>
      <c r="R7" s="31" t="str">
        <f>IF($AX7=3,IF($CD$10="","",INDEX(Tính!$F$39:$F$83,$CD$10)),IF($AX7=4,IF($CD$10="","",INDEX(Tính!$C$182:$V$226,$CD$10,INDEX($BJ$3:$BJ$22,$AY7))),IF($AX7=5,IF($CD$10="","",INDEX(Tính!$P$39:$P$83,$CD$10)&amp;"/"&amp;COUNTIF($BA$3:$BA$22,"?*")),IF($AX7=7,IF($CD$10="","",INDEX(Tính!$Q$39:$Q$83,$CD$10)&amp;"/"&amp;$BK$1),IF($AX7=8,IF($CD$10="","",INDEX(Tính!$R$39:$R$83,$CD$10)&amp;"/"&amp;$BL$1),"")))))</f>
        <v/>
      </c>
      <c r="S7" s="31" t="str">
        <f>IF($AX7=3,IF($CD$11="","",INDEX(Tính!$F$39:$F$83,$CD$11)),IF($AX7=4,IF($CD$11="","",INDEX(Tính!$C$182:$V$226,$CD$11,INDEX($BJ$3:$BJ$22,$AY7))),IF($AX7=5,IF($CD$11="","",INDEX(Tính!$P$39:$P$83,$CD$11)&amp;"/"&amp;COUNTIF($BA$3:$BA$22,"?*")),IF($AX7=7,IF($CD$11="","",INDEX(Tính!$Q$39:$Q$83,$CD$11)&amp;"/"&amp;$BK$1),IF($AX7=8,IF($CD$11="","",INDEX(Tính!$R$39:$R$83,$CD$11)&amp;"/"&amp;$BL$1),"")))))</f>
        <v/>
      </c>
      <c r="T7" s="31" t="str">
        <f>IF($AX7=3,IF($CD$12="","",INDEX(Tính!$F$39:$F$83,$CD$12)),IF($AX7=4,IF($CD$12="","",INDEX(Tính!$C$182:$V$226,$CD$12,INDEX($BJ$3:$BJ$22,$AY7))),IF($AX7=5,IF($CD$12="","",INDEX(Tính!$P$39:$P$83,$CD$12)&amp;"/"&amp;COUNTIF($BA$3:$BA$22,"?*")),IF($AX7=7,IF($CD$12="","",INDEX(Tính!$Q$39:$Q$83,$CD$12)&amp;"/"&amp;$BK$1),IF($AX7=8,IF($CD$12="","",INDEX(Tính!$R$39:$R$83,$CD$12)&amp;"/"&amp;$BL$1),"")))))</f>
        <v/>
      </c>
      <c r="U7" s="31" t="str">
        <f>IF($AX7=3,IF($CD$13="","",INDEX(Tính!$F$39:$F$83,$CD$13)),IF($AX7=4,IF($CD$13="","",INDEX(Tính!$C$182:$V$226,$CD$13,INDEX($BJ$3:$BJ$22,$AY7))),IF($AX7=5,IF($CD$13="","",INDEX(Tính!$P$39:$P$83,$CD$13)&amp;"/"&amp;COUNTIF($BA$3:$BA$22,"?*")),IF($AX7=7,IF($CD$13="","",INDEX(Tính!$Q$39:$Q$83,$CD$13)&amp;"/"&amp;$BK$1),IF($AX7=8,IF($CD$13="","",INDEX(Tính!$R$39:$R$83,$CD$13)&amp;"/"&amp;$BL$1),"")))))</f>
        <v/>
      </c>
      <c r="V7" s="31" t="str">
        <f>IF($AX7=3,IF($CD$14="","",INDEX(Tính!$F$39:$F$83,$CD$14)),IF($AX7=4,IF($CD$14="","",INDEX(Tính!$C$182:$V$226,$CD$14,INDEX($BJ$3:$BJ$22,$AY7))),IF($AX7=5,IF($CD$14="","",INDEX(Tính!$P$39:$P$83,$CD$14)&amp;"/"&amp;COUNTIF($BA$3:$BA$22,"?*")),IF($AX7=7,IF($CD$14="","",INDEX(Tính!$Q$39:$Q$83,$CD$14)&amp;"/"&amp;$BK$1),IF($AX7=8,IF($CD$14="","",INDEX(Tính!$R$39:$R$83,$CD$14)&amp;"/"&amp;$BL$1),"")))))</f>
        <v/>
      </c>
      <c r="W7" s="31" t="str">
        <f>IF($AX7=3,IF($CD$15="","",INDEX(Tính!$F$39:$F$83,$CD$15)),IF($AX7=4,IF($CD$15="","",INDEX(Tính!$C$182:$V$226,$CD$15,INDEX($BJ$3:$BJ$22,$AY7))),IF($AX7=5,IF($CD$15="","",INDEX(Tính!$P$39:$P$83,$CD$15)&amp;"/"&amp;COUNTIF($BA$3:$BA$22,"?*")),IF($AX7=7,IF($CD$15="","",INDEX(Tính!$Q$39:$Q$83,$CD$15)&amp;"/"&amp;$BK$1),IF($AX7=8,IF($CD$15="","",INDEX(Tính!$R$39:$R$83,$CD$15)&amp;"/"&amp;$BL$1),"")))))</f>
        <v/>
      </c>
      <c r="X7" s="31" t="str">
        <f>IF($AX7=3,IF($CD$16="","",INDEX(Tính!$F$39:$F$83,$CD$16)),IF($AX7=4,IF($CD$16="","",INDEX(Tính!$C$182:$V$226,$CD$16,INDEX($BJ$3:$BJ$22,$AY7))),IF($AX7=5,IF($CD$16="","",INDEX(Tính!$P$39:$P$83,$CD$16)&amp;"/"&amp;COUNTIF($BA$3:$BA$22,"?*")),IF($AX7=7,IF($CD$16="","",INDEX(Tính!$Q$39:$Q$83,$CD$16)&amp;"/"&amp;$BK$1),IF($AX7=8,IF($CD$16="","",INDEX(Tính!$R$39:$R$83,$CD$16)&amp;"/"&amp;$BL$1),"")))))</f>
        <v/>
      </c>
      <c r="Y7" s="31" t="str">
        <f>IF($AX7=3,IF($CD$17="","",INDEX(Tính!$F$39:$F$83,$CD$17)),IF($AX7=4,IF($CD$17="","",INDEX(Tính!$C$182:$V$226,$CD$17,INDEX($BJ$3:$BJ$22,$AY7))),IF($AX7=5,IF($CD$17="","",INDEX(Tính!$P$39:$P$83,$CD$17)&amp;"/"&amp;COUNTIF($BA$3:$BA$22,"?*")),IF($AX7=7,IF($CD$17="","",INDEX(Tính!$Q$39:$Q$83,$CD$17)&amp;"/"&amp;$BK$1),IF($AX7=8,IF($CD$17="","",INDEX(Tính!$R$39:$R$83,$CD$17)&amp;"/"&amp;$BL$1),"")))))</f>
        <v/>
      </c>
      <c r="Z7" s="31" t="str">
        <f>IF($AX7=3,IF($CD$18="","",INDEX(Tính!$F$39:$F$83,$CD$18)),IF($AX7=4,IF($CD$18="","",INDEX(Tính!$C$182:$V$226,$CD$18,INDEX($BJ$3:$BJ$22,$AY7))),IF($AX7=5,IF($CD$18="","",INDEX(Tính!$P$39:$P$83,$CD$18)&amp;"/"&amp;COUNTIF($BA$3:$BA$22,"?*")),IF($AX7=7,IF($CD$18="","",INDEX(Tính!$Q$39:$Q$83,$CD$18)&amp;"/"&amp;$BK$1),IF($AX7=8,IF($CD$18="","",INDEX(Tính!$R$39:$R$83,$CD$18)&amp;"/"&amp;$BL$1),"")))))</f>
        <v/>
      </c>
      <c r="AA7" s="31" t="str">
        <f>IF($AX7=3,IF($CD$19="","",INDEX(Tính!$F$39:$F$83,$CD$19)),IF($AX7=4,IF($CD$19="","",INDEX(Tính!$C$182:$V$226,$CD$19,INDEX($BJ$3:$BJ$22,$AY7))),IF($AX7=5,IF($CD$19="","",INDEX(Tính!$P$39:$P$83,$CD$19)&amp;"/"&amp;COUNTIF($BA$3:$BA$22,"?*")),IF($AX7=7,IF($CD$19="","",INDEX(Tính!$Q$39:$Q$83,$CD$19)&amp;"/"&amp;$BK$1),IF($AX7=8,IF($CD$19="","",INDEX(Tính!$R$39:$R$83,$CD$19)&amp;"/"&amp;$BL$1),"")))))</f>
        <v/>
      </c>
      <c r="AB7" s="31" t="str">
        <f>IF($AX7=3,IF($CD$20="","",INDEX(Tính!$F$39:$F$83,$CD$20)),IF($AX7=4,IF($CD$20="","",INDEX(Tính!$C$182:$V$226,$CD$20,INDEX($BJ$3:$BJ$22,$AY7))),IF($AX7=5,IF($CD$20="","",INDEX(Tính!$P$39:$P$83,$CD$20)&amp;"/"&amp;COUNTIF($BA$3:$BA$22,"?*")),IF($AX7=7,IF($CD$20="","",INDEX(Tính!$Q$39:$Q$83,$CD$20)&amp;"/"&amp;$BK$1),IF($AX7=8,IF($CD$20="","",INDEX(Tính!$R$39:$R$83,$CD$20)&amp;"/"&amp;$BL$1),"")))))</f>
        <v/>
      </c>
      <c r="AC7" s="31" t="str">
        <f>IF($AX7=3,IF($CD$21="","",INDEX(Tính!$F$39:$F$83,$CD$21)),IF($AX7=4,IF($CD$21="","",INDEX(Tính!$C$182:$V$226,$CD$21,INDEX($BJ$3:$BJ$22,$AY7))),IF($AX7=5,IF($CD$21="","",INDEX(Tính!$P$39:$P$83,$CD$21)&amp;"/"&amp;COUNTIF($BA$3:$BA$22,"?*")),IF($AX7=7,IF($CD$21="","",INDEX(Tính!$Q$39:$Q$83,$CD$21)&amp;"/"&amp;$BK$1),IF($AX7=8,IF($CD$21="","",INDEX(Tính!$R$39:$R$83,$CD$21)&amp;"/"&amp;$BL$1),"")))))</f>
        <v/>
      </c>
      <c r="AD7" s="31" t="str">
        <f>IF($AX7=3,IF($CD$22="","",INDEX(Tính!$F$39:$F$83,$CD$22)),IF($AX7=4,IF($CD$22="","",INDEX(Tính!$C$182:$V$226,$CD$22,INDEX($BJ$3:$BJ$22,$AY7))),IF($AX7=5,IF($CD$22="","",INDEX(Tính!$P$39:$P$83,$CD$22)&amp;"/"&amp;COUNTIF($BA$3:$BA$22,"?*")),IF($AX7=7,IF($CD$22="","",INDEX(Tính!$Q$39:$Q$83,$CD$22)&amp;"/"&amp;$BK$1),IF($AX7=8,IF($CD$22="","",INDEX(Tính!$R$39:$R$83,$CD$22)&amp;"/"&amp;$BL$1),"")))))</f>
        <v/>
      </c>
      <c r="AX7">
        <f>IF(3=0,0,IF(3&lt;=$AX$1,1,IF(3=$AX$1+1,2,IF(3=$AX$1+2,3,IF((3-$AX$1-2)&lt;=$AX$3,IF(INDEX($BK$3:$BK$24,(3-$AX$1-2))="C",7,IF(INDEX($BK$3:$BK$24,(3-$AX$1-2))="V",8,4)),IF((3-$AX$1-2)=$AX$3+1,5,6))))))</f>
        <v>5</v>
      </c>
      <c r="AY7">
        <f>IF(AX7=1,3,IF(AX7=4,INDEX($BL$3:$BL$24,(3-$AX$1-2)),0))</f>
        <v>0</v>
      </c>
      <c r="BA7" t="str">
        <f>Tính!B7</f>
        <v/>
      </c>
      <c r="BB7" t="str">
        <f>Tính!D7</f>
        <v/>
      </c>
      <c r="BC7">
        <f>IF($AZ$1=0,Tính!$Z$7,CHOOSE($AZ$1,Tính!$G$7,Tính!$L$7,Tính!$Q$7,Tính!$V$7))</f>
        <v>0</v>
      </c>
      <c r="BD7">
        <f>IF($AZ$1=0,Tính!$Y$7,CHOOSE($AZ$1,Tính!$E$7,Tính!$J$7,Tính!$O$7,Tính!$T$7))</f>
        <v>0</v>
      </c>
      <c r="BE7">
        <f>IF($AZ$1=0,Tính!$AB$7,CHOOSE($AZ$1,Tính!$I$7,Tính!$N$7,Tính!$S$7,Tính!$X$7))</f>
        <v>0</v>
      </c>
      <c r="BF7">
        <f>IF($AZ$1=0,Tính!$AA$7,CHOOSE($AZ$1,Tính!$H$7,Tính!$M$7,Tính!$R$7,Tính!$W$7))</f>
        <v>0</v>
      </c>
      <c r="BG7">
        <f t="shared" si="0"/>
        <v>0</v>
      </c>
      <c r="BH7">
        <f t="shared" si="1"/>
        <v>0</v>
      </c>
      <c r="BI7">
        <f>IF(BA7="",-1,IF(BB7="Chính",1000,0)+BG7+(20-5)/100000)</f>
        <v>-1</v>
      </c>
      <c r="BJ7" t="str">
        <f>IF(LARGE($BI$3:$BI$22,5)&lt;0,"",MATCH(LARGE($BI$3:$BI$22,5),$BI$3:$BI$22,0))</f>
        <v/>
      </c>
      <c r="BK7" t="str">
        <f>IF(5=1,IF($BK$1&gt;0,"C",""),IF(5&lt;=$BK$1+1,"g",IF(5=$BK$1+2,IF($BL$1&gt;0,"V",""),IF(5&lt;=$BK$1+2+$BL$1,"g",""))))</f>
        <v/>
      </c>
      <c r="BL7" t="str">
        <f>IF(BK7="g",IF(5&lt;=$BK$1+1,5-1,5-2),"")</f>
        <v/>
      </c>
      <c r="CA7">
        <v>5</v>
      </c>
      <c r="CB7">
        <f>IF(Tính!B43="",0,IF(OR($AZ$1=0,Tính!D43=$AZ$1),1,0))</f>
        <v>0</v>
      </c>
      <c r="CC7">
        <f>IF(CB7=1,Tính!M43+1+(45-5)/1000000,-1)</f>
        <v>-1</v>
      </c>
      <c r="CD7" t="str">
        <f>IF(LARGE($CC$3:$CC$47,5)&lt;0,"",MATCH(LARGE($CC$3:$CC$47,5),$CC$3:$CC$47,0))</f>
        <v/>
      </c>
    </row>
    <row r="8" spans="1:82" x14ac:dyDescent="0.3">
      <c r="A8" s="60" t="str">
        <f>"SL nhóm: "&amp;COUNTIF($BA$3:$BA$22,"?*")</f>
        <v>SL nhóm: 0</v>
      </c>
      <c r="B8" s="50"/>
      <c r="C8" s="60" t="str">
        <f>"Chính đạt: "&amp;COUNTIFS($BB$3:$BB$22,"Chính",$BG$3:$BG$22,"&gt;=0.995")&amp;"/"&amp;$BK$1</f>
        <v>Chính đạt: 0/0</v>
      </c>
      <c r="D8" s="50"/>
      <c r="E8" s="60" t="str">
        <f>"Vượt trội: "&amp;COUNTIFS($BB$3:$BB$22,"Vượt trội",$BG$3:$BG$22,"&gt;=0.995")&amp;"/"&amp;$BL$1</f>
        <v>Vượt trội: 0/0</v>
      </c>
      <c r="F8" s="50"/>
      <c r="H8" s="29" t="str">
        <f t="shared" si="2"/>
        <v/>
      </c>
      <c r="I8" s="12" t="str">
        <f>IF($AX8=0,"Nhân viên",IF($AX8=1,INDEX(Tính!$F$39:$F$83,INDEX($CD$3:$CD$47,$AY8))&amp;" · "&amp;INDEX(Tính!$O$39:$O$83,INDEX($CD$3:$CD$47,$AY8)),IF($AX8=3,"Nhóm hàng",IF($AX8=4,INDEX($BA$3:$BA$22,INDEX($BJ$3:$BJ$22,$AY8)),IF($AX8=5,"Số nhóm đạt",IF($AX8=7,"NHÓM CHÍNH",IF($AX8=8,"NHÓM VƯỢT TRỘI","")))))))</f>
        <v/>
      </c>
      <c r="J8" s="30" t="str">
        <f>IF($AX8=0,"Mục tiêu",IF($AX8=1,FIXED(INDEX(Tính!$J$39:$J$83,INDEX($CD$3:$CD$47,$AY8)),0),IF($AX8=3,"Cả shop",IF($AX8=4,INDEX($BG$3:$BG$22,INDEX($BJ$3:$BJ$22,$AY8)),IF($AX8=5,COUNTIF($BG$3:$BG$22,"&gt;=0.995")&amp;"/"&amp;COUNTIF($BA$3:$BA$22,"?*"),IF($AX8=7,COUNTIFS($BB$3:$BB$22,"Chính",$BG$3:$BG$22,"&gt;=0.995")&amp;"/"&amp;$BK$1,IF($AX8=8,COUNTIFS($BB$3:$BB$22,"Vượt trội",$BG$3:$BG$22,"&gt;=0.995")&amp;"/"&amp;$BL$1,"")))))))</f>
        <v/>
      </c>
      <c r="K8" s="30" t="str">
        <f>IF($AX8=0,"DT QĐ",IF($AX8=1,FIXED(INDEX(Tính!$K$39:$K$83,INDEX($CD$3:$CD$47,$AY8)),1),IF($AX8=3,IF($CD$3="","",INDEX(Tính!$F$39:$F$83,$CD$3)),IF($AX8=4,IF($CD$3="","",INDEX(Tính!$C$182:$V$226,$CD$3,INDEX($BJ$3:$BJ$22,$AY8))),IF($AX8=5,IF($CD$3="","",INDEX(Tính!$P$39:$P$83,$CD$3)&amp;"/"&amp;COUNTIF($BA$3:$BA$22,"?*")),IF($AX8=7,IF($CD$3="","",INDEX(Tính!$Q$39:$Q$83,$CD$3)&amp;"/"&amp;$BK$1),IF($AX8=8,IF($CD$3="","",INDEX(Tính!$R$39:$R$83,$CD$3)&amp;"/"&amp;$BL$1),"")))))))</f>
        <v/>
      </c>
      <c r="L8" s="31" t="str">
        <f>IF($AX8=0,"% HT",IF($AX8=1,INDEX(Tính!$N$39:$N$83,INDEX($CD$3:$CD$47,$AY8)),IF($AX8=3,IF($CD$4="","",INDEX(Tính!$F$39:$F$83,$CD$4)),IF($AX8=4,IF($CD$4="","",INDEX(Tính!$C$182:$V$226,$CD$4,INDEX($BJ$3:$BJ$22,$AY8))),IF($AX8=5,IF($CD$4="","",INDEX(Tính!$P$39:$P$83,$CD$4)&amp;"/"&amp;COUNTIF($BA$3:$BA$22,"?*")),IF($AX8=7,IF($CD$4="","",INDEX(Tính!$Q$39:$Q$83,$CD$4)&amp;"/"&amp;$BK$1),IF($AX8=8,IF($CD$4="","",INDEX(Tính!$R$39:$R$83,$CD$4)&amp;"/"&amp;$BL$1),"")))))))</f>
        <v/>
      </c>
      <c r="M8" s="31" t="str">
        <f>IF($AX8=0,"Dự kiến",IF($AX8=1,INDEX(Tính!$M$39:$M$83,INDEX($CD$3:$CD$47,$AY8)),IF($AX8=3,IF($CD$5="","",INDEX(Tính!$F$39:$F$83,$CD$5)),IF($AX8=4,IF($CD$5="","",INDEX(Tính!$C$182:$V$226,$CD$5,INDEX($BJ$3:$BJ$22,$AY8))),IF($AX8=5,IF($CD$5="","",INDEX(Tính!$P$39:$P$83,$CD$5)&amp;"/"&amp;COUNTIF($BA$3:$BA$22,"?*")),IF($AX8=7,IF($CD$5="","",INDEX(Tính!$Q$39:$Q$83,$CD$5)&amp;"/"&amp;$BK$1),IF($AX8=8,IF($CD$5="","",INDEX(Tính!$R$39:$R$83,$CD$5)&amp;"/"&amp;$BL$1),"")))))))</f>
        <v/>
      </c>
      <c r="N8" s="31" t="str">
        <f>IF($AX8=0,"NH đạt",IF($AX8=1,INDEX(Tính!$P$39:$P$83,INDEX($CD$3:$CD$47,$AY8))&amp;"/"&amp;COUNTIF($BA$3:$BA$22,"?*"),IF($AX8=3,IF($CD$6="","",INDEX(Tính!$F$39:$F$83,$CD$6)),IF($AX8=4,IF($CD$6="","",INDEX(Tính!$C$182:$V$226,$CD$6,INDEX($BJ$3:$BJ$22,$AY8))),IF($AX8=5,IF($CD$6="","",INDEX(Tính!$P$39:$P$83,$CD$6)&amp;"/"&amp;COUNTIF($BA$3:$BA$22,"?*")),IF($AX8=7,IF($CD$6="","",INDEX(Tính!$Q$39:$Q$83,$CD$6)&amp;"/"&amp;$BK$1),IF($AX8=8,IF($CD$6="","",INDEX(Tính!$R$39:$R$83,$CD$6)&amp;"/"&amp;$BL$1),"")))))))</f>
        <v/>
      </c>
      <c r="O8" s="31" t="str">
        <f>IF($AX8=3,IF($CD$7="","",INDEX(Tính!$F$39:$F$83,$CD$7)),IF($AX8=4,IF($CD$7="","",INDEX(Tính!$C$182:$V$226,$CD$7,INDEX($BJ$3:$BJ$22,$AY8))),IF($AX8=5,IF($CD$7="","",INDEX(Tính!$P$39:$P$83,$CD$7)&amp;"/"&amp;COUNTIF($BA$3:$BA$22,"?*")),IF($AX8=7,IF($CD$7="","",INDEX(Tính!$Q$39:$Q$83,$CD$7)&amp;"/"&amp;$BK$1),IF($AX8=8,IF($CD$7="","",INDEX(Tính!$R$39:$R$83,$CD$7)&amp;"/"&amp;$BL$1),"")))))</f>
        <v/>
      </c>
      <c r="P8" s="31" t="str">
        <f>IF($AX8=3,IF($CD$8="","",INDEX(Tính!$F$39:$F$83,$CD$8)),IF($AX8=4,IF($CD$8="","",INDEX(Tính!$C$182:$V$226,$CD$8,INDEX($BJ$3:$BJ$22,$AY8))),IF($AX8=5,IF($CD$8="","",INDEX(Tính!$P$39:$P$83,$CD$8)&amp;"/"&amp;COUNTIF($BA$3:$BA$22,"?*")),IF($AX8=7,IF($CD$8="","",INDEX(Tính!$Q$39:$Q$83,$CD$8)&amp;"/"&amp;$BK$1),IF($AX8=8,IF($CD$8="","",INDEX(Tính!$R$39:$R$83,$CD$8)&amp;"/"&amp;$BL$1),"")))))</f>
        <v/>
      </c>
      <c r="Q8" s="31" t="str">
        <f>IF($AX8=3,IF($CD$9="","",INDEX(Tính!$F$39:$F$83,$CD$9)),IF($AX8=4,IF($CD$9="","",INDEX(Tính!$C$182:$V$226,$CD$9,INDEX($BJ$3:$BJ$22,$AY8))),IF($AX8=5,IF($CD$9="","",INDEX(Tính!$P$39:$P$83,$CD$9)&amp;"/"&amp;COUNTIF($BA$3:$BA$22,"?*")),IF($AX8=7,IF($CD$9="","",INDEX(Tính!$Q$39:$Q$83,$CD$9)&amp;"/"&amp;$BK$1),IF($AX8=8,IF($CD$9="","",INDEX(Tính!$R$39:$R$83,$CD$9)&amp;"/"&amp;$BL$1),"")))))</f>
        <v/>
      </c>
      <c r="R8" s="31" t="str">
        <f>IF($AX8=3,IF($CD$10="","",INDEX(Tính!$F$39:$F$83,$CD$10)),IF($AX8=4,IF($CD$10="","",INDEX(Tính!$C$182:$V$226,$CD$10,INDEX($BJ$3:$BJ$22,$AY8))),IF($AX8=5,IF($CD$10="","",INDEX(Tính!$P$39:$P$83,$CD$10)&amp;"/"&amp;COUNTIF($BA$3:$BA$22,"?*")),IF($AX8=7,IF($CD$10="","",INDEX(Tính!$Q$39:$Q$83,$CD$10)&amp;"/"&amp;$BK$1),IF($AX8=8,IF($CD$10="","",INDEX(Tính!$R$39:$R$83,$CD$10)&amp;"/"&amp;$BL$1),"")))))</f>
        <v/>
      </c>
      <c r="S8" s="31" t="str">
        <f>IF($AX8=3,IF($CD$11="","",INDEX(Tính!$F$39:$F$83,$CD$11)),IF($AX8=4,IF($CD$11="","",INDEX(Tính!$C$182:$V$226,$CD$11,INDEX($BJ$3:$BJ$22,$AY8))),IF($AX8=5,IF($CD$11="","",INDEX(Tính!$P$39:$P$83,$CD$11)&amp;"/"&amp;COUNTIF($BA$3:$BA$22,"?*")),IF($AX8=7,IF($CD$11="","",INDEX(Tính!$Q$39:$Q$83,$CD$11)&amp;"/"&amp;$BK$1),IF($AX8=8,IF($CD$11="","",INDEX(Tính!$R$39:$R$83,$CD$11)&amp;"/"&amp;$BL$1),"")))))</f>
        <v/>
      </c>
      <c r="T8" s="31" t="str">
        <f>IF($AX8=3,IF($CD$12="","",INDEX(Tính!$F$39:$F$83,$CD$12)),IF($AX8=4,IF($CD$12="","",INDEX(Tính!$C$182:$V$226,$CD$12,INDEX($BJ$3:$BJ$22,$AY8))),IF($AX8=5,IF($CD$12="","",INDEX(Tính!$P$39:$P$83,$CD$12)&amp;"/"&amp;COUNTIF($BA$3:$BA$22,"?*")),IF($AX8=7,IF($CD$12="","",INDEX(Tính!$Q$39:$Q$83,$CD$12)&amp;"/"&amp;$BK$1),IF($AX8=8,IF($CD$12="","",INDEX(Tính!$R$39:$R$83,$CD$12)&amp;"/"&amp;$BL$1),"")))))</f>
        <v/>
      </c>
      <c r="U8" s="31" t="str">
        <f>IF($AX8=3,IF($CD$13="","",INDEX(Tính!$F$39:$F$83,$CD$13)),IF($AX8=4,IF($CD$13="","",INDEX(Tính!$C$182:$V$226,$CD$13,INDEX($BJ$3:$BJ$22,$AY8))),IF($AX8=5,IF($CD$13="","",INDEX(Tính!$P$39:$P$83,$CD$13)&amp;"/"&amp;COUNTIF($BA$3:$BA$22,"?*")),IF($AX8=7,IF($CD$13="","",INDEX(Tính!$Q$39:$Q$83,$CD$13)&amp;"/"&amp;$BK$1),IF($AX8=8,IF($CD$13="","",INDEX(Tính!$R$39:$R$83,$CD$13)&amp;"/"&amp;$BL$1),"")))))</f>
        <v/>
      </c>
      <c r="V8" s="31" t="str">
        <f>IF($AX8=3,IF($CD$14="","",INDEX(Tính!$F$39:$F$83,$CD$14)),IF($AX8=4,IF($CD$14="","",INDEX(Tính!$C$182:$V$226,$CD$14,INDEX($BJ$3:$BJ$22,$AY8))),IF($AX8=5,IF($CD$14="","",INDEX(Tính!$P$39:$P$83,$CD$14)&amp;"/"&amp;COUNTIF($BA$3:$BA$22,"?*")),IF($AX8=7,IF($CD$14="","",INDEX(Tính!$Q$39:$Q$83,$CD$14)&amp;"/"&amp;$BK$1),IF($AX8=8,IF($CD$14="","",INDEX(Tính!$R$39:$R$83,$CD$14)&amp;"/"&amp;$BL$1),"")))))</f>
        <v/>
      </c>
      <c r="W8" s="31" t="str">
        <f>IF($AX8=3,IF($CD$15="","",INDEX(Tính!$F$39:$F$83,$CD$15)),IF($AX8=4,IF($CD$15="","",INDEX(Tính!$C$182:$V$226,$CD$15,INDEX($BJ$3:$BJ$22,$AY8))),IF($AX8=5,IF($CD$15="","",INDEX(Tính!$P$39:$P$83,$CD$15)&amp;"/"&amp;COUNTIF($BA$3:$BA$22,"?*")),IF($AX8=7,IF($CD$15="","",INDEX(Tính!$Q$39:$Q$83,$CD$15)&amp;"/"&amp;$BK$1),IF($AX8=8,IF($CD$15="","",INDEX(Tính!$R$39:$R$83,$CD$15)&amp;"/"&amp;$BL$1),"")))))</f>
        <v/>
      </c>
      <c r="X8" s="31" t="str">
        <f>IF($AX8=3,IF($CD$16="","",INDEX(Tính!$F$39:$F$83,$CD$16)),IF($AX8=4,IF($CD$16="","",INDEX(Tính!$C$182:$V$226,$CD$16,INDEX($BJ$3:$BJ$22,$AY8))),IF($AX8=5,IF($CD$16="","",INDEX(Tính!$P$39:$P$83,$CD$16)&amp;"/"&amp;COUNTIF($BA$3:$BA$22,"?*")),IF($AX8=7,IF($CD$16="","",INDEX(Tính!$Q$39:$Q$83,$CD$16)&amp;"/"&amp;$BK$1),IF($AX8=8,IF($CD$16="","",INDEX(Tính!$R$39:$R$83,$CD$16)&amp;"/"&amp;$BL$1),"")))))</f>
        <v/>
      </c>
      <c r="Y8" s="31" t="str">
        <f>IF($AX8=3,IF($CD$17="","",INDEX(Tính!$F$39:$F$83,$CD$17)),IF($AX8=4,IF($CD$17="","",INDEX(Tính!$C$182:$V$226,$CD$17,INDEX($BJ$3:$BJ$22,$AY8))),IF($AX8=5,IF($CD$17="","",INDEX(Tính!$P$39:$P$83,$CD$17)&amp;"/"&amp;COUNTIF($BA$3:$BA$22,"?*")),IF($AX8=7,IF($CD$17="","",INDEX(Tính!$Q$39:$Q$83,$CD$17)&amp;"/"&amp;$BK$1),IF($AX8=8,IF($CD$17="","",INDEX(Tính!$R$39:$R$83,$CD$17)&amp;"/"&amp;$BL$1),"")))))</f>
        <v/>
      </c>
      <c r="Z8" s="31" t="str">
        <f>IF($AX8=3,IF($CD$18="","",INDEX(Tính!$F$39:$F$83,$CD$18)),IF($AX8=4,IF($CD$18="","",INDEX(Tính!$C$182:$V$226,$CD$18,INDEX($BJ$3:$BJ$22,$AY8))),IF($AX8=5,IF($CD$18="","",INDEX(Tính!$P$39:$P$83,$CD$18)&amp;"/"&amp;COUNTIF($BA$3:$BA$22,"?*")),IF($AX8=7,IF($CD$18="","",INDEX(Tính!$Q$39:$Q$83,$CD$18)&amp;"/"&amp;$BK$1),IF($AX8=8,IF($CD$18="","",INDEX(Tính!$R$39:$R$83,$CD$18)&amp;"/"&amp;$BL$1),"")))))</f>
        <v/>
      </c>
      <c r="AA8" s="31" t="str">
        <f>IF($AX8=3,IF($CD$19="","",INDEX(Tính!$F$39:$F$83,$CD$19)),IF($AX8=4,IF($CD$19="","",INDEX(Tính!$C$182:$V$226,$CD$19,INDEX($BJ$3:$BJ$22,$AY8))),IF($AX8=5,IF($CD$19="","",INDEX(Tính!$P$39:$P$83,$CD$19)&amp;"/"&amp;COUNTIF($BA$3:$BA$22,"?*")),IF($AX8=7,IF($CD$19="","",INDEX(Tính!$Q$39:$Q$83,$CD$19)&amp;"/"&amp;$BK$1),IF($AX8=8,IF($CD$19="","",INDEX(Tính!$R$39:$R$83,$CD$19)&amp;"/"&amp;$BL$1),"")))))</f>
        <v/>
      </c>
      <c r="AB8" s="31" t="str">
        <f>IF($AX8=3,IF($CD$20="","",INDEX(Tính!$F$39:$F$83,$CD$20)),IF($AX8=4,IF($CD$20="","",INDEX(Tính!$C$182:$V$226,$CD$20,INDEX($BJ$3:$BJ$22,$AY8))),IF($AX8=5,IF($CD$20="","",INDEX(Tính!$P$39:$P$83,$CD$20)&amp;"/"&amp;COUNTIF($BA$3:$BA$22,"?*")),IF($AX8=7,IF($CD$20="","",INDEX(Tính!$Q$39:$Q$83,$CD$20)&amp;"/"&amp;$BK$1),IF($AX8=8,IF($CD$20="","",INDEX(Tính!$R$39:$R$83,$CD$20)&amp;"/"&amp;$BL$1),"")))))</f>
        <v/>
      </c>
      <c r="AC8" s="31" t="str">
        <f>IF($AX8=3,IF($CD$21="","",INDEX(Tính!$F$39:$F$83,$CD$21)),IF($AX8=4,IF($CD$21="","",INDEX(Tính!$C$182:$V$226,$CD$21,INDEX($BJ$3:$BJ$22,$AY8))),IF($AX8=5,IF($CD$21="","",INDEX(Tính!$P$39:$P$83,$CD$21)&amp;"/"&amp;COUNTIF($BA$3:$BA$22,"?*")),IF($AX8=7,IF($CD$21="","",INDEX(Tính!$Q$39:$Q$83,$CD$21)&amp;"/"&amp;$BK$1),IF($AX8=8,IF($CD$21="","",INDEX(Tính!$R$39:$R$83,$CD$21)&amp;"/"&amp;$BL$1),"")))))</f>
        <v/>
      </c>
      <c r="AD8" s="31" t="str">
        <f>IF($AX8=3,IF($CD$22="","",INDEX(Tính!$F$39:$F$83,$CD$22)),IF($AX8=4,IF($CD$22="","",INDEX(Tính!$C$182:$V$226,$CD$22,INDEX($BJ$3:$BJ$22,$AY8))),IF($AX8=5,IF($CD$22="","",INDEX(Tính!$P$39:$P$83,$CD$22)&amp;"/"&amp;COUNTIF($BA$3:$BA$22,"?*")),IF($AX8=7,IF($CD$22="","",INDEX(Tính!$Q$39:$Q$83,$CD$22)&amp;"/"&amp;$BK$1),IF($AX8=8,IF($CD$22="","",INDEX(Tính!$R$39:$R$83,$CD$22)&amp;"/"&amp;$BL$1),"")))))</f>
        <v/>
      </c>
      <c r="AX8">
        <f>IF(4=0,0,IF(4&lt;=$AX$1,1,IF(4=$AX$1+1,2,IF(4=$AX$1+2,3,IF((4-$AX$1-2)&lt;=$AX$3,IF(INDEX($BK$3:$BK$24,(4-$AX$1-2))="C",7,IF(INDEX($BK$3:$BK$24,(4-$AX$1-2))="V",8,4)),IF((4-$AX$1-2)=$AX$3+1,5,6))))))</f>
        <v>6</v>
      </c>
      <c r="AY8">
        <f>IF(AX8=1,4,IF(AX8=4,INDEX($BL$3:$BL$24,(4-$AX$1-2)),0))</f>
        <v>0</v>
      </c>
      <c r="BA8" t="str">
        <f>Tính!B8</f>
        <v/>
      </c>
      <c r="BB8" t="str">
        <f>Tính!D8</f>
        <v/>
      </c>
      <c r="BC8">
        <f>IF($AZ$1=0,Tính!$Z$8,CHOOSE($AZ$1,Tính!$G$8,Tính!$L$8,Tính!$Q$8,Tính!$V$8))</f>
        <v>0</v>
      </c>
      <c r="BD8">
        <f>IF($AZ$1=0,Tính!$Y$8,CHOOSE($AZ$1,Tính!$E$8,Tính!$J$8,Tính!$O$8,Tính!$T$8))</f>
        <v>0</v>
      </c>
      <c r="BE8">
        <f>IF($AZ$1=0,Tính!$AB$8,CHOOSE($AZ$1,Tính!$I$8,Tính!$N$8,Tính!$S$8,Tính!$X$8))</f>
        <v>0</v>
      </c>
      <c r="BF8">
        <f>IF($AZ$1=0,Tính!$AA$8,CHOOSE($AZ$1,Tính!$H$8,Tính!$M$8,Tính!$R$8,Tính!$W$8))</f>
        <v>0</v>
      </c>
      <c r="BG8">
        <f t="shared" si="0"/>
        <v>0</v>
      </c>
      <c r="BH8">
        <f t="shared" si="1"/>
        <v>0</v>
      </c>
      <c r="BI8">
        <f>IF(BA8="",-1,IF(BB8="Chính",1000,0)+BG8+(20-6)/100000)</f>
        <v>-1</v>
      </c>
      <c r="BJ8" t="str">
        <f>IF(LARGE($BI$3:$BI$22,6)&lt;0,"",MATCH(LARGE($BI$3:$BI$22,6),$BI$3:$BI$22,0))</f>
        <v/>
      </c>
      <c r="BK8" t="str">
        <f>IF(6=1,IF($BK$1&gt;0,"C",""),IF(6&lt;=$BK$1+1,"g",IF(6=$BK$1+2,IF($BL$1&gt;0,"V",""),IF(6&lt;=$BK$1+2+$BL$1,"g",""))))</f>
        <v/>
      </c>
      <c r="BL8" t="str">
        <f>IF(BK8="g",IF(6&lt;=$BK$1+1,6-1,6-2),"")</f>
        <v/>
      </c>
      <c r="CA8">
        <v>6</v>
      </c>
      <c r="CB8">
        <f>IF(Tính!B44="",0,IF(OR($AZ$1=0,Tính!D44=$AZ$1),1,0))</f>
        <v>0</v>
      </c>
      <c r="CC8">
        <f>IF(CB8=1,Tính!M44+1+(45-6)/1000000,-1)</f>
        <v>-1</v>
      </c>
      <c r="CD8" t="str">
        <f>IF(LARGE($CC$3:$CC$47,6)&lt;0,"",MATCH(LARGE($CC$3:$CC$47,6),$CC$3:$CC$47,0))</f>
        <v/>
      </c>
    </row>
    <row r="9" spans="1:82" x14ac:dyDescent="0.3">
      <c r="A9" s="48" t="s">
        <v>77</v>
      </c>
      <c r="B9" s="50"/>
      <c r="C9" s="4" t="s">
        <v>93</v>
      </c>
      <c r="D9" s="4" t="s">
        <v>65</v>
      </c>
      <c r="E9" s="4" t="s">
        <v>81</v>
      </c>
      <c r="F9" s="4" t="s">
        <v>96</v>
      </c>
      <c r="H9" s="29" t="str">
        <f t="shared" si="2"/>
        <v/>
      </c>
      <c r="I9" s="12" t="str">
        <f>IF($AX9=0,"Nhân viên",IF($AX9=1,INDEX(Tính!$F$39:$F$83,INDEX($CD$3:$CD$47,$AY9))&amp;" · "&amp;INDEX(Tính!$O$39:$O$83,INDEX($CD$3:$CD$47,$AY9)),IF($AX9=3,"Nhóm hàng",IF($AX9=4,INDEX($BA$3:$BA$22,INDEX($BJ$3:$BJ$22,$AY9)),IF($AX9=5,"Số nhóm đạt",IF($AX9=7,"NHÓM CHÍNH",IF($AX9=8,"NHÓM VƯỢT TRỘI","")))))))</f>
        <v/>
      </c>
      <c r="J9" s="30" t="str">
        <f>IF($AX9=0,"Mục tiêu",IF($AX9=1,FIXED(INDEX(Tính!$J$39:$J$83,INDEX($CD$3:$CD$47,$AY9)),0),IF($AX9=3,"Cả shop",IF($AX9=4,INDEX($BG$3:$BG$22,INDEX($BJ$3:$BJ$22,$AY9)),IF($AX9=5,COUNTIF($BG$3:$BG$22,"&gt;=0.995")&amp;"/"&amp;COUNTIF($BA$3:$BA$22,"?*"),IF($AX9=7,COUNTIFS($BB$3:$BB$22,"Chính",$BG$3:$BG$22,"&gt;=0.995")&amp;"/"&amp;$BK$1,IF($AX9=8,COUNTIFS($BB$3:$BB$22,"Vượt trội",$BG$3:$BG$22,"&gt;=0.995")&amp;"/"&amp;$BL$1,"")))))))</f>
        <v/>
      </c>
      <c r="K9" s="30" t="str">
        <f>IF($AX9=0,"DT QĐ",IF($AX9=1,FIXED(INDEX(Tính!$K$39:$K$83,INDEX($CD$3:$CD$47,$AY9)),1),IF($AX9=3,IF($CD$3="","",INDEX(Tính!$F$39:$F$83,$CD$3)),IF($AX9=4,IF($CD$3="","",INDEX(Tính!$C$182:$V$226,$CD$3,INDEX($BJ$3:$BJ$22,$AY9))),IF($AX9=5,IF($CD$3="","",INDEX(Tính!$P$39:$P$83,$CD$3)&amp;"/"&amp;COUNTIF($BA$3:$BA$22,"?*")),IF($AX9=7,IF($CD$3="","",INDEX(Tính!$Q$39:$Q$83,$CD$3)&amp;"/"&amp;$BK$1),IF($AX9=8,IF($CD$3="","",INDEX(Tính!$R$39:$R$83,$CD$3)&amp;"/"&amp;$BL$1),"")))))))</f>
        <v/>
      </c>
      <c r="L9" s="31" t="str">
        <f>IF($AX9=0,"% HT",IF($AX9=1,INDEX(Tính!$N$39:$N$83,INDEX($CD$3:$CD$47,$AY9)),IF($AX9=3,IF($CD$4="","",INDEX(Tính!$F$39:$F$83,$CD$4)),IF($AX9=4,IF($CD$4="","",INDEX(Tính!$C$182:$V$226,$CD$4,INDEX($BJ$3:$BJ$22,$AY9))),IF($AX9=5,IF($CD$4="","",INDEX(Tính!$P$39:$P$83,$CD$4)&amp;"/"&amp;COUNTIF($BA$3:$BA$22,"?*")),IF($AX9=7,IF($CD$4="","",INDEX(Tính!$Q$39:$Q$83,$CD$4)&amp;"/"&amp;$BK$1),IF($AX9=8,IF($CD$4="","",INDEX(Tính!$R$39:$R$83,$CD$4)&amp;"/"&amp;$BL$1),"")))))))</f>
        <v/>
      </c>
      <c r="M9" s="31" t="str">
        <f>IF($AX9=0,"Dự kiến",IF($AX9=1,INDEX(Tính!$M$39:$M$83,INDEX($CD$3:$CD$47,$AY9)),IF($AX9=3,IF($CD$5="","",INDEX(Tính!$F$39:$F$83,$CD$5)),IF($AX9=4,IF($CD$5="","",INDEX(Tính!$C$182:$V$226,$CD$5,INDEX($BJ$3:$BJ$22,$AY9))),IF($AX9=5,IF($CD$5="","",INDEX(Tính!$P$39:$P$83,$CD$5)&amp;"/"&amp;COUNTIF($BA$3:$BA$22,"?*")),IF($AX9=7,IF($CD$5="","",INDEX(Tính!$Q$39:$Q$83,$CD$5)&amp;"/"&amp;$BK$1),IF($AX9=8,IF($CD$5="","",INDEX(Tính!$R$39:$R$83,$CD$5)&amp;"/"&amp;$BL$1),"")))))))</f>
        <v/>
      </c>
      <c r="N9" s="31" t="str">
        <f>IF($AX9=0,"NH đạt",IF($AX9=1,INDEX(Tính!$P$39:$P$83,INDEX($CD$3:$CD$47,$AY9))&amp;"/"&amp;COUNTIF($BA$3:$BA$22,"?*"),IF($AX9=3,IF($CD$6="","",INDEX(Tính!$F$39:$F$83,$CD$6)),IF($AX9=4,IF($CD$6="","",INDEX(Tính!$C$182:$V$226,$CD$6,INDEX($BJ$3:$BJ$22,$AY9))),IF($AX9=5,IF($CD$6="","",INDEX(Tính!$P$39:$P$83,$CD$6)&amp;"/"&amp;COUNTIF($BA$3:$BA$22,"?*")),IF($AX9=7,IF($CD$6="","",INDEX(Tính!$Q$39:$Q$83,$CD$6)&amp;"/"&amp;$BK$1),IF($AX9=8,IF($CD$6="","",INDEX(Tính!$R$39:$R$83,$CD$6)&amp;"/"&amp;$BL$1),"")))))))</f>
        <v/>
      </c>
      <c r="O9" s="31" t="str">
        <f>IF($AX9=3,IF($CD$7="","",INDEX(Tính!$F$39:$F$83,$CD$7)),IF($AX9=4,IF($CD$7="","",INDEX(Tính!$C$182:$V$226,$CD$7,INDEX($BJ$3:$BJ$22,$AY9))),IF($AX9=5,IF($CD$7="","",INDEX(Tính!$P$39:$P$83,$CD$7)&amp;"/"&amp;COUNTIF($BA$3:$BA$22,"?*")),IF($AX9=7,IF($CD$7="","",INDEX(Tính!$Q$39:$Q$83,$CD$7)&amp;"/"&amp;$BK$1),IF($AX9=8,IF($CD$7="","",INDEX(Tính!$R$39:$R$83,$CD$7)&amp;"/"&amp;$BL$1),"")))))</f>
        <v/>
      </c>
      <c r="P9" s="31" t="str">
        <f>IF($AX9=3,IF($CD$8="","",INDEX(Tính!$F$39:$F$83,$CD$8)),IF($AX9=4,IF($CD$8="","",INDEX(Tính!$C$182:$V$226,$CD$8,INDEX($BJ$3:$BJ$22,$AY9))),IF($AX9=5,IF($CD$8="","",INDEX(Tính!$P$39:$P$83,$CD$8)&amp;"/"&amp;COUNTIF($BA$3:$BA$22,"?*")),IF($AX9=7,IF($CD$8="","",INDEX(Tính!$Q$39:$Q$83,$CD$8)&amp;"/"&amp;$BK$1),IF($AX9=8,IF($CD$8="","",INDEX(Tính!$R$39:$R$83,$CD$8)&amp;"/"&amp;$BL$1),"")))))</f>
        <v/>
      </c>
      <c r="Q9" s="31" t="str">
        <f>IF($AX9=3,IF($CD$9="","",INDEX(Tính!$F$39:$F$83,$CD$9)),IF($AX9=4,IF($CD$9="","",INDEX(Tính!$C$182:$V$226,$CD$9,INDEX($BJ$3:$BJ$22,$AY9))),IF($AX9=5,IF($CD$9="","",INDEX(Tính!$P$39:$P$83,$CD$9)&amp;"/"&amp;COUNTIF($BA$3:$BA$22,"?*")),IF($AX9=7,IF($CD$9="","",INDEX(Tính!$Q$39:$Q$83,$CD$9)&amp;"/"&amp;$BK$1),IF($AX9=8,IF($CD$9="","",INDEX(Tính!$R$39:$R$83,$CD$9)&amp;"/"&amp;$BL$1),"")))))</f>
        <v/>
      </c>
      <c r="R9" s="31" t="str">
        <f>IF($AX9=3,IF($CD$10="","",INDEX(Tính!$F$39:$F$83,$CD$10)),IF($AX9=4,IF($CD$10="","",INDEX(Tính!$C$182:$V$226,$CD$10,INDEX($BJ$3:$BJ$22,$AY9))),IF($AX9=5,IF($CD$10="","",INDEX(Tính!$P$39:$P$83,$CD$10)&amp;"/"&amp;COUNTIF($BA$3:$BA$22,"?*")),IF($AX9=7,IF($CD$10="","",INDEX(Tính!$Q$39:$Q$83,$CD$10)&amp;"/"&amp;$BK$1),IF($AX9=8,IF($CD$10="","",INDEX(Tính!$R$39:$R$83,$CD$10)&amp;"/"&amp;$BL$1),"")))))</f>
        <v/>
      </c>
      <c r="S9" s="31" t="str">
        <f>IF($AX9=3,IF($CD$11="","",INDEX(Tính!$F$39:$F$83,$CD$11)),IF($AX9=4,IF($CD$11="","",INDEX(Tính!$C$182:$V$226,$CD$11,INDEX($BJ$3:$BJ$22,$AY9))),IF($AX9=5,IF($CD$11="","",INDEX(Tính!$P$39:$P$83,$CD$11)&amp;"/"&amp;COUNTIF($BA$3:$BA$22,"?*")),IF($AX9=7,IF($CD$11="","",INDEX(Tính!$Q$39:$Q$83,$CD$11)&amp;"/"&amp;$BK$1),IF($AX9=8,IF($CD$11="","",INDEX(Tính!$R$39:$R$83,$CD$11)&amp;"/"&amp;$BL$1),"")))))</f>
        <v/>
      </c>
      <c r="T9" s="31" t="str">
        <f>IF($AX9=3,IF($CD$12="","",INDEX(Tính!$F$39:$F$83,$CD$12)),IF($AX9=4,IF($CD$12="","",INDEX(Tính!$C$182:$V$226,$CD$12,INDEX($BJ$3:$BJ$22,$AY9))),IF($AX9=5,IF($CD$12="","",INDEX(Tính!$P$39:$P$83,$CD$12)&amp;"/"&amp;COUNTIF($BA$3:$BA$22,"?*")),IF($AX9=7,IF($CD$12="","",INDEX(Tính!$Q$39:$Q$83,$CD$12)&amp;"/"&amp;$BK$1),IF($AX9=8,IF($CD$12="","",INDEX(Tính!$R$39:$R$83,$CD$12)&amp;"/"&amp;$BL$1),"")))))</f>
        <v/>
      </c>
      <c r="U9" s="31" t="str">
        <f>IF($AX9=3,IF($CD$13="","",INDEX(Tính!$F$39:$F$83,$CD$13)),IF($AX9=4,IF($CD$13="","",INDEX(Tính!$C$182:$V$226,$CD$13,INDEX($BJ$3:$BJ$22,$AY9))),IF($AX9=5,IF($CD$13="","",INDEX(Tính!$P$39:$P$83,$CD$13)&amp;"/"&amp;COUNTIF($BA$3:$BA$22,"?*")),IF($AX9=7,IF($CD$13="","",INDEX(Tính!$Q$39:$Q$83,$CD$13)&amp;"/"&amp;$BK$1),IF($AX9=8,IF($CD$13="","",INDEX(Tính!$R$39:$R$83,$CD$13)&amp;"/"&amp;$BL$1),"")))))</f>
        <v/>
      </c>
      <c r="V9" s="31" t="str">
        <f>IF($AX9=3,IF($CD$14="","",INDEX(Tính!$F$39:$F$83,$CD$14)),IF($AX9=4,IF($CD$14="","",INDEX(Tính!$C$182:$V$226,$CD$14,INDEX($BJ$3:$BJ$22,$AY9))),IF($AX9=5,IF($CD$14="","",INDEX(Tính!$P$39:$P$83,$CD$14)&amp;"/"&amp;COUNTIF($BA$3:$BA$22,"?*")),IF($AX9=7,IF($CD$14="","",INDEX(Tính!$Q$39:$Q$83,$CD$14)&amp;"/"&amp;$BK$1),IF($AX9=8,IF($CD$14="","",INDEX(Tính!$R$39:$R$83,$CD$14)&amp;"/"&amp;$BL$1),"")))))</f>
        <v/>
      </c>
      <c r="W9" s="31" t="str">
        <f>IF($AX9=3,IF($CD$15="","",INDEX(Tính!$F$39:$F$83,$CD$15)),IF($AX9=4,IF($CD$15="","",INDEX(Tính!$C$182:$V$226,$CD$15,INDEX($BJ$3:$BJ$22,$AY9))),IF($AX9=5,IF($CD$15="","",INDEX(Tính!$P$39:$P$83,$CD$15)&amp;"/"&amp;COUNTIF($BA$3:$BA$22,"?*")),IF($AX9=7,IF($CD$15="","",INDEX(Tính!$Q$39:$Q$83,$CD$15)&amp;"/"&amp;$BK$1),IF($AX9=8,IF($CD$15="","",INDEX(Tính!$R$39:$R$83,$CD$15)&amp;"/"&amp;$BL$1),"")))))</f>
        <v/>
      </c>
      <c r="X9" s="31" t="str">
        <f>IF($AX9=3,IF($CD$16="","",INDEX(Tính!$F$39:$F$83,$CD$16)),IF($AX9=4,IF($CD$16="","",INDEX(Tính!$C$182:$V$226,$CD$16,INDEX($BJ$3:$BJ$22,$AY9))),IF($AX9=5,IF($CD$16="","",INDEX(Tính!$P$39:$P$83,$CD$16)&amp;"/"&amp;COUNTIF($BA$3:$BA$22,"?*")),IF($AX9=7,IF($CD$16="","",INDEX(Tính!$Q$39:$Q$83,$CD$16)&amp;"/"&amp;$BK$1),IF($AX9=8,IF($CD$16="","",INDEX(Tính!$R$39:$R$83,$CD$16)&amp;"/"&amp;$BL$1),"")))))</f>
        <v/>
      </c>
      <c r="Y9" s="31" t="str">
        <f>IF($AX9=3,IF($CD$17="","",INDEX(Tính!$F$39:$F$83,$CD$17)),IF($AX9=4,IF($CD$17="","",INDEX(Tính!$C$182:$V$226,$CD$17,INDEX($BJ$3:$BJ$22,$AY9))),IF($AX9=5,IF($CD$17="","",INDEX(Tính!$P$39:$P$83,$CD$17)&amp;"/"&amp;COUNTIF($BA$3:$BA$22,"?*")),IF($AX9=7,IF($CD$17="","",INDEX(Tính!$Q$39:$Q$83,$CD$17)&amp;"/"&amp;$BK$1),IF($AX9=8,IF($CD$17="","",INDEX(Tính!$R$39:$R$83,$CD$17)&amp;"/"&amp;$BL$1),"")))))</f>
        <v/>
      </c>
      <c r="Z9" s="31" t="str">
        <f>IF($AX9=3,IF($CD$18="","",INDEX(Tính!$F$39:$F$83,$CD$18)),IF($AX9=4,IF($CD$18="","",INDEX(Tính!$C$182:$V$226,$CD$18,INDEX($BJ$3:$BJ$22,$AY9))),IF($AX9=5,IF($CD$18="","",INDEX(Tính!$P$39:$P$83,$CD$18)&amp;"/"&amp;COUNTIF($BA$3:$BA$22,"?*")),IF($AX9=7,IF($CD$18="","",INDEX(Tính!$Q$39:$Q$83,$CD$18)&amp;"/"&amp;$BK$1),IF($AX9=8,IF($CD$18="","",INDEX(Tính!$R$39:$R$83,$CD$18)&amp;"/"&amp;$BL$1),"")))))</f>
        <v/>
      </c>
      <c r="AA9" s="31" t="str">
        <f>IF($AX9=3,IF($CD$19="","",INDEX(Tính!$F$39:$F$83,$CD$19)),IF($AX9=4,IF($CD$19="","",INDEX(Tính!$C$182:$V$226,$CD$19,INDEX($BJ$3:$BJ$22,$AY9))),IF($AX9=5,IF($CD$19="","",INDEX(Tính!$P$39:$P$83,$CD$19)&amp;"/"&amp;COUNTIF($BA$3:$BA$22,"?*")),IF($AX9=7,IF($CD$19="","",INDEX(Tính!$Q$39:$Q$83,$CD$19)&amp;"/"&amp;$BK$1),IF($AX9=8,IF($CD$19="","",INDEX(Tính!$R$39:$R$83,$CD$19)&amp;"/"&amp;$BL$1),"")))))</f>
        <v/>
      </c>
      <c r="AB9" s="31" t="str">
        <f>IF($AX9=3,IF($CD$20="","",INDEX(Tính!$F$39:$F$83,$CD$20)),IF($AX9=4,IF($CD$20="","",INDEX(Tính!$C$182:$V$226,$CD$20,INDEX($BJ$3:$BJ$22,$AY9))),IF($AX9=5,IF($CD$20="","",INDEX(Tính!$P$39:$P$83,$CD$20)&amp;"/"&amp;COUNTIF($BA$3:$BA$22,"?*")),IF($AX9=7,IF($CD$20="","",INDEX(Tính!$Q$39:$Q$83,$CD$20)&amp;"/"&amp;$BK$1),IF($AX9=8,IF($CD$20="","",INDEX(Tính!$R$39:$R$83,$CD$20)&amp;"/"&amp;$BL$1),"")))))</f>
        <v/>
      </c>
      <c r="AC9" s="31" t="str">
        <f>IF($AX9=3,IF($CD$21="","",INDEX(Tính!$F$39:$F$83,$CD$21)),IF($AX9=4,IF($CD$21="","",INDEX(Tính!$C$182:$V$226,$CD$21,INDEX($BJ$3:$BJ$22,$AY9))),IF($AX9=5,IF($CD$21="","",INDEX(Tính!$P$39:$P$83,$CD$21)&amp;"/"&amp;COUNTIF($BA$3:$BA$22,"?*")),IF($AX9=7,IF($CD$21="","",INDEX(Tính!$Q$39:$Q$83,$CD$21)&amp;"/"&amp;$BK$1),IF($AX9=8,IF($CD$21="","",INDEX(Tính!$R$39:$R$83,$CD$21)&amp;"/"&amp;$BL$1),"")))))</f>
        <v/>
      </c>
      <c r="AD9" s="31" t="str">
        <f>IF($AX9=3,IF($CD$22="","",INDEX(Tính!$F$39:$F$83,$CD$22)),IF($AX9=4,IF($CD$22="","",INDEX(Tính!$C$182:$V$226,$CD$22,INDEX($BJ$3:$BJ$22,$AY9))),IF($AX9=5,IF($CD$22="","",INDEX(Tính!$P$39:$P$83,$CD$22)&amp;"/"&amp;COUNTIF($BA$3:$BA$22,"?*")),IF($AX9=7,IF($CD$22="","",INDEX(Tính!$Q$39:$Q$83,$CD$22)&amp;"/"&amp;$BK$1),IF($AX9=8,IF($CD$22="","",INDEX(Tính!$R$39:$R$83,$CD$22)&amp;"/"&amp;$BL$1),"")))))</f>
        <v/>
      </c>
      <c r="AX9">
        <f>IF(5=0,0,IF(5&lt;=$AX$1,1,IF(5=$AX$1+1,2,IF(5=$AX$1+2,3,IF((5-$AX$1-2)&lt;=$AX$3,IF(INDEX($BK$3:$BK$24,(5-$AX$1-2))="C",7,IF(INDEX($BK$3:$BK$24,(5-$AX$1-2))="V",8,4)),IF((5-$AX$1-2)=$AX$3+1,5,6))))))</f>
        <v>6</v>
      </c>
      <c r="AY9">
        <f>IF(AX9=1,5,IF(AX9=4,INDEX($BL$3:$BL$24,(5-$AX$1-2)),0))</f>
        <v>0</v>
      </c>
      <c r="BA9" t="str">
        <f>Tính!B9</f>
        <v/>
      </c>
      <c r="BB9" t="str">
        <f>Tính!D9</f>
        <v/>
      </c>
      <c r="BC9">
        <f>IF($AZ$1=0,Tính!$Z$9,CHOOSE($AZ$1,Tính!$G$9,Tính!$L$9,Tính!$Q$9,Tính!$V$9))</f>
        <v>0</v>
      </c>
      <c r="BD9">
        <f>IF($AZ$1=0,Tính!$Y$9,CHOOSE($AZ$1,Tính!$E$9,Tính!$J$9,Tính!$O$9,Tính!$T$9))</f>
        <v>0</v>
      </c>
      <c r="BE9">
        <f>IF($AZ$1=0,Tính!$AB$9,CHOOSE($AZ$1,Tính!$I$9,Tính!$N$9,Tính!$S$9,Tính!$X$9))</f>
        <v>0</v>
      </c>
      <c r="BF9">
        <f>IF($AZ$1=0,Tính!$AA$9,CHOOSE($AZ$1,Tính!$H$9,Tính!$M$9,Tính!$R$9,Tính!$W$9))</f>
        <v>0</v>
      </c>
      <c r="BG9">
        <f t="shared" si="0"/>
        <v>0</v>
      </c>
      <c r="BH9">
        <f t="shared" si="1"/>
        <v>0</v>
      </c>
      <c r="BI9">
        <f>IF(BA9="",-1,IF(BB9="Chính",1000,0)+BG9+(20-7)/100000)</f>
        <v>-1</v>
      </c>
      <c r="BJ9" t="str">
        <f>IF(LARGE($BI$3:$BI$22,7)&lt;0,"",MATCH(LARGE($BI$3:$BI$22,7),$BI$3:$BI$22,0))</f>
        <v/>
      </c>
      <c r="BK9" t="str">
        <f>IF(7=1,IF($BK$1&gt;0,"C",""),IF(7&lt;=$BK$1+1,"g",IF(7=$BK$1+2,IF($BL$1&gt;0,"V",""),IF(7&lt;=$BK$1+2+$BL$1,"g",""))))</f>
        <v/>
      </c>
      <c r="BL9" t="str">
        <f>IF(BK9="g",IF(7&lt;=$BK$1+1,7-1,7-2),"")</f>
        <v/>
      </c>
      <c r="CA9">
        <v>7</v>
      </c>
      <c r="CB9">
        <f>IF(Tính!B45="",0,IF(OR($AZ$1=0,Tính!D45=$AZ$1),1,0))</f>
        <v>0</v>
      </c>
      <c r="CC9">
        <f>IF(CB9=1,Tính!M45+1+(45-7)/1000000,-1)</f>
        <v>-1</v>
      </c>
      <c r="CD9" t="str">
        <f>IF(LARGE($CC$3:$CC$47,7)&lt;0,"",MATCH(LARGE($CC$3:$CC$47,7),$CC$3:$CC$47,0))</f>
        <v/>
      </c>
    </row>
    <row r="10" spans="1:82" x14ac:dyDescent="0.3">
      <c r="A10" s="54" t="str">
        <f>IF($BK$3="C","NHÓM CHÍNH",IF($BK$3="V","NHÓM VƯỢT TRỘI",IF($BL$3="","",INDEX($BA$3:$BA$22,INDEX($BJ$3:$BJ$22,$BL$3)))))</f>
        <v/>
      </c>
      <c r="B10" s="52"/>
      <c r="C10" s="26" t="str">
        <f>IF($BL$3="","",INDEX($BC$3:$BC$22,INDEX($BJ$3:$BJ$22,$BL$3)))</f>
        <v/>
      </c>
      <c r="D10" s="26" t="str">
        <f>IF($BL$3="","",INDEX($BD$3:$BD$22,INDEX($BJ$3:$BJ$22,$BL$3)))</f>
        <v/>
      </c>
      <c r="E10" s="27" t="str">
        <f>IF($BL$3="","",IF(C10&gt;0,D10/C10,1))</f>
        <v/>
      </c>
      <c r="F10" s="27" t="str">
        <f>IF($BK$3="C",COUNTIFS($BB$3:$BB$22,"Chính",$BG$3:$BG$22,"&gt;=0.995")&amp;"/"&amp;$BK$1,IF($BK$3="V",COUNTIFS($BB$3:$BB$22,"Vượt trội",$BG$3:$BG$22,"&gt;=0.995")&amp;"/"&amp;$BL$1,IF($BL$3="","",INDEX($BG$3:$BG$22,INDEX($BJ$3:$BJ$22,$BL$3)))))</f>
        <v/>
      </c>
      <c r="H10" s="29" t="str">
        <f t="shared" si="2"/>
        <v/>
      </c>
      <c r="I10" s="12" t="str">
        <f>IF($AX10=0,"Nhân viên",IF($AX10=1,INDEX(Tính!$F$39:$F$83,INDEX($CD$3:$CD$47,$AY10))&amp;" · "&amp;INDEX(Tính!$O$39:$O$83,INDEX($CD$3:$CD$47,$AY10)),IF($AX10=3,"Nhóm hàng",IF($AX10=4,INDEX($BA$3:$BA$22,INDEX($BJ$3:$BJ$22,$AY10)),IF($AX10=5,"Số nhóm đạt",IF($AX10=7,"NHÓM CHÍNH",IF($AX10=8,"NHÓM VƯỢT TRỘI","")))))))</f>
        <v/>
      </c>
      <c r="J10" s="30" t="str">
        <f>IF($AX10=0,"Mục tiêu",IF($AX10=1,FIXED(INDEX(Tính!$J$39:$J$83,INDEX($CD$3:$CD$47,$AY10)),0),IF($AX10=3,"Cả shop",IF($AX10=4,INDEX($BG$3:$BG$22,INDEX($BJ$3:$BJ$22,$AY10)),IF($AX10=5,COUNTIF($BG$3:$BG$22,"&gt;=0.995")&amp;"/"&amp;COUNTIF($BA$3:$BA$22,"?*"),IF($AX10=7,COUNTIFS($BB$3:$BB$22,"Chính",$BG$3:$BG$22,"&gt;=0.995")&amp;"/"&amp;$BK$1,IF($AX10=8,COUNTIFS($BB$3:$BB$22,"Vượt trội",$BG$3:$BG$22,"&gt;=0.995")&amp;"/"&amp;$BL$1,"")))))))</f>
        <v/>
      </c>
      <c r="K10" s="30" t="str">
        <f>IF($AX10=0,"DT QĐ",IF($AX10=1,FIXED(INDEX(Tính!$K$39:$K$83,INDEX($CD$3:$CD$47,$AY10)),1),IF($AX10=3,IF($CD$3="","",INDEX(Tính!$F$39:$F$83,$CD$3)),IF($AX10=4,IF($CD$3="","",INDEX(Tính!$C$182:$V$226,$CD$3,INDEX($BJ$3:$BJ$22,$AY10))),IF($AX10=5,IF($CD$3="","",INDEX(Tính!$P$39:$P$83,$CD$3)&amp;"/"&amp;COUNTIF($BA$3:$BA$22,"?*")),IF($AX10=7,IF($CD$3="","",INDEX(Tính!$Q$39:$Q$83,$CD$3)&amp;"/"&amp;$BK$1),IF($AX10=8,IF($CD$3="","",INDEX(Tính!$R$39:$R$83,$CD$3)&amp;"/"&amp;$BL$1),"")))))))</f>
        <v/>
      </c>
      <c r="L10" s="31" t="str">
        <f>IF($AX10=0,"% HT",IF($AX10=1,INDEX(Tính!$N$39:$N$83,INDEX($CD$3:$CD$47,$AY10)),IF($AX10=3,IF($CD$4="","",INDEX(Tính!$F$39:$F$83,$CD$4)),IF($AX10=4,IF($CD$4="","",INDEX(Tính!$C$182:$V$226,$CD$4,INDEX($BJ$3:$BJ$22,$AY10))),IF($AX10=5,IF($CD$4="","",INDEX(Tính!$P$39:$P$83,$CD$4)&amp;"/"&amp;COUNTIF($BA$3:$BA$22,"?*")),IF($AX10=7,IF($CD$4="","",INDEX(Tính!$Q$39:$Q$83,$CD$4)&amp;"/"&amp;$BK$1),IF($AX10=8,IF($CD$4="","",INDEX(Tính!$R$39:$R$83,$CD$4)&amp;"/"&amp;$BL$1),"")))))))</f>
        <v/>
      </c>
      <c r="M10" s="31" t="str">
        <f>IF($AX10=0,"Dự kiến",IF($AX10=1,INDEX(Tính!$M$39:$M$83,INDEX($CD$3:$CD$47,$AY10)),IF($AX10=3,IF($CD$5="","",INDEX(Tính!$F$39:$F$83,$CD$5)),IF($AX10=4,IF($CD$5="","",INDEX(Tính!$C$182:$V$226,$CD$5,INDEX($BJ$3:$BJ$22,$AY10))),IF($AX10=5,IF($CD$5="","",INDEX(Tính!$P$39:$P$83,$CD$5)&amp;"/"&amp;COUNTIF($BA$3:$BA$22,"?*")),IF($AX10=7,IF($CD$5="","",INDEX(Tính!$Q$39:$Q$83,$CD$5)&amp;"/"&amp;$BK$1),IF($AX10=8,IF($CD$5="","",INDEX(Tính!$R$39:$R$83,$CD$5)&amp;"/"&amp;$BL$1),"")))))))</f>
        <v/>
      </c>
      <c r="N10" s="31" t="str">
        <f>IF($AX10=0,"NH đạt",IF($AX10=1,INDEX(Tính!$P$39:$P$83,INDEX($CD$3:$CD$47,$AY10))&amp;"/"&amp;COUNTIF($BA$3:$BA$22,"?*"),IF($AX10=3,IF($CD$6="","",INDEX(Tính!$F$39:$F$83,$CD$6)),IF($AX10=4,IF($CD$6="","",INDEX(Tính!$C$182:$V$226,$CD$6,INDEX($BJ$3:$BJ$22,$AY10))),IF($AX10=5,IF($CD$6="","",INDEX(Tính!$P$39:$P$83,$CD$6)&amp;"/"&amp;COUNTIF($BA$3:$BA$22,"?*")),IF($AX10=7,IF($CD$6="","",INDEX(Tính!$Q$39:$Q$83,$CD$6)&amp;"/"&amp;$BK$1),IF($AX10=8,IF($CD$6="","",INDEX(Tính!$R$39:$R$83,$CD$6)&amp;"/"&amp;$BL$1),"")))))))</f>
        <v/>
      </c>
      <c r="O10" s="31" t="str">
        <f>IF($AX10=3,IF($CD$7="","",INDEX(Tính!$F$39:$F$83,$CD$7)),IF($AX10=4,IF($CD$7="","",INDEX(Tính!$C$182:$V$226,$CD$7,INDEX($BJ$3:$BJ$22,$AY10))),IF($AX10=5,IF($CD$7="","",INDEX(Tính!$P$39:$P$83,$CD$7)&amp;"/"&amp;COUNTIF($BA$3:$BA$22,"?*")),IF($AX10=7,IF($CD$7="","",INDEX(Tính!$Q$39:$Q$83,$CD$7)&amp;"/"&amp;$BK$1),IF($AX10=8,IF($CD$7="","",INDEX(Tính!$R$39:$R$83,$CD$7)&amp;"/"&amp;$BL$1),"")))))</f>
        <v/>
      </c>
      <c r="P10" s="31" t="str">
        <f>IF($AX10=3,IF($CD$8="","",INDEX(Tính!$F$39:$F$83,$CD$8)),IF($AX10=4,IF($CD$8="","",INDEX(Tính!$C$182:$V$226,$CD$8,INDEX($BJ$3:$BJ$22,$AY10))),IF($AX10=5,IF($CD$8="","",INDEX(Tính!$P$39:$P$83,$CD$8)&amp;"/"&amp;COUNTIF($BA$3:$BA$22,"?*")),IF($AX10=7,IF($CD$8="","",INDEX(Tính!$Q$39:$Q$83,$CD$8)&amp;"/"&amp;$BK$1),IF($AX10=8,IF($CD$8="","",INDEX(Tính!$R$39:$R$83,$CD$8)&amp;"/"&amp;$BL$1),"")))))</f>
        <v/>
      </c>
      <c r="Q10" s="31" t="str">
        <f>IF($AX10=3,IF($CD$9="","",INDEX(Tính!$F$39:$F$83,$CD$9)),IF($AX10=4,IF($CD$9="","",INDEX(Tính!$C$182:$V$226,$CD$9,INDEX($BJ$3:$BJ$22,$AY10))),IF($AX10=5,IF($CD$9="","",INDEX(Tính!$P$39:$P$83,$CD$9)&amp;"/"&amp;COUNTIF($BA$3:$BA$22,"?*")),IF($AX10=7,IF($CD$9="","",INDEX(Tính!$Q$39:$Q$83,$CD$9)&amp;"/"&amp;$BK$1),IF($AX10=8,IF($CD$9="","",INDEX(Tính!$R$39:$R$83,$CD$9)&amp;"/"&amp;$BL$1),"")))))</f>
        <v/>
      </c>
      <c r="R10" s="31" t="str">
        <f>IF($AX10=3,IF($CD$10="","",INDEX(Tính!$F$39:$F$83,$CD$10)),IF($AX10=4,IF($CD$10="","",INDEX(Tính!$C$182:$V$226,$CD$10,INDEX($BJ$3:$BJ$22,$AY10))),IF($AX10=5,IF($CD$10="","",INDEX(Tính!$P$39:$P$83,$CD$10)&amp;"/"&amp;COUNTIF($BA$3:$BA$22,"?*")),IF($AX10=7,IF($CD$10="","",INDEX(Tính!$Q$39:$Q$83,$CD$10)&amp;"/"&amp;$BK$1),IF($AX10=8,IF($CD$10="","",INDEX(Tính!$R$39:$R$83,$CD$10)&amp;"/"&amp;$BL$1),"")))))</f>
        <v/>
      </c>
      <c r="S10" s="31" t="str">
        <f>IF($AX10=3,IF($CD$11="","",INDEX(Tính!$F$39:$F$83,$CD$11)),IF($AX10=4,IF($CD$11="","",INDEX(Tính!$C$182:$V$226,$CD$11,INDEX($BJ$3:$BJ$22,$AY10))),IF($AX10=5,IF($CD$11="","",INDEX(Tính!$P$39:$P$83,$CD$11)&amp;"/"&amp;COUNTIF($BA$3:$BA$22,"?*")),IF($AX10=7,IF($CD$11="","",INDEX(Tính!$Q$39:$Q$83,$CD$11)&amp;"/"&amp;$BK$1),IF($AX10=8,IF($CD$11="","",INDEX(Tính!$R$39:$R$83,$CD$11)&amp;"/"&amp;$BL$1),"")))))</f>
        <v/>
      </c>
      <c r="T10" s="31" t="str">
        <f>IF($AX10=3,IF($CD$12="","",INDEX(Tính!$F$39:$F$83,$CD$12)),IF($AX10=4,IF($CD$12="","",INDEX(Tính!$C$182:$V$226,$CD$12,INDEX($BJ$3:$BJ$22,$AY10))),IF($AX10=5,IF($CD$12="","",INDEX(Tính!$P$39:$P$83,$CD$12)&amp;"/"&amp;COUNTIF($BA$3:$BA$22,"?*")),IF($AX10=7,IF($CD$12="","",INDEX(Tính!$Q$39:$Q$83,$CD$12)&amp;"/"&amp;$BK$1),IF($AX10=8,IF($CD$12="","",INDEX(Tính!$R$39:$R$83,$CD$12)&amp;"/"&amp;$BL$1),"")))))</f>
        <v/>
      </c>
      <c r="U10" s="31" t="str">
        <f>IF($AX10=3,IF($CD$13="","",INDEX(Tính!$F$39:$F$83,$CD$13)),IF($AX10=4,IF($CD$13="","",INDEX(Tính!$C$182:$V$226,$CD$13,INDEX($BJ$3:$BJ$22,$AY10))),IF($AX10=5,IF($CD$13="","",INDEX(Tính!$P$39:$P$83,$CD$13)&amp;"/"&amp;COUNTIF($BA$3:$BA$22,"?*")),IF($AX10=7,IF($CD$13="","",INDEX(Tính!$Q$39:$Q$83,$CD$13)&amp;"/"&amp;$BK$1),IF($AX10=8,IF($CD$13="","",INDEX(Tính!$R$39:$R$83,$CD$13)&amp;"/"&amp;$BL$1),"")))))</f>
        <v/>
      </c>
      <c r="V10" s="31" t="str">
        <f>IF($AX10=3,IF($CD$14="","",INDEX(Tính!$F$39:$F$83,$CD$14)),IF($AX10=4,IF($CD$14="","",INDEX(Tính!$C$182:$V$226,$CD$14,INDEX($BJ$3:$BJ$22,$AY10))),IF($AX10=5,IF($CD$14="","",INDEX(Tính!$P$39:$P$83,$CD$14)&amp;"/"&amp;COUNTIF($BA$3:$BA$22,"?*")),IF($AX10=7,IF($CD$14="","",INDEX(Tính!$Q$39:$Q$83,$CD$14)&amp;"/"&amp;$BK$1),IF($AX10=8,IF($CD$14="","",INDEX(Tính!$R$39:$R$83,$CD$14)&amp;"/"&amp;$BL$1),"")))))</f>
        <v/>
      </c>
      <c r="W10" s="31" t="str">
        <f>IF($AX10=3,IF($CD$15="","",INDEX(Tính!$F$39:$F$83,$CD$15)),IF($AX10=4,IF($CD$15="","",INDEX(Tính!$C$182:$V$226,$CD$15,INDEX($BJ$3:$BJ$22,$AY10))),IF($AX10=5,IF($CD$15="","",INDEX(Tính!$P$39:$P$83,$CD$15)&amp;"/"&amp;COUNTIF($BA$3:$BA$22,"?*")),IF($AX10=7,IF($CD$15="","",INDEX(Tính!$Q$39:$Q$83,$CD$15)&amp;"/"&amp;$BK$1),IF($AX10=8,IF($CD$15="","",INDEX(Tính!$R$39:$R$83,$CD$15)&amp;"/"&amp;$BL$1),"")))))</f>
        <v/>
      </c>
      <c r="X10" s="31" t="str">
        <f>IF($AX10=3,IF($CD$16="","",INDEX(Tính!$F$39:$F$83,$CD$16)),IF($AX10=4,IF($CD$16="","",INDEX(Tính!$C$182:$V$226,$CD$16,INDEX($BJ$3:$BJ$22,$AY10))),IF($AX10=5,IF($CD$16="","",INDEX(Tính!$P$39:$P$83,$CD$16)&amp;"/"&amp;COUNTIF($BA$3:$BA$22,"?*")),IF($AX10=7,IF($CD$16="","",INDEX(Tính!$Q$39:$Q$83,$CD$16)&amp;"/"&amp;$BK$1),IF($AX10=8,IF($CD$16="","",INDEX(Tính!$R$39:$R$83,$CD$16)&amp;"/"&amp;$BL$1),"")))))</f>
        <v/>
      </c>
      <c r="Y10" s="31" t="str">
        <f>IF($AX10=3,IF($CD$17="","",INDEX(Tính!$F$39:$F$83,$CD$17)),IF($AX10=4,IF($CD$17="","",INDEX(Tính!$C$182:$V$226,$CD$17,INDEX($BJ$3:$BJ$22,$AY10))),IF($AX10=5,IF($CD$17="","",INDEX(Tính!$P$39:$P$83,$CD$17)&amp;"/"&amp;COUNTIF($BA$3:$BA$22,"?*")),IF($AX10=7,IF($CD$17="","",INDEX(Tính!$Q$39:$Q$83,$CD$17)&amp;"/"&amp;$BK$1),IF($AX10=8,IF($CD$17="","",INDEX(Tính!$R$39:$R$83,$CD$17)&amp;"/"&amp;$BL$1),"")))))</f>
        <v/>
      </c>
      <c r="Z10" s="31" t="str">
        <f>IF($AX10=3,IF($CD$18="","",INDEX(Tính!$F$39:$F$83,$CD$18)),IF($AX10=4,IF($CD$18="","",INDEX(Tính!$C$182:$V$226,$CD$18,INDEX($BJ$3:$BJ$22,$AY10))),IF($AX10=5,IF($CD$18="","",INDEX(Tính!$P$39:$P$83,$CD$18)&amp;"/"&amp;COUNTIF($BA$3:$BA$22,"?*")),IF($AX10=7,IF($CD$18="","",INDEX(Tính!$Q$39:$Q$83,$CD$18)&amp;"/"&amp;$BK$1),IF($AX10=8,IF($CD$18="","",INDEX(Tính!$R$39:$R$83,$CD$18)&amp;"/"&amp;$BL$1),"")))))</f>
        <v/>
      </c>
      <c r="AA10" s="31" t="str">
        <f>IF($AX10=3,IF($CD$19="","",INDEX(Tính!$F$39:$F$83,$CD$19)),IF($AX10=4,IF($CD$19="","",INDEX(Tính!$C$182:$V$226,$CD$19,INDEX($BJ$3:$BJ$22,$AY10))),IF($AX10=5,IF($CD$19="","",INDEX(Tính!$P$39:$P$83,$CD$19)&amp;"/"&amp;COUNTIF($BA$3:$BA$22,"?*")),IF($AX10=7,IF($CD$19="","",INDEX(Tính!$Q$39:$Q$83,$CD$19)&amp;"/"&amp;$BK$1),IF($AX10=8,IF($CD$19="","",INDEX(Tính!$R$39:$R$83,$CD$19)&amp;"/"&amp;$BL$1),"")))))</f>
        <v/>
      </c>
      <c r="AB10" s="31" t="str">
        <f>IF($AX10=3,IF($CD$20="","",INDEX(Tính!$F$39:$F$83,$CD$20)),IF($AX10=4,IF($CD$20="","",INDEX(Tính!$C$182:$V$226,$CD$20,INDEX($BJ$3:$BJ$22,$AY10))),IF($AX10=5,IF($CD$20="","",INDEX(Tính!$P$39:$P$83,$CD$20)&amp;"/"&amp;COUNTIF($BA$3:$BA$22,"?*")),IF($AX10=7,IF($CD$20="","",INDEX(Tính!$Q$39:$Q$83,$CD$20)&amp;"/"&amp;$BK$1),IF($AX10=8,IF($CD$20="","",INDEX(Tính!$R$39:$R$83,$CD$20)&amp;"/"&amp;$BL$1),"")))))</f>
        <v/>
      </c>
      <c r="AC10" s="31" t="str">
        <f>IF($AX10=3,IF($CD$21="","",INDEX(Tính!$F$39:$F$83,$CD$21)),IF($AX10=4,IF($CD$21="","",INDEX(Tính!$C$182:$V$226,$CD$21,INDEX($BJ$3:$BJ$22,$AY10))),IF($AX10=5,IF($CD$21="","",INDEX(Tính!$P$39:$P$83,$CD$21)&amp;"/"&amp;COUNTIF($BA$3:$BA$22,"?*")),IF($AX10=7,IF($CD$21="","",INDEX(Tính!$Q$39:$Q$83,$CD$21)&amp;"/"&amp;$BK$1),IF($AX10=8,IF($CD$21="","",INDEX(Tính!$R$39:$R$83,$CD$21)&amp;"/"&amp;$BL$1),"")))))</f>
        <v/>
      </c>
      <c r="AD10" s="31" t="str">
        <f>IF($AX10=3,IF($CD$22="","",INDEX(Tính!$F$39:$F$83,$CD$22)),IF($AX10=4,IF($CD$22="","",INDEX(Tính!$C$182:$V$226,$CD$22,INDEX($BJ$3:$BJ$22,$AY10))),IF($AX10=5,IF($CD$22="","",INDEX(Tính!$P$39:$P$83,$CD$22)&amp;"/"&amp;COUNTIF($BA$3:$BA$22,"?*")),IF($AX10=7,IF($CD$22="","",INDEX(Tính!$Q$39:$Q$83,$CD$22)&amp;"/"&amp;$BK$1),IF($AX10=8,IF($CD$22="","",INDEX(Tính!$R$39:$R$83,$CD$22)&amp;"/"&amp;$BL$1),"")))))</f>
        <v/>
      </c>
      <c r="AW10" t="str">
        <f>$BK$3</f>
        <v/>
      </c>
      <c r="AX10">
        <f>IF(6=0,0,IF(6&lt;=$AX$1,1,IF(6=$AX$1+1,2,IF(6=$AX$1+2,3,IF((6-$AX$1-2)&lt;=$AX$3,IF(INDEX($BK$3:$BK$24,(6-$AX$1-2))="C",7,IF(INDEX($BK$3:$BK$24,(6-$AX$1-2))="V",8,4)),IF((6-$AX$1-2)=$AX$3+1,5,6))))))</f>
        <v>6</v>
      </c>
      <c r="AY10">
        <f>IF(AX10=1,6,IF(AX10=4,INDEX($BL$3:$BL$24,(6-$AX$1-2)),0))</f>
        <v>0</v>
      </c>
      <c r="BA10" t="str">
        <f>Tính!B10</f>
        <v/>
      </c>
      <c r="BB10" t="str">
        <f>Tính!D10</f>
        <v/>
      </c>
      <c r="BC10">
        <f>IF($AZ$1=0,Tính!$Z$10,CHOOSE($AZ$1,Tính!$G$10,Tính!$L$10,Tính!$Q$10,Tính!$V$10))</f>
        <v>0</v>
      </c>
      <c r="BD10">
        <f>IF($AZ$1=0,Tính!$Y$10,CHOOSE($AZ$1,Tính!$E$10,Tính!$J$10,Tính!$O$10,Tính!$T$10))</f>
        <v>0</v>
      </c>
      <c r="BE10">
        <f>IF($AZ$1=0,Tính!$AB$10,CHOOSE($AZ$1,Tính!$I$10,Tính!$N$10,Tính!$S$10,Tính!$X$10))</f>
        <v>0</v>
      </c>
      <c r="BF10">
        <f>IF($AZ$1=0,Tính!$AA$10,CHOOSE($AZ$1,Tính!$H$10,Tính!$M$10,Tính!$R$10,Tính!$W$10))</f>
        <v>0</v>
      </c>
      <c r="BG10">
        <f t="shared" si="0"/>
        <v>0</v>
      </c>
      <c r="BH10">
        <f t="shared" si="1"/>
        <v>0</v>
      </c>
      <c r="BI10">
        <f>IF(BA10="",-1,IF(BB10="Chính",1000,0)+BG10+(20-8)/100000)</f>
        <v>-1</v>
      </c>
      <c r="BJ10" t="str">
        <f>IF(LARGE($BI$3:$BI$22,8)&lt;0,"",MATCH(LARGE($BI$3:$BI$22,8),$BI$3:$BI$22,0))</f>
        <v/>
      </c>
      <c r="BK10" t="str">
        <f>IF(8=1,IF($BK$1&gt;0,"C",""),IF(8&lt;=$BK$1+1,"g",IF(8=$BK$1+2,IF($BL$1&gt;0,"V",""),IF(8&lt;=$BK$1+2+$BL$1,"g",""))))</f>
        <v/>
      </c>
      <c r="BL10" t="str">
        <f>IF(BK10="g",IF(8&lt;=$BK$1+1,8-1,8-2),"")</f>
        <v/>
      </c>
      <c r="CA10">
        <v>8</v>
      </c>
      <c r="CB10">
        <f>IF(Tính!B46="",0,IF(OR($AZ$1=0,Tính!D46=$AZ$1),1,0))</f>
        <v>0</v>
      </c>
      <c r="CC10">
        <f>IF(CB10=1,Tính!M46+1+(45-8)/1000000,-1)</f>
        <v>-1</v>
      </c>
      <c r="CD10" t="str">
        <f>IF(LARGE($CC$3:$CC$47,8)&lt;0,"",MATCH(LARGE($CC$3:$CC$47,8),$CC$3:$CC$47,0))</f>
        <v/>
      </c>
    </row>
    <row r="11" spans="1:82" x14ac:dyDescent="0.3">
      <c r="A11" s="54" t="str">
        <f>IF($BK$4="C","NHÓM CHÍNH",IF($BK$4="V","NHÓM VƯỢT TRỘI",IF($BL$4="","",INDEX($BA$3:$BA$22,INDEX($BJ$3:$BJ$22,$BL$4)))))</f>
        <v/>
      </c>
      <c r="B11" s="52"/>
      <c r="C11" s="26" t="str">
        <f>IF($BL$4="","",INDEX($BC$3:$BC$22,INDEX($BJ$3:$BJ$22,$BL$4)))</f>
        <v/>
      </c>
      <c r="D11" s="26" t="str">
        <f>IF($BL$4="","",INDEX($BD$3:$BD$22,INDEX($BJ$3:$BJ$22,$BL$4)))</f>
        <v/>
      </c>
      <c r="E11" s="27" t="str">
        <f>IF($BL$4="","",IF(C11&gt;0,D11/C11,1))</f>
        <v/>
      </c>
      <c r="F11" s="27" t="str">
        <f>IF($BK$4="C",COUNTIFS($BB$3:$BB$22,"Chính",$BG$3:$BG$22,"&gt;=0.995")&amp;"/"&amp;$BK$1,IF($BK$4="V",COUNTIFS($BB$3:$BB$22,"Vượt trội",$BG$3:$BG$22,"&gt;=0.995")&amp;"/"&amp;$BL$1,IF($BL$4="","",INDEX($BG$3:$BG$22,INDEX($BJ$3:$BJ$22,$BL$4)))))</f>
        <v/>
      </c>
      <c r="H11" s="29" t="str">
        <f t="shared" si="2"/>
        <v/>
      </c>
      <c r="I11" s="12" t="str">
        <f>IF($AX11=0,"Nhân viên",IF($AX11=1,INDEX(Tính!$F$39:$F$83,INDEX($CD$3:$CD$47,$AY11))&amp;" · "&amp;INDEX(Tính!$O$39:$O$83,INDEX($CD$3:$CD$47,$AY11)),IF($AX11=3,"Nhóm hàng",IF($AX11=4,INDEX($BA$3:$BA$22,INDEX($BJ$3:$BJ$22,$AY11)),IF($AX11=5,"Số nhóm đạt",IF($AX11=7,"NHÓM CHÍNH",IF($AX11=8,"NHÓM VƯỢT TRỘI","")))))))</f>
        <v/>
      </c>
      <c r="J11" s="30" t="str">
        <f>IF($AX11=0,"Mục tiêu",IF($AX11=1,FIXED(INDEX(Tính!$J$39:$J$83,INDEX($CD$3:$CD$47,$AY11)),0),IF($AX11=3,"Cả shop",IF($AX11=4,INDEX($BG$3:$BG$22,INDEX($BJ$3:$BJ$22,$AY11)),IF($AX11=5,COUNTIF($BG$3:$BG$22,"&gt;=0.995")&amp;"/"&amp;COUNTIF($BA$3:$BA$22,"?*"),IF($AX11=7,COUNTIFS($BB$3:$BB$22,"Chính",$BG$3:$BG$22,"&gt;=0.995")&amp;"/"&amp;$BK$1,IF($AX11=8,COUNTIFS($BB$3:$BB$22,"Vượt trội",$BG$3:$BG$22,"&gt;=0.995")&amp;"/"&amp;$BL$1,"")))))))</f>
        <v/>
      </c>
      <c r="K11" s="30" t="str">
        <f>IF($AX11=0,"DT QĐ",IF($AX11=1,FIXED(INDEX(Tính!$K$39:$K$83,INDEX($CD$3:$CD$47,$AY11)),1),IF($AX11=3,IF($CD$3="","",INDEX(Tính!$F$39:$F$83,$CD$3)),IF($AX11=4,IF($CD$3="","",INDEX(Tính!$C$182:$V$226,$CD$3,INDEX($BJ$3:$BJ$22,$AY11))),IF($AX11=5,IF($CD$3="","",INDEX(Tính!$P$39:$P$83,$CD$3)&amp;"/"&amp;COUNTIF($BA$3:$BA$22,"?*")),IF($AX11=7,IF($CD$3="","",INDEX(Tính!$Q$39:$Q$83,$CD$3)&amp;"/"&amp;$BK$1),IF($AX11=8,IF($CD$3="","",INDEX(Tính!$R$39:$R$83,$CD$3)&amp;"/"&amp;$BL$1),"")))))))</f>
        <v/>
      </c>
      <c r="L11" s="31" t="str">
        <f>IF($AX11=0,"% HT",IF($AX11=1,INDEX(Tính!$N$39:$N$83,INDEX($CD$3:$CD$47,$AY11)),IF($AX11=3,IF($CD$4="","",INDEX(Tính!$F$39:$F$83,$CD$4)),IF($AX11=4,IF($CD$4="","",INDEX(Tính!$C$182:$V$226,$CD$4,INDEX($BJ$3:$BJ$22,$AY11))),IF($AX11=5,IF($CD$4="","",INDEX(Tính!$P$39:$P$83,$CD$4)&amp;"/"&amp;COUNTIF($BA$3:$BA$22,"?*")),IF($AX11=7,IF($CD$4="","",INDEX(Tính!$Q$39:$Q$83,$CD$4)&amp;"/"&amp;$BK$1),IF($AX11=8,IF($CD$4="","",INDEX(Tính!$R$39:$R$83,$CD$4)&amp;"/"&amp;$BL$1),"")))))))</f>
        <v/>
      </c>
      <c r="M11" s="31" t="str">
        <f>IF($AX11=0,"Dự kiến",IF($AX11=1,INDEX(Tính!$M$39:$M$83,INDEX($CD$3:$CD$47,$AY11)),IF($AX11=3,IF($CD$5="","",INDEX(Tính!$F$39:$F$83,$CD$5)),IF($AX11=4,IF($CD$5="","",INDEX(Tính!$C$182:$V$226,$CD$5,INDEX($BJ$3:$BJ$22,$AY11))),IF($AX11=5,IF($CD$5="","",INDEX(Tính!$P$39:$P$83,$CD$5)&amp;"/"&amp;COUNTIF($BA$3:$BA$22,"?*")),IF($AX11=7,IF($CD$5="","",INDEX(Tính!$Q$39:$Q$83,$CD$5)&amp;"/"&amp;$BK$1),IF($AX11=8,IF($CD$5="","",INDEX(Tính!$R$39:$R$83,$CD$5)&amp;"/"&amp;$BL$1),"")))))))</f>
        <v/>
      </c>
      <c r="N11" s="31" t="str">
        <f>IF($AX11=0,"NH đạt",IF($AX11=1,INDEX(Tính!$P$39:$P$83,INDEX($CD$3:$CD$47,$AY11))&amp;"/"&amp;COUNTIF($BA$3:$BA$22,"?*"),IF($AX11=3,IF($CD$6="","",INDEX(Tính!$F$39:$F$83,$CD$6)),IF($AX11=4,IF($CD$6="","",INDEX(Tính!$C$182:$V$226,$CD$6,INDEX($BJ$3:$BJ$22,$AY11))),IF($AX11=5,IF($CD$6="","",INDEX(Tính!$P$39:$P$83,$CD$6)&amp;"/"&amp;COUNTIF($BA$3:$BA$22,"?*")),IF($AX11=7,IF($CD$6="","",INDEX(Tính!$Q$39:$Q$83,$CD$6)&amp;"/"&amp;$BK$1),IF($AX11=8,IF($CD$6="","",INDEX(Tính!$R$39:$R$83,$CD$6)&amp;"/"&amp;$BL$1),"")))))))</f>
        <v/>
      </c>
      <c r="O11" s="31" t="str">
        <f>IF($AX11=3,IF($CD$7="","",INDEX(Tính!$F$39:$F$83,$CD$7)),IF($AX11=4,IF($CD$7="","",INDEX(Tính!$C$182:$V$226,$CD$7,INDEX($BJ$3:$BJ$22,$AY11))),IF($AX11=5,IF($CD$7="","",INDEX(Tính!$P$39:$P$83,$CD$7)&amp;"/"&amp;COUNTIF($BA$3:$BA$22,"?*")),IF($AX11=7,IF($CD$7="","",INDEX(Tính!$Q$39:$Q$83,$CD$7)&amp;"/"&amp;$BK$1),IF($AX11=8,IF($CD$7="","",INDEX(Tính!$R$39:$R$83,$CD$7)&amp;"/"&amp;$BL$1),"")))))</f>
        <v/>
      </c>
      <c r="P11" s="31" t="str">
        <f>IF($AX11=3,IF($CD$8="","",INDEX(Tính!$F$39:$F$83,$CD$8)),IF($AX11=4,IF($CD$8="","",INDEX(Tính!$C$182:$V$226,$CD$8,INDEX($BJ$3:$BJ$22,$AY11))),IF($AX11=5,IF($CD$8="","",INDEX(Tính!$P$39:$P$83,$CD$8)&amp;"/"&amp;COUNTIF($BA$3:$BA$22,"?*")),IF($AX11=7,IF($CD$8="","",INDEX(Tính!$Q$39:$Q$83,$CD$8)&amp;"/"&amp;$BK$1),IF($AX11=8,IF($CD$8="","",INDEX(Tính!$R$39:$R$83,$CD$8)&amp;"/"&amp;$BL$1),"")))))</f>
        <v/>
      </c>
      <c r="Q11" s="31" t="str">
        <f>IF($AX11=3,IF($CD$9="","",INDEX(Tính!$F$39:$F$83,$CD$9)),IF($AX11=4,IF($CD$9="","",INDEX(Tính!$C$182:$V$226,$CD$9,INDEX($BJ$3:$BJ$22,$AY11))),IF($AX11=5,IF($CD$9="","",INDEX(Tính!$P$39:$P$83,$CD$9)&amp;"/"&amp;COUNTIF($BA$3:$BA$22,"?*")),IF($AX11=7,IF($CD$9="","",INDEX(Tính!$Q$39:$Q$83,$CD$9)&amp;"/"&amp;$BK$1),IF($AX11=8,IF($CD$9="","",INDEX(Tính!$R$39:$R$83,$CD$9)&amp;"/"&amp;$BL$1),"")))))</f>
        <v/>
      </c>
      <c r="R11" s="31" t="str">
        <f>IF($AX11=3,IF($CD$10="","",INDEX(Tính!$F$39:$F$83,$CD$10)),IF($AX11=4,IF($CD$10="","",INDEX(Tính!$C$182:$V$226,$CD$10,INDEX($BJ$3:$BJ$22,$AY11))),IF($AX11=5,IF($CD$10="","",INDEX(Tính!$P$39:$P$83,$CD$10)&amp;"/"&amp;COUNTIF($BA$3:$BA$22,"?*")),IF($AX11=7,IF($CD$10="","",INDEX(Tính!$Q$39:$Q$83,$CD$10)&amp;"/"&amp;$BK$1),IF($AX11=8,IF($CD$10="","",INDEX(Tính!$R$39:$R$83,$CD$10)&amp;"/"&amp;$BL$1),"")))))</f>
        <v/>
      </c>
      <c r="S11" s="31" t="str">
        <f>IF($AX11=3,IF($CD$11="","",INDEX(Tính!$F$39:$F$83,$CD$11)),IF($AX11=4,IF($CD$11="","",INDEX(Tính!$C$182:$V$226,$CD$11,INDEX($BJ$3:$BJ$22,$AY11))),IF($AX11=5,IF($CD$11="","",INDEX(Tính!$P$39:$P$83,$CD$11)&amp;"/"&amp;COUNTIF($BA$3:$BA$22,"?*")),IF($AX11=7,IF($CD$11="","",INDEX(Tính!$Q$39:$Q$83,$CD$11)&amp;"/"&amp;$BK$1),IF($AX11=8,IF($CD$11="","",INDEX(Tính!$R$39:$R$83,$CD$11)&amp;"/"&amp;$BL$1),"")))))</f>
        <v/>
      </c>
      <c r="T11" s="31" t="str">
        <f>IF($AX11=3,IF($CD$12="","",INDEX(Tính!$F$39:$F$83,$CD$12)),IF($AX11=4,IF($CD$12="","",INDEX(Tính!$C$182:$V$226,$CD$12,INDEX($BJ$3:$BJ$22,$AY11))),IF($AX11=5,IF($CD$12="","",INDEX(Tính!$P$39:$P$83,$CD$12)&amp;"/"&amp;COUNTIF($BA$3:$BA$22,"?*")),IF($AX11=7,IF($CD$12="","",INDEX(Tính!$Q$39:$Q$83,$CD$12)&amp;"/"&amp;$BK$1),IF($AX11=8,IF($CD$12="","",INDEX(Tính!$R$39:$R$83,$CD$12)&amp;"/"&amp;$BL$1),"")))))</f>
        <v/>
      </c>
      <c r="U11" s="31" t="str">
        <f>IF($AX11=3,IF($CD$13="","",INDEX(Tính!$F$39:$F$83,$CD$13)),IF($AX11=4,IF($CD$13="","",INDEX(Tính!$C$182:$V$226,$CD$13,INDEX($BJ$3:$BJ$22,$AY11))),IF($AX11=5,IF($CD$13="","",INDEX(Tính!$P$39:$P$83,$CD$13)&amp;"/"&amp;COUNTIF($BA$3:$BA$22,"?*")),IF($AX11=7,IF($CD$13="","",INDEX(Tính!$Q$39:$Q$83,$CD$13)&amp;"/"&amp;$BK$1),IF($AX11=8,IF($CD$13="","",INDEX(Tính!$R$39:$R$83,$CD$13)&amp;"/"&amp;$BL$1),"")))))</f>
        <v/>
      </c>
      <c r="V11" s="31" t="str">
        <f>IF($AX11=3,IF($CD$14="","",INDEX(Tính!$F$39:$F$83,$CD$14)),IF($AX11=4,IF($CD$14="","",INDEX(Tính!$C$182:$V$226,$CD$14,INDEX($BJ$3:$BJ$22,$AY11))),IF($AX11=5,IF($CD$14="","",INDEX(Tính!$P$39:$P$83,$CD$14)&amp;"/"&amp;COUNTIF($BA$3:$BA$22,"?*")),IF($AX11=7,IF($CD$14="","",INDEX(Tính!$Q$39:$Q$83,$CD$14)&amp;"/"&amp;$BK$1),IF($AX11=8,IF($CD$14="","",INDEX(Tính!$R$39:$R$83,$CD$14)&amp;"/"&amp;$BL$1),"")))))</f>
        <v/>
      </c>
      <c r="W11" s="31" t="str">
        <f>IF($AX11=3,IF($CD$15="","",INDEX(Tính!$F$39:$F$83,$CD$15)),IF($AX11=4,IF($CD$15="","",INDEX(Tính!$C$182:$V$226,$CD$15,INDEX($BJ$3:$BJ$22,$AY11))),IF($AX11=5,IF($CD$15="","",INDEX(Tính!$P$39:$P$83,$CD$15)&amp;"/"&amp;COUNTIF($BA$3:$BA$22,"?*")),IF($AX11=7,IF($CD$15="","",INDEX(Tính!$Q$39:$Q$83,$CD$15)&amp;"/"&amp;$BK$1),IF($AX11=8,IF($CD$15="","",INDEX(Tính!$R$39:$R$83,$CD$15)&amp;"/"&amp;$BL$1),"")))))</f>
        <v/>
      </c>
      <c r="X11" s="31" t="str">
        <f>IF($AX11=3,IF($CD$16="","",INDEX(Tính!$F$39:$F$83,$CD$16)),IF($AX11=4,IF($CD$16="","",INDEX(Tính!$C$182:$V$226,$CD$16,INDEX($BJ$3:$BJ$22,$AY11))),IF($AX11=5,IF($CD$16="","",INDEX(Tính!$P$39:$P$83,$CD$16)&amp;"/"&amp;COUNTIF($BA$3:$BA$22,"?*")),IF($AX11=7,IF($CD$16="","",INDEX(Tính!$Q$39:$Q$83,$CD$16)&amp;"/"&amp;$BK$1),IF($AX11=8,IF($CD$16="","",INDEX(Tính!$R$39:$R$83,$CD$16)&amp;"/"&amp;$BL$1),"")))))</f>
        <v/>
      </c>
      <c r="Y11" s="31" t="str">
        <f>IF($AX11=3,IF($CD$17="","",INDEX(Tính!$F$39:$F$83,$CD$17)),IF($AX11=4,IF($CD$17="","",INDEX(Tính!$C$182:$V$226,$CD$17,INDEX($BJ$3:$BJ$22,$AY11))),IF($AX11=5,IF($CD$17="","",INDEX(Tính!$P$39:$P$83,$CD$17)&amp;"/"&amp;COUNTIF($BA$3:$BA$22,"?*")),IF($AX11=7,IF($CD$17="","",INDEX(Tính!$Q$39:$Q$83,$CD$17)&amp;"/"&amp;$BK$1),IF($AX11=8,IF($CD$17="","",INDEX(Tính!$R$39:$R$83,$CD$17)&amp;"/"&amp;$BL$1),"")))))</f>
        <v/>
      </c>
      <c r="Z11" s="31" t="str">
        <f>IF($AX11=3,IF($CD$18="","",INDEX(Tính!$F$39:$F$83,$CD$18)),IF($AX11=4,IF($CD$18="","",INDEX(Tính!$C$182:$V$226,$CD$18,INDEX($BJ$3:$BJ$22,$AY11))),IF($AX11=5,IF($CD$18="","",INDEX(Tính!$P$39:$P$83,$CD$18)&amp;"/"&amp;COUNTIF($BA$3:$BA$22,"?*")),IF($AX11=7,IF($CD$18="","",INDEX(Tính!$Q$39:$Q$83,$CD$18)&amp;"/"&amp;$BK$1),IF($AX11=8,IF($CD$18="","",INDEX(Tính!$R$39:$R$83,$CD$18)&amp;"/"&amp;$BL$1),"")))))</f>
        <v/>
      </c>
      <c r="AA11" s="31" t="str">
        <f>IF($AX11=3,IF($CD$19="","",INDEX(Tính!$F$39:$F$83,$CD$19)),IF($AX11=4,IF($CD$19="","",INDEX(Tính!$C$182:$V$226,$CD$19,INDEX($BJ$3:$BJ$22,$AY11))),IF($AX11=5,IF($CD$19="","",INDEX(Tính!$P$39:$P$83,$CD$19)&amp;"/"&amp;COUNTIF($BA$3:$BA$22,"?*")),IF($AX11=7,IF($CD$19="","",INDEX(Tính!$Q$39:$Q$83,$CD$19)&amp;"/"&amp;$BK$1),IF($AX11=8,IF($CD$19="","",INDEX(Tính!$R$39:$R$83,$CD$19)&amp;"/"&amp;$BL$1),"")))))</f>
        <v/>
      </c>
      <c r="AB11" s="31" t="str">
        <f>IF($AX11=3,IF($CD$20="","",INDEX(Tính!$F$39:$F$83,$CD$20)),IF($AX11=4,IF($CD$20="","",INDEX(Tính!$C$182:$V$226,$CD$20,INDEX($BJ$3:$BJ$22,$AY11))),IF($AX11=5,IF($CD$20="","",INDEX(Tính!$P$39:$P$83,$CD$20)&amp;"/"&amp;COUNTIF($BA$3:$BA$22,"?*")),IF($AX11=7,IF($CD$20="","",INDEX(Tính!$Q$39:$Q$83,$CD$20)&amp;"/"&amp;$BK$1),IF($AX11=8,IF($CD$20="","",INDEX(Tính!$R$39:$R$83,$CD$20)&amp;"/"&amp;$BL$1),"")))))</f>
        <v/>
      </c>
      <c r="AC11" s="31" t="str">
        <f>IF($AX11=3,IF($CD$21="","",INDEX(Tính!$F$39:$F$83,$CD$21)),IF($AX11=4,IF($CD$21="","",INDEX(Tính!$C$182:$V$226,$CD$21,INDEX($BJ$3:$BJ$22,$AY11))),IF($AX11=5,IF($CD$21="","",INDEX(Tính!$P$39:$P$83,$CD$21)&amp;"/"&amp;COUNTIF($BA$3:$BA$22,"?*")),IF($AX11=7,IF($CD$21="","",INDEX(Tính!$Q$39:$Q$83,$CD$21)&amp;"/"&amp;$BK$1),IF($AX11=8,IF($CD$21="","",INDEX(Tính!$R$39:$R$83,$CD$21)&amp;"/"&amp;$BL$1),"")))))</f>
        <v/>
      </c>
      <c r="AD11" s="31" t="str">
        <f>IF($AX11=3,IF($CD$22="","",INDEX(Tính!$F$39:$F$83,$CD$22)),IF($AX11=4,IF($CD$22="","",INDEX(Tính!$C$182:$V$226,$CD$22,INDEX($BJ$3:$BJ$22,$AY11))),IF($AX11=5,IF($CD$22="","",INDEX(Tính!$P$39:$P$83,$CD$22)&amp;"/"&amp;COUNTIF($BA$3:$BA$22,"?*")),IF($AX11=7,IF($CD$22="","",INDEX(Tính!$Q$39:$Q$83,$CD$22)&amp;"/"&amp;$BK$1),IF($AX11=8,IF($CD$22="","",INDEX(Tính!$R$39:$R$83,$CD$22)&amp;"/"&amp;$BL$1),"")))))</f>
        <v/>
      </c>
      <c r="AW11" t="str">
        <f>$BK$4</f>
        <v/>
      </c>
      <c r="AX11">
        <f>IF(7=0,0,IF(7&lt;=$AX$1,1,IF(7=$AX$1+1,2,IF(7=$AX$1+2,3,IF((7-$AX$1-2)&lt;=$AX$3,IF(INDEX($BK$3:$BK$24,(7-$AX$1-2))="C",7,IF(INDEX($BK$3:$BK$24,(7-$AX$1-2))="V",8,4)),IF((7-$AX$1-2)=$AX$3+1,5,6))))))</f>
        <v>6</v>
      </c>
      <c r="AY11">
        <f>IF(AX11=1,7,IF(AX11=4,INDEX($BL$3:$BL$24,(7-$AX$1-2)),0))</f>
        <v>0</v>
      </c>
      <c r="BA11" t="str">
        <f>Tính!B11</f>
        <v/>
      </c>
      <c r="BB11" t="str">
        <f>Tính!D11</f>
        <v/>
      </c>
      <c r="BC11">
        <f>IF($AZ$1=0,Tính!$Z$11,CHOOSE($AZ$1,Tính!$G$11,Tính!$L$11,Tính!$Q$11,Tính!$V$11))</f>
        <v>0</v>
      </c>
      <c r="BD11">
        <f>IF($AZ$1=0,Tính!$Y$11,CHOOSE($AZ$1,Tính!$E$11,Tính!$J$11,Tính!$O$11,Tính!$T$11))</f>
        <v>0</v>
      </c>
      <c r="BE11">
        <f>IF($AZ$1=0,Tính!$AB$11,CHOOSE($AZ$1,Tính!$I$11,Tính!$N$11,Tính!$S$11,Tính!$X$11))</f>
        <v>0</v>
      </c>
      <c r="BF11">
        <f>IF($AZ$1=0,Tính!$AA$11,CHOOSE($AZ$1,Tính!$H$11,Tính!$M$11,Tính!$R$11,Tính!$W$11))</f>
        <v>0</v>
      </c>
      <c r="BG11">
        <f t="shared" si="0"/>
        <v>0</v>
      </c>
      <c r="BH11">
        <f t="shared" si="1"/>
        <v>0</v>
      </c>
      <c r="BI11">
        <f>IF(BA11="",-1,IF(BB11="Chính",1000,0)+BG11+(20-9)/100000)</f>
        <v>-1</v>
      </c>
      <c r="BJ11" t="str">
        <f>IF(LARGE($BI$3:$BI$22,9)&lt;0,"",MATCH(LARGE($BI$3:$BI$22,9),$BI$3:$BI$22,0))</f>
        <v/>
      </c>
      <c r="BK11" t="str">
        <f>IF(9=1,IF($BK$1&gt;0,"C",""),IF(9&lt;=$BK$1+1,"g",IF(9=$BK$1+2,IF($BL$1&gt;0,"V",""),IF(9&lt;=$BK$1+2+$BL$1,"g",""))))</f>
        <v/>
      </c>
      <c r="BL11" t="str">
        <f>IF(BK11="g",IF(9&lt;=$BK$1+1,9-1,9-2),"")</f>
        <v/>
      </c>
      <c r="CA11">
        <v>9</v>
      </c>
      <c r="CB11">
        <f>IF(Tính!B47="",0,IF(OR($AZ$1=0,Tính!D47=$AZ$1),1,0))</f>
        <v>0</v>
      </c>
      <c r="CC11">
        <f>IF(CB11=1,Tính!M47+1+(45-9)/1000000,-1)</f>
        <v>-1</v>
      </c>
      <c r="CD11" t="str">
        <f>IF(LARGE($CC$3:$CC$47,9)&lt;0,"",MATCH(LARGE($CC$3:$CC$47,9),$CC$3:$CC$47,0))</f>
        <v/>
      </c>
    </row>
    <row r="12" spans="1:82" x14ac:dyDescent="0.3">
      <c r="A12" s="54" t="str">
        <f>IF($BK$5="C","NHÓM CHÍNH",IF($BK$5="V","NHÓM VƯỢT TRỘI",IF($BL$5="","",INDEX($BA$3:$BA$22,INDEX($BJ$3:$BJ$22,$BL$5)))))</f>
        <v/>
      </c>
      <c r="B12" s="52"/>
      <c r="C12" s="26" t="str">
        <f>IF($BL$5="","",INDEX($BC$3:$BC$22,INDEX($BJ$3:$BJ$22,$BL$5)))</f>
        <v/>
      </c>
      <c r="D12" s="26" t="str">
        <f>IF($BL$5="","",INDEX($BD$3:$BD$22,INDEX($BJ$3:$BJ$22,$BL$5)))</f>
        <v/>
      </c>
      <c r="E12" s="27" t="str">
        <f>IF($BL$5="","",IF(C12&gt;0,D12/C12,1))</f>
        <v/>
      </c>
      <c r="F12" s="27" t="str">
        <f>IF($BK$5="C",COUNTIFS($BB$3:$BB$22,"Chính",$BG$3:$BG$22,"&gt;=0.995")&amp;"/"&amp;$BK$1,IF($BK$5="V",COUNTIFS($BB$3:$BB$22,"Vượt trội",$BG$3:$BG$22,"&gt;=0.995")&amp;"/"&amp;$BL$1,IF($BL$5="","",INDEX($BG$3:$BG$22,INDEX($BJ$3:$BJ$22,$BL$5)))))</f>
        <v/>
      </c>
      <c r="H12" s="29" t="str">
        <f t="shared" si="2"/>
        <v/>
      </c>
      <c r="I12" s="12" t="str">
        <f>IF($AX12=0,"Nhân viên",IF($AX12=1,INDEX(Tính!$F$39:$F$83,INDEX($CD$3:$CD$47,$AY12))&amp;" · "&amp;INDEX(Tính!$O$39:$O$83,INDEX($CD$3:$CD$47,$AY12)),IF($AX12=3,"Nhóm hàng",IF($AX12=4,INDEX($BA$3:$BA$22,INDEX($BJ$3:$BJ$22,$AY12)),IF($AX12=5,"Số nhóm đạt",IF($AX12=7,"NHÓM CHÍNH",IF($AX12=8,"NHÓM VƯỢT TRỘI","")))))))</f>
        <v/>
      </c>
      <c r="J12" s="30" t="str">
        <f>IF($AX12=0,"Mục tiêu",IF($AX12=1,FIXED(INDEX(Tính!$J$39:$J$83,INDEX($CD$3:$CD$47,$AY12)),0),IF($AX12=3,"Cả shop",IF($AX12=4,INDEX($BG$3:$BG$22,INDEX($BJ$3:$BJ$22,$AY12)),IF($AX12=5,COUNTIF($BG$3:$BG$22,"&gt;=0.995")&amp;"/"&amp;COUNTIF($BA$3:$BA$22,"?*"),IF($AX12=7,COUNTIFS($BB$3:$BB$22,"Chính",$BG$3:$BG$22,"&gt;=0.995")&amp;"/"&amp;$BK$1,IF($AX12=8,COUNTIFS($BB$3:$BB$22,"Vượt trội",$BG$3:$BG$22,"&gt;=0.995")&amp;"/"&amp;$BL$1,"")))))))</f>
        <v/>
      </c>
      <c r="K12" s="30" t="str">
        <f>IF($AX12=0,"DT QĐ",IF($AX12=1,FIXED(INDEX(Tính!$K$39:$K$83,INDEX($CD$3:$CD$47,$AY12)),1),IF($AX12=3,IF($CD$3="","",INDEX(Tính!$F$39:$F$83,$CD$3)),IF($AX12=4,IF($CD$3="","",INDEX(Tính!$C$182:$V$226,$CD$3,INDEX($BJ$3:$BJ$22,$AY12))),IF($AX12=5,IF($CD$3="","",INDEX(Tính!$P$39:$P$83,$CD$3)&amp;"/"&amp;COUNTIF($BA$3:$BA$22,"?*")),IF($AX12=7,IF($CD$3="","",INDEX(Tính!$Q$39:$Q$83,$CD$3)&amp;"/"&amp;$BK$1),IF($AX12=8,IF($CD$3="","",INDEX(Tính!$R$39:$R$83,$CD$3)&amp;"/"&amp;$BL$1),"")))))))</f>
        <v/>
      </c>
      <c r="L12" s="31" t="str">
        <f>IF($AX12=0,"% HT",IF($AX12=1,INDEX(Tính!$N$39:$N$83,INDEX($CD$3:$CD$47,$AY12)),IF($AX12=3,IF($CD$4="","",INDEX(Tính!$F$39:$F$83,$CD$4)),IF($AX12=4,IF($CD$4="","",INDEX(Tính!$C$182:$V$226,$CD$4,INDEX($BJ$3:$BJ$22,$AY12))),IF($AX12=5,IF($CD$4="","",INDEX(Tính!$P$39:$P$83,$CD$4)&amp;"/"&amp;COUNTIF($BA$3:$BA$22,"?*")),IF($AX12=7,IF($CD$4="","",INDEX(Tính!$Q$39:$Q$83,$CD$4)&amp;"/"&amp;$BK$1),IF($AX12=8,IF($CD$4="","",INDEX(Tính!$R$39:$R$83,$CD$4)&amp;"/"&amp;$BL$1),"")))))))</f>
        <v/>
      </c>
      <c r="M12" s="31" t="str">
        <f>IF($AX12=0,"Dự kiến",IF($AX12=1,INDEX(Tính!$M$39:$M$83,INDEX($CD$3:$CD$47,$AY12)),IF($AX12=3,IF($CD$5="","",INDEX(Tính!$F$39:$F$83,$CD$5)),IF($AX12=4,IF($CD$5="","",INDEX(Tính!$C$182:$V$226,$CD$5,INDEX($BJ$3:$BJ$22,$AY12))),IF($AX12=5,IF($CD$5="","",INDEX(Tính!$P$39:$P$83,$CD$5)&amp;"/"&amp;COUNTIF($BA$3:$BA$22,"?*")),IF($AX12=7,IF($CD$5="","",INDEX(Tính!$Q$39:$Q$83,$CD$5)&amp;"/"&amp;$BK$1),IF($AX12=8,IF($CD$5="","",INDEX(Tính!$R$39:$R$83,$CD$5)&amp;"/"&amp;$BL$1),"")))))))</f>
        <v/>
      </c>
      <c r="N12" s="31" t="str">
        <f>IF($AX12=0,"NH đạt",IF($AX12=1,INDEX(Tính!$P$39:$P$83,INDEX($CD$3:$CD$47,$AY12))&amp;"/"&amp;COUNTIF($BA$3:$BA$22,"?*"),IF($AX12=3,IF($CD$6="","",INDEX(Tính!$F$39:$F$83,$CD$6)),IF($AX12=4,IF($CD$6="","",INDEX(Tính!$C$182:$V$226,$CD$6,INDEX($BJ$3:$BJ$22,$AY12))),IF($AX12=5,IF($CD$6="","",INDEX(Tính!$P$39:$P$83,$CD$6)&amp;"/"&amp;COUNTIF($BA$3:$BA$22,"?*")),IF($AX12=7,IF($CD$6="","",INDEX(Tính!$Q$39:$Q$83,$CD$6)&amp;"/"&amp;$BK$1),IF($AX12=8,IF($CD$6="","",INDEX(Tính!$R$39:$R$83,$CD$6)&amp;"/"&amp;$BL$1),"")))))))</f>
        <v/>
      </c>
      <c r="O12" s="31" t="str">
        <f>IF($AX12=3,IF($CD$7="","",INDEX(Tính!$F$39:$F$83,$CD$7)),IF($AX12=4,IF($CD$7="","",INDEX(Tính!$C$182:$V$226,$CD$7,INDEX($BJ$3:$BJ$22,$AY12))),IF($AX12=5,IF($CD$7="","",INDEX(Tính!$P$39:$P$83,$CD$7)&amp;"/"&amp;COUNTIF($BA$3:$BA$22,"?*")),IF($AX12=7,IF($CD$7="","",INDEX(Tính!$Q$39:$Q$83,$CD$7)&amp;"/"&amp;$BK$1),IF($AX12=8,IF($CD$7="","",INDEX(Tính!$R$39:$R$83,$CD$7)&amp;"/"&amp;$BL$1),"")))))</f>
        <v/>
      </c>
      <c r="P12" s="31" t="str">
        <f>IF($AX12=3,IF($CD$8="","",INDEX(Tính!$F$39:$F$83,$CD$8)),IF($AX12=4,IF($CD$8="","",INDEX(Tính!$C$182:$V$226,$CD$8,INDEX($BJ$3:$BJ$22,$AY12))),IF($AX12=5,IF($CD$8="","",INDEX(Tính!$P$39:$P$83,$CD$8)&amp;"/"&amp;COUNTIF($BA$3:$BA$22,"?*")),IF($AX12=7,IF($CD$8="","",INDEX(Tính!$Q$39:$Q$83,$CD$8)&amp;"/"&amp;$BK$1),IF($AX12=8,IF($CD$8="","",INDEX(Tính!$R$39:$R$83,$CD$8)&amp;"/"&amp;$BL$1),"")))))</f>
        <v/>
      </c>
      <c r="Q12" s="31" t="str">
        <f>IF($AX12=3,IF($CD$9="","",INDEX(Tính!$F$39:$F$83,$CD$9)),IF($AX12=4,IF($CD$9="","",INDEX(Tính!$C$182:$V$226,$CD$9,INDEX($BJ$3:$BJ$22,$AY12))),IF($AX12=5,IF($CD$9="","",INDEX(Tính!$P$39:$P$83,$CD$9)&amp;"/"&amp;COUNTIF($BA$3:$BA$22,"?*")),IF($AX12=7,IF($CD$9="","",INDEX(Tính!$Q$39:$Q$83,$CD$9)&amp;"/"&amp;$BK$1),IF($AX12=8,IF($CD$9="","",INDEX(Tính!$R$39:$R$83,$CD$9)&amp;"/"&amp;$BL$1),"")))))</f>
        <v/>
      </c>
      <c r="R12" s="31" t="str">
        <f>IF($AX12=3,IF($CD$10="","",INDEX(Tính!$F$39:$F$83,$CD$10)),IF($AX12=4,IF($CD$10="","",INDEX(Tính!$C$182:$V$226,$CD$10,INDEX($BJ$3:$BJ$22,$AY12))),IF($AX12=5,IF($CD$10="","",INDEX(Tính!$P$39:$P$83,$CD$10)&amp;"/"&amp;COUNTIF($BA$3:$BA$22,"?*")),IF($AX12=7,IF($CD$10="","",INDEX(Tính!$Q$39:$Q$83,$CD$10)&amp;"/"&amp;$BK$1),IF($AX12=8,IF($CD$10="","",INDEX(Tính!$R$39:$R$83,$CD$10)&amp;"/"&amp;$BL$1),"")))))</f>
        <v/>
      </c>
      <c r="S12" s="31" t="str">
        <f>IF($AX12=3,IF($CD$11="","",INDEX(Tính!$F$39:$F$83,$CD$11)),IF($AX12=4,IF($CD$11="","",INDEX(Tính!$C$182:$V$226,$CD$11,INDEX($BJ$3:$BJ$22,$AY12))),IF($AX12=5,IF($CD$11="","",INDEX(Tính!$P$39:$P$83,$CD$11)&amp;"/"&amp;COUNTIF($BA$3:$BA$22,"?*")),IF($AX12=7,IF($CD$11="","",INDEX(Tính!$Q$39:$Q$83,$CD$11)&amp;"/"&amp;$BK$1),IF($AX12=8,IF($CD$11="","",INDEX(Tính!$R$39:$R$83,$CD$11)&amp;"/"&amp;$BL$1),"")))))</f>
        <v/>
      </c>
      <c r="T12" s="31" t="str">
        <f>IF($AX12=3,IF($CD$12="","",INDEX(Tính!$F$39:$F$83,$CD$12)),IF($AX12=4,IF($CD$12="","",INDEX(Tính!$C$182:$V$226,$CD$12,INDEX($BJ$3:$BJ$22,$AY12))),IF($AX12=5,IF($CD$12="","",INDEX(Tính!$P$39:$P$83,$CD$12)&amp;"/"&amp;COUNTIF($BA$3:$BA$22,"?*")),IF($AX12=7,IF($CD$12="","",INDEX(Tính!$Q$39:$Q$83,$CD$12)&amp;"/"&amp;$BK$1),IF($AX12=8,IF($CD$12="","",INDEX(Tính!$R$39:$R$83,$CD$12)&amp;"/"&amp;$BL$1),"")))))</f>
        <v/>
      </c>
      <c r="U12" s="31" t="str">
        <f>IF($AX12=3,IF($CD$13="","",INDEX(Tính!$F$39:$F$83,$CD$13)),IF($AX12=4,IF($CD$13="","",INDEX(Tính!$C$182:$V$226,$CD$13,INDEX($BJ$3:$BJ$22,$AY12))),IF($AX12=5,IF($CD$13="","",INDEX(Tính!$P$39:$P$83,$CD$13)&amp;"/"&amp;COUNTIF($BA$3:$BA$22,"?*")),IF($AX12=7,IF($CD$13="","",INDEX(Tính!$Q$39:$Q$83,$CD$13)&amp;"/"&amp;$BK$1),IF($AX12=8,IF($CD$13="","",INDEX(Tính!$R$39:$R$83,$CD$13)&amp;"/"&amp;$BL$1),"")))))</f>
        <v/>
      </c>
      <c r="V12" s="31" t="str">
        <f>IF($AX12=3,IF($CD$14="","",INDEX(Tính!$F$39:$F$83,$CD$14)),IF($AX12=4,IF($CD$14="","",INDEX(Tính!$C$182:$V$226,$CD$14,INDEX($BJ$3:$BJ$22,$AY12))),IF($AX12=5,IF($CD$14="","",INDEX(Tính!$P$39:$P$83,$CD$14)&amp;"/"&amp;COUNTIF($BA$3:$BA$22,"?*")),IF($AX12=7,IF($CD$14="","",INDEX(Tính!$Q$39:$Q$83,$CD$14)&amp;"/"&amp;$BK$1),IF($AX12=8,IF($CD$14="","",INDEX(Tính!$R$39:$R$83,$CD$14)&amp;"/"&amp;$BL$1),"")))))</f>
        <v/>
      </c>
      <c r="W12" s="31" t="str">
        <f>IF($AX12=3,IF($CD$15="","",INDEX(Tính!$F$39:$F$83,$CD$15)),IF($AX12=4,IF($CD$15="","",INDEX(Tính!$C$182:$V$226,$CD$15,INDEX($BJ$3:$BJ$22,$AY12))),IF($AX12=5,IF($CD$15="","",INDEX(Tính!$P$39:$P$83,$CD$15)&amp;"/"&amp;COUNTIF($BA$3:$BA$22,"?*")),IF($AX12=7,IF($CD$15="","",INDEX(Tính!$Q$39:$Q$83,$CD$15)&amp;"/"&amp;$BK$1),IF($AX12=8,IF($CD$15="","",INDEX(Tính!$R$39:$R$83,$CD$15)&amp;"/"&amp;$BL$1),"")))))</f>
        <v/>
      </c>
      <c r="X12" s="31" t="str">
        <f>IF($AX12=3,IF($CD$16="","",INDEX(Tính!$F$39:$F$83,$CD$16)),IF($AX12=4,IF($CD$16="","",INDEX(Tính!$C$182:$V$226,$CD$16,INDEX($BJ$3:$BJ$22,$AY12))),IF($AX12=5,IF($CD$16="","",INDEX(Tính!$P$39:$P$83,$CD$16)&amp;"/"&amp;COUNTIF($BA$3:$BA$22,"?*")),IF($AX12=7,IF($CD$16="","",INDEX(Tính!$Q$39:$Q$83,$CD$16)&amp;"/"&amp;$BK$1),IF($AX12=8,IF($CD$16="","",INDEX(Tính!$R$39:$R$83,$CD$16)&amp;"/"&amp;$BL$1),"")))))</f>
        <v/>
      </c>
      <c r="Y12" s="31" t="str">
        <f>IF($AX12=3,IF($CD$17="","",INDEX(Tính!$F$39:$F$83,$CD$17)),IF($AX12=4,IF($CD$17="","",INDEX(Tính!$C$182:$V$226,$CD$17,INDEX($BJ$3:$BJ$22,$AY12))),IF($AX12=5,IF($CD$17="","",INDEX(Tính!$P$39:$P$83,$CD$17)&amp;"/"&amp;COUNTIF($BA$3:$BA$22,"?*")),IF($AX12=7,IF($CD$17="","",INDEX(Tính!$Q$39:$Q$83,$CD$17)&amp;"/"&amp;$BK$1),IF($AX12=8,IF($CD$17="","",INDEX(Tính!$R$39:$R$83,$CD$17)&amp;"/"&amp;$BL$1),"")))))</f>
        <v/>
      </c>
      <c r="Z12" s="31" t="str">
        <f>IF($AX12=3,IF($CD$18="","",INDEX(Tính!$F$39:$F$83,$CD$18)),IF($AX12=4,IF($CD$18="","",INDEX(Tính!$C$182:$V$226,$CD$18,INDEX($BJ$3:$BJ$22,$AY12))),IF($AX12=5,IF($CD$18="","",INDEX(Tính!$P$39:$P$83,$CD$18)&amp;"/"&amp;COUNTIF($BA$3:$BA$22,"?*")),IF($AX12=7,IF($CD$18="","",INDEX(Tính!$Q$39:$Q$83,$CD$18)&amp;"/"&amp;$BK$1),IF($AX12=8,IF($CD$18="","",INDEX(Tính!$R$39:$R$83,$CD$18)&amp;"/"&amp;$BL$1),"")))))</f>
        <v/>
      </c>
      <c r="AA12" s="31" t="str">
        <f>IF($AX12=3,IF($CD$19="","",INDEX(Tính!$F$39:$F$83,$CD$19)),IF($AX12=4,IF($CD$19="","",INDEX(Tính!$C$182:$V$226,$CD$19,INDEX($BJ$3:$BJ$22,$AY12))),IF($AX12=5,IF($CD$19="","",INDEX(Tính!$P$39:$P$83,$CD$19)&amp;"/"&amp;COUNTIF($BA$3:$BA$22,"?*")),IF($AX12=7,IF($CD$19="","",INDEX(Tính!$Q$39:$Q$83,$CD$19)&amp;"/"&amp;$BK$1),IF($AX12=8,IF($CD$19="","",INDEX(Tính!$R$39:$R$83,$CD$19)&amp;"/"&amp;$BL$1),"")))))</f>
        <v/>
      </c>
      <c r="AB12" s="31" t="str">
        <f>IF($AX12=3,IF($CD$20="","",INDEX(Tính!$F$39:$F$83,$CD$20)),IF($AX12=4,IF($CD$20="","",INDEX(Tính!$C$182:$V$226,$CD$20,INDEX($BJ$3:$BJ$22,$AY12))),IF($AX12=5,IF($CD$20="","",INDEX(Tính!$P$39:$P$83,$CD$20)&amp;"/"&amp;COUNTIF($BA$3:$BA$22,"?*")),IF($AX12=7,IF($CD$20="","",INDEX(Tính!$Q$39:$Q$83,$CD$20)&amp;"/"&amp;$BK$1),IF($AX12=8,IF($CD$20="","",INDEX(Tính!$R$39:$R$83,$CD$20)&amp;"/"&amp;$BL$1),"")))))</f>
        <v/>
      </c>
      <c r="AC12" s="31" t="str">
        <f>IF($AX12=3,IF($CD$21="","",INDEX(Tính!$F$39:$F$83,$CD$21)),IF($AX12=4,IF($CD$21="","",INDEX(Tính!$C$182:$V$226,$CD$21,INDEX($BJ$3:$BJ$22,$AY12))),IF($AX12=5,IF($CD$21="","",INDEX(Tính!$P$39:$P$83,$CD$21)&amp;"/"&amp;COUNTIF($BA$3:$BA$22,"?*")),IF($AX12=7,IF($CD$21="","",INDEX(Tính!$Q$39:$Q$83,$CD$21)&amp;"/"&amp;$BK$1),IF($AX12=8,IF($CD$21="","",INDEX(Tính!$R$39:$R$83,$CD$21)&amp;"/"&amp;$BL$1),"")))))</f>
        <v/>
      </c>
      <c r="AD12" s="31" t="str">
        <f>IF($AX12=3,IF($CD$22="","",INDEX(Tính!$F$39:$F$83,$CD$22)),IF($AX12=4,IF($CD$22="","",INDEX(Tính!$C$182:$V$226,$CD$22,INDEX($BJ$3:$BJ$22,$AY12))),IF($AX12=5,IF($CD$22="","",INDEX(Tính!$P$39:$P$83,$CD$22)&amp;"/"&amp;COUNTIF($BA$3:$BA$22,"?*")),IF($AX12=7,IF($CD$22="","",INDEX(Tính!$Q$39:$Q$83,$CD$22)&amp;"/"&amp;$BK$1),IF($AX12=8,IF($CD$22="","",INDEX(Tính!$R$39:$R$83,$CD$22)&amp;"/"&amp;$BL$1),"")))))</f>
        <v/>
      </c>
      <c r="AW12" t="str">
        <f>$BK$5</f>
        <v/>
      </c>
      <c r="AX12">
        <f>IF(8=0,0,IF(8&lt;=$AX$1,1,IF(8=$AX$1+1,2,IF(8=$AX$1+2,3,IF((8-$AX$1-2)&lt;=$AX$3,IF(INDEX($BK$3:$BK$24,(8-$AX$1-2))="C",7,IF(INDEX($BK$3:$BK$24,(8-$AX$1-2))="V",8,4)),IF((8-$AX$1-2)=$AX$3+1,5,6))))))</f>
        <v>6</v>
      </c>
      <c r="AY12">
        <f>IF(AX12=1,8,IF(AX12=4,INDEX($BL$3:$BL$24,(8-$AX$1-2)),0))</f>
        <v>0</v>
      </c>
      <c r="BA12" t="str">
        <f>Tính!B12</f>
        <v/>
      </c>
      <c r="BB12" t="str">
        <f>Tính!D12</f>
        <v/>
      </c>
      <c r="BC12">
        <f>IF($AZ$1=0,Tính!$Z$12,CHOOSE($AZ$1,Tính!$G$12,Tính!$L$12,Tính!$Q$12,Tính!$V$12))</f>
        <v>0</v>
      </c>
      <c r="BD12">
        <f>IF($AZ$1=0,Tính!$Y$12,CHOOSE($AZ$1,Tính!$E$12,Tính!$J$12,Tính!$O$12,Tính!$T$12))</f>
        <v>0</v>
      </c>
      <c r="BE12">
        <f>IF($AZ$1=0,Tính!$AB$12,CHOOSE($AZ$1,Tính!$I$12,Tính!$N$12,Tính!$S$12,Tính!$X$12))</f>
        <v>0</v>
      </c>
      <c r="BF12">
        <f>IF($AZ$1=0,Tính!$AA$12,CHOOSE($AZ$1,Tính!$H$12,Tính!$M$12,Tính!$R$12,Tính!$W$12))</f>
        <v>0</v>
      </c>
      <c r="BG12">
        <f t="shared" si="0"/>
        <v>0</v>
      </c>
      <c r="BH12">
        <f t="shared" si="1"/>
        <v>0</v>
      </c>
      <c r="BI12">
        <f>IF(BA12="",-1,IF(BB12="Chính",1000,0)+BG12+(20-10)/100000)</f>
        <v>-1</v>
      </c>
      <c r="BJ12" t="str">
        <f>IF(LARGE($BI$3:$BI$22,10)&lt;0,"",MATCH(LARGE($BI$3:$BI$22,10),$BI$3:$BI$22,0))</f>
        <v/>
      </c>
      <c r="BK12" t="str">
        <f>IF(10=1,IF($BK$1&gt;0,"C",""),IF(10&lt;=$BK$1+1,"g",IF(10=$BK$1+2,IF($BL$1&gt;0,"V",""),IF(10&lt;=$BK$1+2+$BL$1,"g",""))))</f>
        <v/>
      </c>
      <c r="BL12" t="str">
        <f>IF(BK12="g",IF(10&lt;=$BK$1+1,10-1,10-2),"")</f>
        <v/>
      </c>
      <c r="CA12">
        <v>10</v>
      </c>
      <c r="CB12">
        <f>IF(Tính!B48="",0,IF(OR($AZ$1=0,Tính!D48=$AZ$1),1,0))</f>
        <v>0</v>
      </c>
      <c r="CC12">
        <f>IF(CB12=1,Tính!M48+1+(45-10)/1000000,-1)</f>
        <v>-1</v>
      </c>
      <c r="CD12" t="str">
        <f>IF(LARGE($CC$3:$CC$47,10)&lt;0,"",MATCH(LARGE($CC$3:$CC$47,10),$CC$3:$CC$47,0))</f>
        <v/>
      </c>
    </row>
    <row r="13" spans="1:82" x14ac:dyDescent="0.3">
      <c r="A13" s="54" t="str">
        <f>IF($BK$6="C","NHÓM CHÍNH",IF($BK$6="V","NHÓM VƯỢT TRỘI",IF($BL$6="","",INDEX($BA$3:$BA$22,INDEX($BJ$3:$BJ$22,$BL$6)))))</f>
        <v/>
      </c>
      <c r="B13" s="52"/>
      <c r="C13" s="26" t="str">
        <f>IF($BL$6="","",INDEX($BC$3:$BC$22,INDEX($BJ$3:$BJ$22,$BL$6)))</f>
        <v/>
      </c>
      <c r="D13" s="26" t="str">
        <f>IF($BL$6="","",INDEX($BD$3:$BD$22,INDEX($BJ$3:$BJ$22,$BL$6)))</f>
        <v/>
      </c>
      <c r="E13" s="27" t="str">
        <f>IF($BL$6="","",IF(C13&gt;0,D13/C13,1))</f>
        <v/>
      </c>
      <c r="F13" s="27" t="str">
        <f>IF($BK$6="C",COUNTIFS($BB$3:$BB$22,"Chính",$BG$3:$BG$22,"&gt;=0.995")&amp;"/"&amp;$BK$1,IF($BK$6="V",COUNTIFS($BB$3:$BB$22,"Vượt trội",$BG$3:$BG$22,"&gt;=0.995")&amp;"/"&amp;$BL$1,IF($BL$6="","",INDEX($BG$3:$BG$22,INDEX($BJ$3:$BJ$22,$BL$6)))))</f>
        <v/>
      </c>
      <c r="H13" s="29" t="str">
        <f t="shared" si="2"/>
        <v/>
      </c>
      <c r="I13" s="12" t="str">
        <f>IF($AX13=0,"Nhân viên",IF($AX13=1,INDEX(Tính!$F$39:$F$83,INDEX($CD$3:$CD$47,$AY13))&amp;" · "&amp;INDEX(Tính!$O$39:$O$83,INDEX($CD$3:$CD$47,$AY13)),IF($AX13=3,"Nhóm hàng",IF($AX13=4,INDEX($BA$3:$BA$22,INDEX($BJ$3:$BJ$22,$AY13)),IF($AX13=5,"Số nhóm đạt",IF($AX13=7,"NHÓM CHÍNH",IF($AX13=8,"NHÓM VƯỢT TRỘI","")))))))</f>
        <v/>
      </c>
      <c r="J13" s="30" t="str">
        <f>IF($AX13=0,"Mục tiêu",IF($AX13=1,FIXED(INDEX(Tính!$J$39:$J$83,INDEX($CD$3:$CD$47,$AY13)),0),IF($AX13=3,"Cả shop",IF($AX13=4,INDEX($BG$3:$BG$22,INDEX($BJ$3:$BJ$22,$AY13)),IF($AX13=5,COUNTIF($BG$3:$BG$22,"&gt;=0.995")&amp;"/"&amp;COUNTIF($BA$3:$BA$22,"?*"),IF($AX13=7,COUNTIFS($BB$3:$BB$22,"Chính",$BG$3:$BG$22,"&gt;=0.995")&amp;"/"&amp;$BK$1,IF($AX13=8,COUNTIFS($BB$3:$BB$22,"Vượt trội",$BG$3:$BG$22,"&gt;=0.995")&amp;"/"&amp;$BL$1,"")))))))</f>
        <v/>
      </c>
      <c r="K13" s="30" t="str">
        <f>IF($AX13=0,"DT QĐ",IF($AX13=1,FIXED(INDEX(Tính!$K$39:$K$83,INDEX($CD$3:$CD$47,$AY13)),1),IF($AX13=3,IF($CD$3="","",INDEX(Tính!$F$39:$F$83,$CD$3)),IF($AX13=4,IF($CD$3="","",INDEX(Tính!$C$182:$V$226,$CD$3,INDEX($BJ$3:$BJ$22,$AY13))),IF($AX13=5,IF($CD$3="","",INDEX(Tính!$P$39:$P$83,$CD$3)&amp;"/"&amp;COUNTIF($BA$3:$BA$22,"?*")),IF($AX13=7,IF($CD$3="","",INDEX(Tính!$Q$39:$Q$83,$CD$3)&amp;"/"&amp;$BK$1),IF($AX13=8,IF($CD$3="","",INDEX(Tính!$R$39:$R$83,$CD$3)&amp;"/"&amp;$BL$1),"")))))))</f>
        <v/>
      </c>
      <c r="L13" s="31" t="str">
        <f>IF($AX13=0,"% HT",IF($AX13=1,INDEX(Tính!$N$39:$N$83,INDEX($CD$3:$CD$47,$AY13)),IF($AX13=3,IF($CD$4="","",INDEX(Tính!$F$39:$F$83,$CD$4)),IF($AX13=4,IF($CD$4="","",INDEX(Tính!$C$182:$V$226,$CD$4,INDEX($BJ$3:$BJ$22,$AY13))),IF($AX13=5,IF($CD$4="","",INDEX(Tính!$P$39:$P$83,$CD$4)&amp;"/"&amp;COUNTIF($BA$3:$BA$22,"?*")),IF($AX13=7,IF($CD$4="","",INDEX(Tính!$Q$39:$Q$83,$CD$4)&amp;"/"&amp;$BK$1),IF($AX13=8,IF($CD$4="","",INDEX(Tính!$R$39:$R$83,$CD$4)&amp;"/"&amp;$BL$1),"")))))))</f>
        <v/>
      </c>
      <c r="M13" s="31" t="str">
        <f>IF($AX13=0,"Dự kiến",IF($AX13=1,INDEX(Tính!$M$39:$M$83,INDEX($CD$3:$CD$47,$AY13)),IF($AX13=3,IF($CD$5="","",INDEX(Tính!$F$39:$F$83,$CD$5)),IF($AX13=4,IF($CD$5="","",INDEX(Tính!$C$182:$V$226,$CD$5,INDEX($BJ$3:$BJ$22,$AY13))),IF($AX13=5,IF($CD$5="","",INDEX(Tính!$P$39:$P$83,$CD$5)&amp;"/"&amp;COUNTIF($BA$3:$BA$22,"?*")),IF($AX13=7,IF($CD$5="","",INDEX(Tính!$Q$39:$Q$83,$CD$5)&amp;"/"&amp;$BK$1),IF($AX13=8,IF($CD$5="","",INDEX(Tính!$R$39:$R$83,$CD$5)&amp;"/"&amp;$BL$1),"")))))))</f>
        <v/>
      </c>
      <c r="N13" s="31" t="str">
        <f>IF($AX13=0,"NH đạt",IF($AX13=1,INDEX(Tính!$P$39:$P$83,INDEX($CD$3:$CD$47,$AY13))&amp;"/"&amp;COUNTIF($BA$3:$BA$22,"?*"),IF($AX13=3,IF($CD$6="","",INDEX(Tính!$F$39:$F$83,$CD$6)),IF($AX13=4,IF($CD$6="","",INDEX(Tính!$C$182:$V$226,$CD$6,INDEX($BJ$3:$BJ$22,$AY13))),IF($AX13=5,IF($CD$6="","",INDEX(Tính!$P$39:$P$83,$CD$6)&amp;"/"&amp;COUNTIF($BA$3:$BA$22,"?*")),IF($AX13=7,IF($CD$6="","",INDEX(Tính!$Q$39:$Q$83,$CD$6)&amp;"/"&amp;$BK$1),IF($AX13=8,IF($CD$6="","",INDEX(Tính!$R$39:$R$83,$CD$6)&amp;"/"&amp;$BL$1),"")))))))</f>
        <v/>
      </c>
      <c r="O13" s="31" t="str">
        <f>IF($AX13=3,IF($CD$7="","",INDEX(Tính!$F$39:$F$83,$CD$7)),IF($AX13=4,IF($CD$7="","",INDEX(Tính!$C$182:$V$226,$CD$7,INDEX($BJ$3:$BJ$22,$AY13))),IF($AX13=5,IF($CD$7="","",INDEX(Tính!$P$39:$P$83,$CD$7)&amp;"/"&amp;COUNTIF($BA$3:$BA$22,"?*")),IF($AX13=7,IF($CD$7="","",INDEX(Tính!$Q$39:$Q$83,$CD$7)&amp;"/"&amp;$BK$1),IF($AX13=8,IF($CD$7="","",INDEX(Tính!$R$39:$R$83,$CD$7)&amp;"/"&amp;$BL$1),"")))))</f>
        <v/>
      </c>
      <c r="P13" s="31" t="str">
        <f>IF($AX13=3,IF($CD$8="","",INDEX(Tính!$F$39:$F$83,$CD$8)),IF($AX13=4,IF($CD$8="","",INDEX(Tính!$C$182:$V$226,$CD$8,INDEX($BJ$3:$BJ$22,$AY13))),IF($AX13=5,IF($CD$8="","",INDEX(Tính!$P$39:$P$83,$CD$8)&amp;"/"&amp;COUNTIF($BA$3:$BA$22,"?*")),IF($AX13=7,IF($CD$8="","",INDEX(Tính!$Q$39:$Q$83,$CD$8)&amp;"/"&amp;$BK$1),IF($AX13=8,IF($CD$8="","",INDEX(Tính!$R$39:$R$83,$CD$8)&amp;"/"&amp;$BL$1),"")))))</f>
        <v/>
      </c>
      <c r="Q13" s="31" t="str">
        <f>IF($AX13=3,IF($CD$9="","",INDEX(Tính!$F$39:$F$83,$CD$9)),IF($AX13=4,IF($CD$9="","",INDEX(Tính!$C$182:$V$226,$CD$9,INDEX($BJ$3:$BJ$22,$AY13))),IF($AX13=5,IF($CD$9="","",INDEX(Tính!$P$39:$P$83,$CD$9)&amp;"/"&amp;COUNTIF($BA$3:$BA$22,"?*")),IF($AX13=7,IF($CD$9="","",INDEX(Tính!$Q$39:$Q$83,$CD$9)&amp;"/"&amp;$BK$1),IF($AX13=8,IF($CD$9="","",INDEX(Tính!$R$39:$R$83,$CD$9)&amp;"/"&amp;$BL$1),"")))))</f>
        <v/>
      </c>
      <c r="R13" s="31" t="str">
        <f>IF($AX13=3,IF($CD$10="","",INDEX(Tính!$F$39:$F$83,$CD$10)),IF($AX13=4,IF($CD$10="","",INDEX(Tính!$C$182:$V$226,$CD$10,INDEX($BJ$3:$BJ$22,$AY13))),IF($AX13=5,IF($CD$10="","",INDEX(Tính!$P$39:$P$83,$CD$10)&amp;"/"&amp;COUNTIF($BA$3:$BA$22,"?*")),IF($AX13=7,IF($CD$10="","",INDEX(Tính!$Q$39:$Q$83,$CD$10)&amp;"/"&amp;$BK$1),IF($AX13=8,IF($CD$10="","",INDEX(Tính!$R$39:$R$83,$CD$10)&amp;"/"&amp;$BL$1),"")))))</f>
        <v/>
      </c>
      <c r="S13" s="31" t="str">
        <f>IF($AX13=3,IF($CD$11="","",INDEX(Tính!$F$39:$F$83,$CD$11)),IF($AX13=4,IF($CD$11="","",INDEX(Tính!$C$182:$V$226,$CD$11,INDEX($BJ$3:$BJ$22,$AY13))),IF($AX13=5,IF($CD$11="","",INDEX(Tính!$P$39:$P$83,$CD$11)&amp;"/"&amp;COUNTIF($BA$3:$BA$22,"?*")),IF($AX13=7,IF($CD$11="","",INDEX(Tính!$Q$39:$Q$83,$CD$11)&amp;"/"&amp;$BK$1),IF($AX13=8,IF($CD$11="","",INDEX(Tính!$R$39:$R$83,$CD$11)&amp;"/"&amp;$BL$1),"")))))</f>
        <v/>
      </c>
      <c r="T13" s="31" t="str">
        <f>IF($AX13=3,IF($CD$12="","",INDEX(Tính!$F$39:$F$83,$CD$12)),IF($AX13=4,IF($CD$12="","",INDEX(Tính!$C$182:$V$226,$CD$12,INDEX($BJ$3:$BJ$22,$AY13))),IF($AX13=5,IF($CD$12="","",INDEX(Tính!$P$39:$P$83,$CD$12)&amp;"/"&amp;COUNTIF($BA$3:$BA$22,"?*")),IF($AX13=7,IF($CD$12="","",INDEX(Tính!$Q$39:$Q$83,$CD$12)&amp;"/"&amp;$BK$1),IF($AX13=8,IF($CD$12="","",INDEX(Tính!$R$39:$R$83,$CD$12)&amp;"/"&amp;$BL$1),"")))))</f>
        <v/>
      </c>
      <c r="U13" s="31" t="str">
        <f>IF($AX13=3,IF($CD$13="","",INDEX(Tính!$F$39:$F$83,$CD$13)),IF($AX13=4,IF($CD$13="","",INDEX(Tính!$C$182:$V$226,$CD$13,INDEX($BJ$3:$BJ$22,$AY13))),IF($AX13=5,IF($CD$13="","",INDEX(Tính!$P$39:$P$83,$CD$13)&amp;"/"&amp;COUNTIF($BA$3:$BA$22,"?*")),IF($AX13=7,IF($CD$13="","",INDEX(Tính!$Q$39:$Q$83,$CD$13)&amp;"/"&amp;$BK$1),IF($AX13=8,IF($CD$13="","",INDEX(Tính!$R$39:$R$83,$CD$13)&amp;"/"&amp;$BL$1),"")))))</f>
        <v/>
      </c>
      <c r="V13" s="31" t="str">
        <f>IF($AX13=3,IF($CD$14="","",INDEX(Tính!$F$39:$F$83,$CD$14)),IF($AX13=4,IF($CD$14="","",INDEX(Tính!$C$182:$V$226,$CD$14,INDEX($BJ$3:$BJ$22,$AY13))),IF($AX13=5,IF($CD$14="","",INDEX(Tính!$P$39:$P$83,$CD$14)&amp;"/"&amp;COUNTIF($BA$3:$BA$22,"?*")),IF($AX13=7,IF($CD$14="","",INDEX(Tính!$Q$39:$Q$83,$CD$14)&amp;"/"&amp;$BK$1),IF($AX13=8,IF($CD$14="","",INDEX(Tính!$R$39:$R$83,$CD$14)&amp;"/"&amp;$BL$1),"")))))</f>
        <v/>
      </c>
      <c r="W13" s="31" t="str">
        <f>IF($AX13=3,IF($CD$15="","",INDEX(Tính!$F$39:$F$83,$CD$15)),IF($AX13=4,IF($CD$15="","",INDEX(Tính!$C$182:$V$226,$CD$15,INDEX($BJ$3:$BJ$22,$AY13))),IF($AX13=5,IF($CD$15="","",INDEX(Tính!$P$39:$P$83,$CD$15)&amp;"/"&amp;COUNTIF($BA$3:$BA$22,"?*")),IF($AX13=7,IF($CD$15="","",INDEX(Tính!$Q$39:$Q$83,$CD$15)&amp;"/"&amp;$BK$1),IF($AX13=8,IF($CD$15="","",INDEX(Tính!$R$39:$R$83,$CD$15)&amp;"/"&amp;$BL$1),"")))))</f>
        <v/>
      </c>
      <c r="X13" s="31" t="str">
        <f>IF($AX13=3,IF($CD$16="","",INDEX(Tính!$F$39:$F$83,$CD$16)),IF($AX13=4,IF($CD$16="","",INDEX(Tính!$C$182:$V$226,$CD$16,INDEX($BJ$3:$BJ$22,$AY13))),IF($AX13=5,IF($CD$16="","",INDEX(Tính!$P$39:$P$83,$CD$16)&amp;"/"&amp;COUNTIF($BA$3:$BA$22,"?*")),IF($AX13=7,IF($CD$16="","",INDEX(Tính!$Q$39:$Q$83,$CD$16)&amp;"/"&amp;$BK$1),IF($AX13=8,IF($CD$16="","",INDEX(Tính!$R$39:$R$83,$CD$16)&amp;"/"&amp;$BL$1),"")))))</f>
        <v/>
      </c>
      <c r="Y13" s="31" t="str">
        <f>IF($AX13=3,IF($CD$17="","",INDEX(Tính!$F$39:$F$83,$CD$17)),IF($AX13=4,IF($CD$17="","",INDEX(Tính!$C$182:$V$226,$CD$17,INDEX($BJ$3:$BJ$22,$AY13))),IF($AX13=5,IF($CD$17="","",INDEX(Tính!$P$39:$P$83,$CD$17)&amp;"/"&amp;COUNTIF($BA$3:$BA$22,"?*")),IF($AX13=7,IF($CD$17="","",INDEX(Tính!$Q$39:$Q$83,$CD$17)&amp;"/"&amp;$BK$1),IF($AX13=8,IF($CD$17="","",INDEX(Tính!$R$39:$R$83,$CD$17)&amp;"/"&amp;$BL$1),"")))))</f>
        <v/>
      </c>
      <c r="Z13" s="31" t="str">
        <f>IF($AX13=3,IF($CD$18="","",INDEX(Tính!$F$39:$F$83,$CD$18)),IF($AX13=4,IF($CD$18="","",INDEX(Tính!$C$182:$V$226,$CD$18,INDEX($BJ$3:$BJ$22,$AY13))),IF($AX13=5,IF($CD$18="","",INDEX(Tính!$P$39:$P$83,$CD$18)&amp;"/"&amp;COUNTIF($BA$3:$BA$22,"?*")),IF($AX13=7,IF($CD$18="","",INDEX(Tính!$Q$39:$Q$83,$CD$18)&amp;"/"&amp;$BK$1),IF($AX13=8,IF($CD$18="","",INDEX(Tính!$R$39:$R$83,$CD$18)&amp;"/"&amp;$BL$1),"")))))</f>
        <v/>
      </c>
      <c r="AA13" s="31" t="str">
        <f>IF($AX13=3,IF($CD$19="","",INDEX(Tính!$F$39:$F$83,$CD$19)),IF($AX13=4,IF($CD$19="","",INDEX(Tính!$C$182:$V$226,$CD$19,INDEX($BJ$3:$BJ$22,$AY13))),IF($AX13=5,IF($CD$19="","",INDEX(Tính!$P$39:$P$83,$CD$19)&amp;"/"&amp;COUNTIF($BA$3:$BA$22,"?*")),IF($AX13=7,IF($CD$19="","",INDEX(Tính!$Q$39:$Q$83,$CD$19)&amp;"/"&amp;$BK$1),IF($AX13=8,IF($CD$19="","",INDEX(Tính!$R$39:$R$83,$CD$19)&amp;"/"&amp;$BL$1),"")))))</f>
        <v/>
      </c>
      <c r="AB13" s="31" t="str">
        <f>IF($AX13=3,IF($CD$20="","",INDEX(Tính!$F$39:$F$83,$CD$20)),IF($AX13=4,IF($CD$20="","",INDEX(Tính!$C$182:$V$226,$CD$20,INDEX($BJ$3:$BJ$22,$AY13))),IF($AX13=5,IF($CD$20="","",INDEX(Tính!$P$39:$P$83,$CD$20)&amp;"/"&amp;COUNTIF($BA$3:$BA$22,"?*")),IF($AX13=7,IF($CD$20="","",INDEX(Tính!$Q$39:$Q$83,$CD$20)&amp;"/"&amp;$BK$1),IF($AX13=8,IF($CD$20="","",INDEX(Tính!$R$39:$R$83,$CD$20)&amp;"/"&amp;$BL$1),"")))))</f>
        <v/>
      </c>
      <c r="AC13" s="31" t="str">
        <f>IF($AX13=3,IF($CD$21="","",INDEX(Tính!$F$39:$F$83,$CD$21)),IF($AX13=4,IF($CD$21="","",INDEX(Tính!$C$182:$V$226,$CD$21,INDEX($BJ$3:$BJ$22,$AY13))),IF($AX13=5,IF($CD$21="","",INDEX(Tính!$P$39:$P$83,$CD$21)&amp;"/"&amp;COUNTIF($BA$3:$BA$22,"?*")),IF($AX13=7,IF($CD$21="","",INDEX(Tính!$Q$39:$Q$83,$CD$21)&amp;"/"&amp;$BK$1),IF($AX13=8,IF($CD$21="","",INDEX(Tính!$R$39:$R$83,$CD$21)&amp;"/"&amp;$BL$1),"")))))</f>
        <v/>
      </c>
      <c r="AD13" s="31" t="str">
        <f>IF($AX13=3,IF($CD$22="","",INDEX(Tính!$F$39:$F$83,$CD$22)),IF($AX13=4,IF($CD$22="","",INDEX(Tính!$C$182:$V$226,$CD$22,INDEX($BJ$3:$BJ$22,$AY13))),IF($AX13=5,IF($CD$22="","",INDEX(Tính!$P$39:$P$83,$CD$22)&amp;"/"&amp;COUNTIF($BA$3:$BA$22,"?*")),IF($AX13=7,IF($CD$22="","",INDEX(Tính!$Q$39:$Q$83,$CD$22)&amp;"/"&amp;$BK$1),IF($AX13=8,IF($CD$22="","",INDEX(Tính!$R$39:$R$83,$CD$22)&amp;"/"&amp;$BL$1),"")))))</f>
        <v/>
      </c>
      <c r="AW13" t="str">
        <f>$BK$6</f>
        <v/>
      </c>
      <c r="AX13">
        <f>IF(9=0,0,IF(9&lt;=$AX$1,1,IF(9=$AX$1+1,2,IF(9=$AX$1+2,3,IF((9-$AX$1-2)&lt;=$AX$3,IF(INDEX($BK$3:$BK$24,(9-$AX$1-2))="C",7,IF(INDEX($BK$3:$BK$24,(9-$AX$1-2))="V",8,4)),IF((9-$AX$1-2)=$AX$3+1,5,6))))))</f>
        <v>6</v>
      </c>
      <c r="AY13">
        <f>IF(AX13=1,9,IF(AX13=4,INDEX($BL$3:$BL$24,(9-$AX$1-2)),0))</f>
        <v>0</v>
      </c>
      <c r="BA13" t="str">
        <f>Tính!B13</f>
        <v/>
      </c>
      <c r="BB13" t="str">
        <f>Tính!D13</f>
        <v/>
      </c>
      <c r="BC13">
        <f>IF($AZ$1=0,Tính!$Z$13,CHOOSE($AZ$1,Tính!$G$13,Tính!$L$13,Tính!$Q$13,Tính!$V$13))</f>
        <v>0</v>
      </c>
      <c r="BD13">
        <f>IF($AZ$1=0,Tính!$Y$13,CHOOSE($AZ$1,Tính!$E$13,Tính!$J$13,Tính!$O$13,Tính!$T$13))</f>
        <v>0</v>
      </c>
      <c r="BE13">
        <f>IF($AZ$1=0,Tính!$AB$13,CHOOSE($AZ$1,Tính!$I$13,Tính!$N$13,Tính!$S$13,Tính!$X$13))</f>
        <v>0</v>
      </c>
      <c r="BF13">
        <f>IF($AZ$1=0,Tính!$AA$13,CHOOSE($AZ$1,Tính!$H$13,Tính!$M$13,Tính!$R$13,Tính!$W$13))</f>
        <v>0</v>
      </c>
      <c r="BG13">
        <f t="shared" si="0"/>
        <v>0</v>
      </c>
      <c r="BH13">
        <f t="shared" si="1"/>
        <v>0</v>
      </c>
      <c r="BI13">
        <f>IF(BA13="",-1,IF(BB13="Chính",1000,0)+BG13+(20-11)/100000)</f>
        <v>-1</v>
      </c>
      <c r="BJ13" t="str">
        <f>IF(LARGE($BI$3:$BI$22,11)&lt;0,"",MATCH(LARGE($BI$3:$BI$22,11),$BI$3:$BI$22,0))</f>
        <v/>
      </c>
      <c r="BK13" t="str">
        <f>IF(11=1,IF($BK$1&gt;0,"C",""),IF(11&lt;=$BK$1+1,"g",IF(11=$BK$1+2,IF($BL$1&gt;0,"V",""),IF(11&lt;=$BK$1+2+$BL$1,"g",""))))</f>
        <v/>
      </c>
      <c r="BL13" t="str">
        <f>IF(BK13="g",IF(11&lt;=$BK$1+1,11-1,11-2),"")</f>
        <v/>
      </c>
      <c r="CA13">
        <v>11</v>
      </c>
      <c r="CB13">
        <f>IF(Tính!B49="",0,IF(OR($AZ$1=0,Tính!D49=$AZ$1),1,0))</f>
        <v>0</v>
      </c>
      <c r="CC13">
        <f>IF(CB13=1,Tính!M49+1+(45-11)/1000000,-1)</f>
        <v>-1</v>
      </c>
      <c r="CD13" t="str">
        <f>IF(LARGE($CC$3:$CC$47,11)&lt;0,"",MATCH(LARGE($CC$3:$CC$47,11),$CC$3:$CC$47,0))</f>
        <v/>
      </c>
    </row>
    <row r="14" spans="1:82" x14ac:dyDescent="0.3">
      <c r="A14" s="54" t="str">
        <f>IF($BK$7="C","NHÓM CHÍNH",IF($BK$7="V","NHÓM VƯỢT TRỘI",IF($BL$7="","",INDEX($BA$3:$BA$22,INDEX($BJ$3:$BJ$22,$BL$7)))))</f>
        <v/>
      </c>
      <c r="B14" s="52"/>
      <c r="C14" s="26" t="str">
        <f>IF($BL$7="","",INDEX($BC$3:$BC$22,INDEX($BJ$3:$BJ$22,$BL$7)))</f>
        <v/>
      </c>
      <c r="D14" s="26" t="str">
        <f>IF($BL$7="","",INDEX($BD$3:$BD$22,INDEX($BJ$3:$BJ$22,$BL$7)))</f>
        <v/>
      </c>
      <c r="E14" s="27" t="str">
        <f>IF($BL$7="","",IF(C14&gt;0,D14/C14,1))</f>
        <v/>
      </c>
      <c r="F14" s="27" t="str">
        <f>IF($BK$7="C",COUNTIFS($BB$3:$BB$22,"Chính",$BG$3:$BG$22,"&gt;=0.995")&amp;"/"&amp;$BK$1,IF($BK$7="V",COUNTIFS($BB$3:$BB$22,"Vượt trội",$BG$3:$BG$22,"&gt;=0.995")&amp;"/"&amp;$BL$1,IF($BL$7="","",INDEX($BG$3:$BG$22,INDEX($BJ$3:$BJ$22,$BL$7)))))</f>
        <v/>
      </c>
      <c r="H14" s="29" t="str">
        <f t="shared" si="2"/>
        <v/>
      </c>
      <c r="I14" s="12" t="str">
        <f>IF($AX14=0,"Nhân viên",IF($AX14=1,INDEX(Tính!$F$39:$F$83,INDEX($CD$3:$CD$47,$AY14))&amp;" · "&amp;INDEX(Tính!$O$39:$O$83,INDEX($CD$3:$CD$47,$AY14)),IF($AX14=3,"Nhóm hàng",IF($AX14=4,INDEX($BA$3:$BA$22,INDEX($BJ$3:$BJ$22,$AY14)),IF($AX14=5,"Số nhóm đạt",IF($AX14=7,"NHÓM CHÍNH",IF($AX14=8,"NHÓM VƯỢT TRỘI","")))))))</f>
        <v/>
      </c>
      <c r="J14" s="30" t="str">
        <f>IF($AX14=0,"Mục tiêu",IF($AX14=1,FIXED(INDEX(Tính!$J$39:$J$83,INDEX($CD$3:$CD$47,$AY14)),0),IF($AX14=3,"Cả shop",IF($AX14=4,INDEX($BG$3:$BG$22,INDEX($BJ$3:$BJ$22,$AY14)),IF($AX14=5,COUNTIF($BG$3:$BG$22,"&gt;=0.995")&amp;"/"&amp;COUNTIF($BA$3:$BA$22,"?*"),IF($AX14=7,COUNTIFS($BB$3:$BB$22,"Chính",$BG$3:$BG$22,"&gt;=0.995")&amp;"/"&amp;$BK$1,IF($AX14=8,COUNTIFS($BB$3:$BB$22,"Vượt trội",$BG$3:$BG$22,"&gt;=0.995")&amp;"/"&amp;$BL$1,"")))))))</f>
        <v/>
      </c>
      <c r="K14" s="30" t="str">
        <f>IF($AX14=0,"DT QĐ",IF($AX14=1,FIXED(INDEX(Tính!$K$39:$K$83,INDEX($CD$3:$CD$47,$AY14)),1),IF($AX14=3,IF($CD$3="","",INDEX(Tính!$F$39:$F$83,$CD$3)),IF($AX14=4,IF($CD$3="","",INDEX(Tính!$C$182:$V$226,$CD$3,INDEX($BJ$3:$BJ$22,$AY14))),IF($AX14=5,IF($CD$3="","",INDEX(Tính!$P$39:$P$83,$CD$3)&amp;"/"&amp;COUNTIF($BA$3:$BA$22,"?*")),IF($AX14=7,IF($CD$3="","",INDEX(Tính!$Q$39:$Q$83,$CD$3)&amp;"/"&amp;$BK$1),IF($AX14=8,IF($CD$3="","",INDEX(Tính!$R$39:$R$83,$CD$3)&amp;"/"&amp;$BL$1),"")))))))</f>
        <v/>
      </c>
      <c r="L14" s="31" t="str">
        <f>IF($AX14=0,"% HT",IF($AX14=1,INDEX(Tính!$N$39:$N$83,INDEX($CD$3:$CD$47,$AY14)),IF($AX14=3,IF($CD$4="","",INDEX(Tính!$F$39:$F$83,$CD$4)),IF($AX14=4,IF($CD$4="","",INDEX(Tính!$C$182:$V$226,$CD$4,INDEX($BJ$3:$BJ$22,$AY14))),IF($AX14=5,IF($CD$4="","",INDEX(Tính!$P$39:$P$83,$CD$4)&amp;"/"&amp;COUNTIF($BA$3:$BA$22,"?*")),IF($AX14=7,IF($CD$4="","",INDEX(Tính!$Q$39:$Q$83,$CD$4)&amp;"/"&amp;$BK$1),IF($AX14=8,IF($CD$4="","",INDEX(Tính!$R$39:$R$83,$CD$4)&amp;"/"&amp;$BL$1),"")))))))</f>
        <v/>
      </c>
      <c r="M14" s="31" t="str">
        <f>IF($AX14=0,"Dự kiến",IF($AX14=1,INDEX(Tính!$M$39:$M$83,INDEX($CD$3:$CD$47,$AY14)),IF($AX14=3,IF($CD$5="","",INDEX(Tính!$F$39:$F$83,$CD$5)),IF($AX14=4,IF($CD$5="","",INDEX(Tính!$C$182:$V$226,$CD$5,INDEX($BJ$3:$BJ$22,$AY14))),IF($AX14=5,IF($CD$5="","",INDEX(Tính!$P$39:$P$83,$CD$5)&amp;"/"&amp;COUNTIF($BA$3:$BA$22,"?*")),IF($AX14=7,IF($CD$5="","",INDEX(Tính!$Q$39:$Q$83,$CD$5)&amp;"/"&amp;$BK$1),IF($AX14=8,IF($CD$5="","",INDEX(Tính!$R$39:$R$83,$CD$5)&amp;"/"&amp;$BL$1),"")))))))</f>
        <v/>
      </c>
      <c r="N14" s="31" t="str">
        <f>IF($AX14=0,"NH đạt",IF($AX14=1,INDEX(Tính!$P$39:$P$83,INDEX($CD$3:$CD$47,$AY14))&amp;"/"&amp;COUNTIF($BA$3:$BA$22,"?*"),IF($AX14=3,IF($CD$6="","",INDEX(Tính!$F$39:$F$83,$CD$6)),IF($AX14=4,IF($CD$6="","",INDEX(Tính!$C$182:$V$226,$CD$6,INDEX($BJ$3:$BJ$22,$AY14))),IF($AX14=5,IF($CD$6="","",INDEX(Tính!$P$39:$P$83,$CD$6)&amp;"/"&amp;COUNTIF($BA$3:$BA$22,"?*")),IF($AX14=7,IF($CD$6="","",INDEX(Tính!$Q$39:$Q$83,$CD$6)&amp;"/"&amp;$BK$1),IF($AX14=8,IF($CD$6="","",INDEX(Tính!$R$39:$R$83,$CD$6)&amp;"/"&amp;$BL$1),"")))))))</f>
        <v/>
      </c>
      <c r="O14" s="31" t="str">
        <f>IF($AX14=3,IF($CD$7="","",INDEX(Tính!$F$39:$F$83,$CD$7)),IF($AX14=4,IF($CD$7="","",INDEX(Tính!$C$182:$V$226,$CD$7,INDEX($BJ$3:$BJ$22,$AY14))),IF($AX14=5,IF($CD$7="","",INDEX(Tính!$P$39:$P$83,$CD$7)&amp;"/"&amp;COUNTIF($BA$3:$BA$22,"?*")),IF($AX14=7,IF($CD$7="","",INDEX(Tính!$Q$39:$Q$83,$CD$7)&amp;"/"&amp;$BK$1),IF($AX14=8,IF($CD$7="","",INDEX(Tính!$R$39:$R$83,$CD$7)&amp;"/"&amp;$BL$1),"")))))</f>
        <v/>
      </c>
      <c r="P14" s="31" t="str">
        <f>IF($AX14=3,IF($CD$8="","",INDEX(Tính!$F$39:$F$83,$CD$8)),IF($AX14=4,IF($CD$8="","",INDEX(Tính!$C$182:$V$226,$CD$8,INDEX($BJ$3:$BJ$22,$AY14))),IF($AX14=5,IF($CD$8="","",INDEX(Tính!$P$39:$P$83,$CD$8)&amp;"/"&amp;COUNTIF($BA$3:$BA$22,"?*")),IF($AX14=7,IF($CD$8="","",INDEX(Tính!$Q$39:$Q$83,$CD$8)&amp;"/"&amp;$BK$1),IF($AX14=8,IF($CD$8="","",INDEX(Tính!$R$39:$R$83,$CD$8)&amp;"/"&amp;$BL$1),"")))))</f>
        <v/>
      </c>
      <c r="Q14" s="31" t="str">
        <f>IF($AX14=3,IF($CD$9="","",INDEX(Tính!$F$39:$F$83,$CD$9)),IF($AX14=4,IF($CD$9="","",INDEX(Tính!$C$182:$V$226,$CD$9,INDEX($BJ$3:$BJ$22,$AY14))),IF($AX14=5,IF($CD$9="","",INDEX(Tính!$P$39:$P$83,$CD$9)&amp;"/"&amp;COUNTIF($BA$3:$BA$22,"?*")),IF($AX14=7,IF($CD$9="","",INDEX(Tính!$Q$39:$Q$83,$CD$9)&amp;"/"&amp;$BK$1),IF($AX14=8,IF($CD$9="","",INDEX(Tính!$R$39:$R$83,$CD$9)&amp;"/"&amp;$BL$1),"")))))</f>
        <v/>
      </c>
      <c r="R14" s="31" t="str">
        <f>IF($AX14=3,IF($CD$10="","",INDEX(Tính!$F$39:$F$83,$CD$10)),IF($AX14=4,IF($CD$10="","",INDEX(Tính!$C$182:$V$226,$CD$10,INDEX($BJ$3:$BJ$22,$AY14))),IF($AX14=5,IF($CD$10="","",INDEX(Tính!$P$39:$P$83,$CD$10)&amp;"/"&amp;COUNTIF($BA$3:$BA$22,"?*")),IF($AX14=7,IF($CD$10="","",INDEX(Tính!$Q$39:$Q$83,$CD$10)&amp;"/"&amp;$BK$1),IF($AX14=8,IF($CD$10="","",INDEX(Tính!$R$39:$R$83,$CD$10)&amp;"/"&amp;$BL$1),"")))))</f>
        <v/>
      </c>
      <c r="S14" s="31" t="str">
        <f>IF($AX14=3,IF($CD$11="","",INDEX(Tính!$F$39:$F$83,$CD$11)),IF($AX14=4,IF($CD$11="","",INDEX(Tính!$C$182:$V$226,$CD$11,INDEX($BJ$3:$BJ$22,$AY14))),IF($AX14=5,IF($CD$11="","",INDEX(Tính!$P$39:$P$83,$CD$11)&amp;"/"&amp;COUNTIF($BA$3:$BA$22,"?*")),IF($AX14=7,IF($CD$11="","",INDEX(Tính!$Q$39:$Q$83,$CD$11)&amp;"/"&amp;$BK$1),IF($AX14=8,IF($CD$11="","",INDEX(Tính!$R$39:$R$83,$CD$11)&amp;"/"&amp;$BL$1),"")))))</f>
        <v/>
      </c>
      <c r="T14" s="31" t="str">
        <f>IF($AX14=3,IF($CD$12="","",INDEX(Tính!$F$39:$F$83,$CD$12)),IF($AX14=4,IF($CD$12="","",INDEX(Tính!$C$182:$V$226,$CD$12,INDEX($BJ$3:$BJ$22,$AY14))),IF($AX14=5,IF($CD$12="","",INDEX(Tính!$P$39:$P$83,$CD$12)&amp;"/"&amp;COUNTIF($BA$3:$BA$22,"?*")),IF($AX14=7,IF($CD$12="","",INDEX(Tính!$Q$39:$Q$83,$CD$12)&amp;"/"&amp;$BK$1),IF($AX14=8,IF($CD$12="","",INDEX(Tính!$R$39:$R$83,$CD$12)&amp;"/"&amp;$BL$1),"")))))</f>
        <v/>
      </c>
      <c r="U14" s="31" t="str">
        <f>IF($AX14=3,IF($CD$13="","",INDEX(Tính!$F$39:$F$83,$CD$13)),IF($AX14=4,IF($CD$13="","",INDEX(Tính!$C$182:$V$226,$CD$13,INDEX($BJ$3:$BJ$22,$AY14))),IF($AX14=5,IF($CD$13="","",INDEX(Tính!$P$39:$P$83,$CD$13)&amp;"/"&amp;COUNTIF($BA$3:$BA$22,"?*")),IF($AX14=7,IF($CD$13="","",INDEX(Tính!$Q$39:$Q$83,$CD$13)&amp;"/"&amp;$BK$1),IF($AX14=8,IF($CD$13="","",INDEX(Tính!$R$39:$R$83,$CD$13)&amp;"/"&amp;$BL$1),"")))))</f>
        <v/>
      </c>
      <c r="V14" s="31" t="str">
        <f>IF($AX14=3,IF($CD$14="","",INDEX(Tính!$F$39:$F$83,$CD$14)),IF($AX14=4,IF($CD$14="","",INDEX(Tính!$C$182:$V$226,$CD$14,INDEX($BJ$3:$BJ$22,$AY14))),IF($AX14=5,IF($CD$14="","",INDEX(Tính!$P$39:$P$83,$CD$14)&amp;"/"&amp;COUNTIF($BA$3:$BA$22,"?*")),IF($AX14=7,IF($CD$14="","",INDEX(Tính!$Q$39:$Q$83,$CD$14)&amp;"/"&amp;$BK$1),IF($AX14=8,IF($CD$14="","",INDEX(Tính!$R$39:$R$83,$CD$14)&amp;"/"&amp;$BL$1),"")))))</f>
        <v/>
      </c>
      <c r="W14" s="31" t="str">
        <f>IF($AX14=3,IF($CD$15="","",INDEX(Tính!$F$39:$F$83,$CD$15)),IF($AX14=4,IF($CD$15="","",INDEX(Tính!$C$182:$V$226,$CD$15,INDEX($BJ$3:$BJ$22,$AY14))),IF($AX14=5,IF($CD$15="","",INDEX(Tính!$P$39:$P$83,$CD$15)&amp;"/"&amp;COUNTIF($BA$3:$BA$22,"?*")),IF($AX14=7,IF($CD$15="","",INDEX(Tính!$Q$39:$Q$83,$CD$15)&amp;"/"&amp;$BK$1),IF($AX14=8,IF($CD$15="","",INDEX(Tính!$R$39:$R$83,$CD$15)&amp;"/"&amp;$BL$1),"")))))</f>
        <v/>
      </c>
      <c r="X14" s="31" t="str">
        <f>IF($AX14=3,IF($CD$16="","",INDEX(Tính!$F$39:$F$83,$CD$16)),IF($AX14=4,IF($CD$16="","",INDEX(Tính!$C$182:$V$226,$CD$16,INDEX($BJ$3:$BJ$22,$AY14))),IF($AX14=5,IF($CD$16="","",INDEX(Tính!$P$39:$P$83,$CD$16)&amp;"/"&amp;COUNTIF($BA$3:$BA$22,"?*")),IF($AX14=7,IF($CD$16="","",INDEX(Tính!$Q$39:$Q$83,$CD$16)&amp;"/"&amp;$BK$1),IF($AX14=8,IF($CD$16="","",INDEX(Tính!$R$39:$R$83,$CD$16)&amp;"/"&amp;$BL$1),"")))))</f>
        <v/>
      </c>
      <c r="Y14" s="31" t="str">
        <f>IF($AX14=3,IF($CD$17="","",INDEX(Tính!$F$39:$F$83,$CD$17)),IF($AX14=4,IF($CD$17="","",INDEX(Tính!$C$182:$V$226,$CD$17,INDEX($BJ$3:$BJ$22,$AY14))),IF($AX14=5,IF($CD$17="","",INDEX(Tính!$P$39:$P$83,$CD$17)&amp;"/"&amp;COUNTIF($BA$3:$BA$22,"?*")),IF($AX14=7,IF($CD$17="","",INDEX(Tính!$Q$39:$Q$83,$CD$17)&amp;"/"&amp;$BK$1),IF($AX14=8,IF($CD$17="","",INDEX(Tính!$R$39:$R$83,$CD$17)&amp;"/"&amp;$BL$1),"")))))</f>
        <v/>
      </c>
      <c r="Z14" s="31" t="str">
        <f>IF($AX14=3,IF($CD$18="","",INDEX(Tính!$F$39:$F$83,$CD$18)),IF($AX14=4,IF($CD$18="","",INDEX(Tính!$C$182:$V$226,$CD$18,INDEX($BJ$3:$BJ$22,$AY14))),IF($AX14=5,IF($CD$18="","",INDEX(Tính!$P$39:$P$83,$CD$18)&amp;"/"&amp;COUNTIF($BA$3:$BA$22,"?*")),IF($AX14=7,IF($CD$18="","",INDEX(Tính!$Q$39:$Q$83,$CD$18)&amp;"/"&amp;$BK$1),IF($AX14=8,IF($CD$18="","",INDEX(Tính!$R$39:$R$83,$CD$18)&amp;"/"&amp;$BL$1),"")))))</f>
        <v/>
      </c>
      <c r="AA14" s="31" t="str">
        <f>IF($AX14=3,IF($CD$19="","",INDEX(Tính!$F$39:$F$83,$CD$19)),IF($AX14=4,IF($CD$19="","",INDEX(Tính!$C$182:$V$226,$CD$19,INDEX($BJ$3:$BJ$22,$AY14))),IF($AX14=5,IF($CD$19="","",INDEX(Tính!$P$39:$P$83,$CD$19)&amp;"/"&amp;COUNTIF($BA$3:$BA$22,"?*")),IF($AX14=7,IF($CD$19="","",INDEX(Tính!$Q$39:$Q$83,$CD$19)&amp;"/"&amp;$BK$1),IF($AX14=8,IF($CD$19="","",INDEX(Tính!$R$39:$R$83,$CD$19)&amp;"/"&amp;$BL$1),"")))))</f>
        <v/>
      </c>
      <c r="AB14" s="31" t="str">
        <f>IF($AX14=3,IF($CD$20="","",INDEX(Tính!$F$39:$F$83,$CD$20)),IF($AX14=4,IF($CD$20="","",INDEX(Tính!$C$182:$V$226,$CD$20,INDEX($BJ$3:$BJ$22,$AY14))),IF($AX14=5,IF($CD$20="","",INDEX(Tính!$P$39:$P$83,$CD$20)&amp;"/"&amp;COUNTIF($BA$3:$BA$22,"?*")),IF($AX14=7,IF($CD$20="","",INDEX(Tính!$Q$39:$Q$83,$CD$20)&amp;"/"&amp;$BK$1),IF($AX14=8,IF($CD$20="","",INDEX(Tính!$R$39:$R$83,$CD$20)&amp;"/"&amp;$BL$1),"")))))</f>
        <v/>
      </c>
      <c r="AC14" s="31" t="str">
        <f>IF($AX14=3,IF($CD$21="","",INDEX(Tính!$F$39:$F$83,$CD$21)),IF($AX14=4,IF($CD$21="","",INDEX(Tính!$C$182:$V$226,$CD$21,INDEX($BJ$3:$BJ$22,$AY14))),IF($AX14=5,IF($CD$21="","",INDEX(Tính!$P$39:$P$83,$CD$21)&amp;"/"&amp;COUNTIF($BA$3:$BA$22,"?*")),IF($AX14=7,IF($CD$21="","",INDEX(Tính!$Q$39:$Q$83,$CD$21)&amp;"/"&amp;$BK$1),IF($AX14=8,IF($CD$21="","",INDEX(Tính!$R$39:$R$83,$CD$21)&amp;"/"&amp;$BL$1),"")))))</f>
        <v/>
      </c>
      <c r="AD14" s="31" t="str">
        <f>IF($AX14=3,IF($CD$22="","",INDEX(Tính!$F$39:$F$83,$CD$22)),IF($AX14=4,IF($CD$22="","",INDEX(Tính!$C$182:$V$226,$CD$22,INDEX($BJ$3:$BJ$22,$AY14))),IF($AX14=5,IF($CD$22="","",INDEX(Tính!$P$39:$P$83,$CD$22)&amp;"/"&amp;COUNTIF($BA$3:$BA$22,"?*")),IF($AX14=7,IF($CD$22="","",INDEX(Tính!$Q$39:$Q$83,$CD$22)&amp;"/"&amp;$BK$1),IF($AX14=8,IF($CD$22="","",INDEX(Tính!$R$39:$R$83,$CD$22)&amp;"/"&amp;$BL$1),"")))))</f>
        <v/>
      </c>
      <c r="AW14" t="str">
        <f>$BK$7</f>
        <v/>
      </c>
      <c r="AX14">
        <f>IF(10=0,0,IF(10&lt;=$AX$1,1,IF(10=$AX$1+1,2,IF(10=$AX$1+2,3,IF((10-$AX$1-2)&lt;=$AX$3,IF(INDEX($BK$3:$BK$24,(10-$AX$1-2))="C",7,IF(INDEX($BK$3:$BK$24,(10-$AX$1-2))="V",8,4)),IF((10-$AX$1-2)=$AX$3+1,5,6))))))</f>
        <v>6</v>
      </c>
      <c r="AY14">
        <f>IF(AX14=1,10,IF(AX14=4,INDEX($BL$3:$BL$24,(10-$AX$1-2)),0))</f>
        <v>0</v>
      </c>
      <c r="BA14" t="str">
        <f>Tính!B14</f>
        <v/>
      </c>
      <c r="BB14" t="str">
        <f>Tính!D14</f>
        <v/>
      </c>
      <c r="BC14">
        <f>IF($AZ$1=0,Tính!$Z$14,CHOOSE($AZ$1,Tính!$G$14,Tính!$L$14,Tính!$Q$14,Tính!$V$14))</f>
        <v>0</v>
      </c>
      <c r="BD14">
        <f>IF($AZ$1=0,Tính!$Y$14,CHOOSE($AZ$1,Tính!$E$14,Tính!$J$14,Tính!$O$14,Tính!$T$14))</f>
        <v>0</v>
      </c>
      <c r="BE14">
        <f>IF($AZ$1=0,Tính!$AB$14,CHOOSE($AZ$1,Tính!$I$14,Tính!$N$14,Tính!$S$14,Tính!$X$14))</f>
        <v>0</v>
      </c>
      <c r="BF14">
        <f>IF($AZ$1=0,Tính!$AA$14,CHOOSE($AZ$1,Tính!$H$14,Tính!$M$14,Tính!$R$14,Tính!$W$14))</f>
        <v>0</v>
      </c>
      <c r="BG14">
        <f t="shared" si="0"/>
        <v>0</v>
      </c>
      <c r="BH14">
        <f t="shared" si="1"/>
        <v>0</v>
      </c>
      <c r="BI14">
        <f>IF(BA14="",-1,IF(BB14="Chính",1000,0)+BG14+(20-12)/100000)</f>
        <v>-1</v>
      </c>
      <c r="BJ14" t="str">
        <f>IF(LARGE($BI$3:$BI$22,12)&lt;0,"",MATCH(LARGE($BI$3:$BI$22,12),$BI$3:$BI$22,0))</f>
        <v/>
      </c>
      <c r="BK14" t="str">
        <f>IF(12=1,IF($BK$1&gt;0,"C",""),IF(12&lt;=$BK$1+1,"g",IF(12=$BK$1+2,IF($BL$1&gt;0,"V",""),IF(12&lt;=$BK$1+2+$BL$1,"g",""))))</f>
        <v/>
      </c>
      <c r="BL14" t="str">
        <f>IF(BK14="g",IF(12&lt;=$BK$1+1,12-1,12-2),"")</f>
        <v/>
      </c>
      <c r="CA14">
        <v>12</v>
      </c>
      <c r="CB14">
        <f>IF(Tính!B50="",0,IF(OR($AZ$1=0,Tính!D50=$AZ$1),1,0))</f>
        <v>0</v>
      </c>
      <c r="CC14">
        <f>IF(CB14=1,Tính!M50+1+(45-12)/1000000,-1)</f>
        <v>-1</v>
      </c>
      <c r="CD14" t="str">
        <f>IF(LARGE($CC$3:$CC$47,12)&lt;0,"",MATCH(LARGE($CC$3:$CC$47,12),$CC$3:$CC$47,0))</f>
        <v/>
      </c>
    </row>
    <row r="15" spans="1:82" x14ac:dyDescent="0.3">
      <c r="A15" s="54" t="str">
        <f>IF($BK$8="C","NHÓM CHÍNH",IF($BK$8="V","NHÓM VƯỢT TRỘI",IF($BL$8="","",INDEX($BA$3:$BA$22,INDEX($BJ$3:$BJ$22,$BL$8)))))</f>
        <v/>
      </c>
      <c r="B15" s="52"/>
      <c r="C15" s="26" t="str">
        <f>IF($BL$8="","",INDEX($BC$3:$BC$22,INDEX($BJ$3:$BJ$22,$BL$8)))</f>
        <v/>
      </c>
      <c r="D15" s="26" t="str">
        <f>IF($BL$8="","",INDEX($BD$3:$BD$22,INDEX($BJ$3:$BJ$22,$BL$8)))</f>
        <v/>
      </c>
      <c r="E15" s="27" t="str">
        <f>IF($BL$8="","",IF(C15&gt;0,D15/C15,1))</f>
        <v/>
      </c>
      <c r="F15" s="27" t="str">
        <f>IF($BK$8="C",COUNTIFS($BB$3:$BB$22,"Chính",$BG$3:$BG$22,"&gt;=0.995")&amp;"/"&amp;$BK$1,IF($BK$8="V",COUNTIFS($BB$3:$BB$22,"Vượt trội",$BG$3:$BG$22,"&gt;=0.995")&amp;"/"&amp;$BL$1,IF($BL$8="","",INDEX($BG$3:$BG$22,INDEX($BJ$3:$BJ$22,$BL$8)))))</f>
        <v/>
      </c>
      <c r="H15" s="29" t="str">
        <f t="shared" si="2"/>
        <v/>
      </c>
      <c r="I15" s="12" t="str">
        <f>IF($AX15=0,"Nhân viên",IF($AX15=1,INDEX(Tính!$F$39:$F$83,INDEX($CD$3:$CD$47,$AY15))&amp;" · "&amp;INDEX(Tính!$O$39:$O$83,INDEX($CD$3:$CD$47,$AY15)),IF($AX15=3,"Nhóm hàng",IF($AX15=4,INDEX($BA$3:$BA$22,INDEX($BJ$3:$BJ$22,$AY15)),IF($AX15=5,"Số nhóm đạt",IF($AX15=7,"NHÓM CHÍNH",IF($AX15=8,"NHÓM VƯỢT TRỘI","")))))))</f>
        <v/>
      </c>
      <c r="J15" s="30" t="str">
        <f>IF($AX15=0,"Mục tiêu",IF($AX15=1,FIXED(INDEX(Tính!$J$39:$J$83,INDEX($CD$3:$CD$47,$AY15)),0),IF($AX15=3,"Cả shop",IF($AX15=4,INDEX($BG$3:$BG$22,INDEX($BJ$3:$BJ$22,$AY15)),IF($AX15=5,COUNTIF($BG$3:$BG$22,"&gt;=0.995")&amp;"/"&amp;COUNTIF($BA$3:$BA$22,"?*"),IF($AX15=7,COUNTIFS($BB$3:$BB$22,"Chính",$BG$3:$BG$22,"&gt;=0.995")&amp;"/"&amp;$BK$1,IF($AX15=8,COUNTIFS($BB$3:$BB$22,"Vượt trội",$BG$3:$BG$22,"&gt;=0.995")&amp;"/"&amp;$BL$1,"")))))))</f>
        <v/>
      </c>
      <c r="K15" s="30" t="str">
        <f>IF($AX15=0,"DT QĐ",IF($AX15=1,FIXED(INDEX(Tính!$K$39:$K$83,INDEX($CD$3:$CD$47,$AY15)),1),IF($AX15=3,IF($CD$3="","",INDEX(Tính!$F$39:$F$83,$CD$3)),IF($AX15=4,IF($CD$3="","",INDEX(Tính!$C$182:$V$226,$CD$3,INDEX($BJ$3:$BJ$22,$AY15))),IF($AX15=5,IF($CD$3="","",INDEX(Tính!$P$39:$P$83,$CD$3)&amp;"/"&amp;COUNTIF($BA$3:$BA$22,"?*")),IF($AX15=7,IF($CD$3="","",INDEX(Tính!$Q$39:$Q$83,$CD$3)&amp;"/"&amp;$BK$1),IF($AX15=8,IF($CD$3="","",INDEX(Tính!$R$39:$R$83,$CD$3)&amp;"/"&amp;$BL$1),"")))))))</f>
        <v/>
      </c>
      <c r="L15" s="31" t="str">
        <f>IF($AX15=0,"% HT",IF($AX15=1,INDEX(Tính!$N$39:$N$83,INDEX($CD$3:$CD$47,$AY15)),IF($AX15=3,IF($CD$4="","",INDEX(Tính!$F$39:$F$83,$CD$4)),IF($AX15=4,IF($CD$4="","",INDEX(Tính!$C$182:$V$226,$CD$4,INDEX($BJ$3:$BJ$22,$AY15))),IF($AX15=5,IF($CD$4="","",INDEX(Tính!$P$39:$P$83,$CD$4)&amp;"/"&amp;COUNTIF($BA$3:$BA$22,"?*")),IF($AX15=7,IF($CD$4="","",INDEX(Tính!$Q$39:$Q$83,$CD$4)&amp;"/"&amp;$BK$1),IF($AX15=8,IF($CD$4="","",INDEX(Tính!$R$39:$R$83,$CD$4)&amp;"/"&amp;$BL$1),"")))))))</f>
        <v/>
      </c>
      <c r="M15" s="31" t="str">
        <f>IF($AX15=0,"Dự kiến",IF($AX15=1,INDEX(Tính!$M$39:$M$83,INDEX($CD$3:$CD$47,$AY15)),IF($AX15=3,IF($CD$5="","",INDEX(Tính!$F$39:$F$83,$CD$5)),IF($AX15=4,IF($CD$5="","",INDEX(Tính!$C$182:$V$226,$CD$5,INDEX($BJ$3:$BJ$22,$AY15))),IF($AX15=5,IF($CD$5="","",INDEX(Tính!$P$39:$P$83,$CD$5)&amp;"/"&amp;COUNTIF($BA$3:$BA$22,"?*")),IF($AX15=7,IF($CD$5="","",INDEX(Tính!$Q$39:$Q$83,$CD$5)&amp;"/"&amp;$BK$1),IF($AX15=8,IF($CD$5="","",INDEX(Tính!$R$39:$R$83,$CD$5)&amp;"/"&amp;$BL$1),"")))))))</f>
        <v/>
      </c>
      <c r="N15" s="31" t="str">
        <f>IF($AX15=0,"NH đạt",IF($AX15=1,INDEX(Tính!$P$39:$P$83,INDEX($CD$3:$CD$47,$AY15))&amp;"/"&amp;COUNTIF($BA$3:$BA$22,"?*"),IF($AX15=3,IF($CD$6="","",INDEX(Tính!$F$39:$F$83,$CD$6)),IF($AX15=4,IF($CD$6="","",INDEX(Tính!$C$182:$V$226,$CD$6,INDEX($BJ$3:$BJ$22,$AY15))),IF($AX15=5,IF($CD$6="","",INDEX(Tính!$P$39:$P$83,$CD$6)&amp;"/"&amp;COUNTIF($BA$3:$BA$22,"?*")),IF($AX15=7,IF($CD$6="","",INDEX(Tính!$Q$39:$Q$83,$CD$6)&amp;"/"&amp;$BK$1),IF($AX15=8,IF($CD$6="","",INDEX(Tính!$R$39:$R$83,$CD$6)&amp;"/"&amp;$BL$1),"")))))))</f>
        <v/>
      </c>
      <c r="O15" s="31" t="str">
        <f>IF($AX15=3,IF($CD$7="","",INDEX(Tính!$F$39:$F$83,$CD$7)),IF($AX15=4,IF($CD$7="","",INDEX(Tính!$C$182:$V$226,$CD$7,INDEX($BJ$3:$BJ$22,$AY15))),IF($AX15=5,IF($CD$7="","",INDEX(Tính!$P$39:$P$83,$CD$7)&amp;"/"&amp;COUNTIF($BA$3:$BA$22,"?*")),IF($AX15=7,IF($CD$7="","",INDEX(Tính!$Q$39:$Q$83,$CD$7)&amp;"/"&amp;$BK$1),IF($AX15=8,IF($CD$7="","",INDEX(Tính!$R$39:$R$83,$CD$7)&amp;"/"&amp;$BL$1),"")))))</f>
        <v/>
      </c>
      <c r="P15" s="31" t="str">
        <f>IF($AX15=3,IF($CD$8="","",INDEX(Tính!$F$39:$F$83,$CD$8)),IF($AX15=4,IF($CD$8="","",INDEX(Tính!$C$182:$V$226,$CD$8,INDEX($BJ$3:$BJ$22,$AY15))),IF($AX15=5,IF($CD$8="","",INDEX(Tính!$P$39:$P$83,$CD$8)&amp;"/"&amp;COUNTIF($BA$3:$BA$22,"?*")),IF($AX15=7,IF($CD$8="","",INDEX(Tính!$Q$39:$Q$83,$CD$8)&amp;"/"&amp;$BK$1),IF($AX15=8,IF($CD$8="","",INDEX(Tính!$R$39:$R$83,$CD$8)&amp;"/"&amp;$BL$1),"")))))</f>
        <v/>
      </c>
      <c r="Q15" s="31" t="str">
        <f>IF($AX15=3,IF($CD$9="","",INDEX(Tính!$F$39:$F$83,$CD$9)),IF($AX15=4,IF($CD$9="","",INDEX(Tính!$C$182:$V$226,$CD$9,INDEX($BJ$3:$BJ$22,$AY15))),IF($AX15=5,IF($CD$9="","",INDEX(Tính!$P$39:$P$83,$CD$9)&amp;"/"&amp;COUNTIF($BA$3:$BA$22,"?*")),IF($AX15=7,IF($CD$9="","",INDEX(Tính!$Q$39:$Q$83,$CD$9)&amp;"/"&amp;$BK$1),IF($AX15=8,IF($CD$9="","",INDEX(Tính!$R$39:$R$83,$CD$9)&amp;"/"&amp;$BL$1),"")))))</f>
        <v/>
      </c>
      <c r="R15" s="31" t="str">
        <f>IF($AX15=3,IF($CD$10="","",INDEX(Tính!$F$39:$F$83,$CD$10)),IF($AX15=4,IF($CD$10="","",INDEX(Tính!$C$182:$V$226,$CD$10,INDEX($BJ$3:$BJ$22,$AY15))),IF($AX15=5,IF($CD$10="","",INDEX(Tính!$P$39:$P$83,$CD$10)&amp;"/"&amp;COUNTIF($BA$3:$BA$22,"?*")),IF($AX15=7,IF($CD$10="","",INDEX(Tính!$Q$39:$Q$83,$CD$10)&amp;"/"&amp;$BK$1),IF($AX15=8,IF($CD$10="","",INDEX(Tính!$R$39:$R$83,$CD$10)&amp;"/"&amp;$BL$1),"")))))</f>
        <v/>
      </c>
      <c r="S15" s="31" t="str">
        <f>IF($AX15=3,IF($CD$11="","",INDEX(Tính!$F$39:$F$83,$CD$11)),IF($AX15=4,IF($CD$11="","",INDEX(Tính!$C$182:$V$226,$CD$11,INDEX($BJ$3:$BJ$22,$AY15))),IF($AX15=5,IF($CD$11="","",INDEX(Tính!$P$39:$P$83,$CD$11)&amp;"/"&amp;COUNTIF($BA$3:$BA$22,"?*")),IF($AX15=7,IF($CD$11="","",INDEX(Tính!$Q$39:$Q$83,$CD$11)&amp;"/"&amp;$BK$1),IF($AX15=8,IF($CD$11="","",INDEX(Tính!$R$39:$R$83,$CD$11)&amp;"/"&amp;$BL$1),"")))))</f>
        <v/>
      </c>
      <c r="T15" s="31" t="str">
        <f>IF($AX15=3,IF($CD$12="","",INDEX(Tính!$F$39:$F$83,$CD$12)),IF($AX15=4,IF($CD$12="","",INDEX(Tính!$C$182:$V$226,$CD$12,INDEX($BJ$3:$BJ$22,$AY15))),IF($AX15=5,IF($CD$12="","",INDEX(Tính!$P$39:$P$83,$CD$12)&amp;"/"&amp;COUNTIF($BA$3:$BA$22,"?*")),IF($AX15=7,IF($CD$12="","",INDEX(Tính!$Q$39:$Q$83,$CD$12)&amp;"/"&amp;$BK$1),IF($AX15=8,IF($CD$12="","",INDEX(Tính!$R$39:$R$83,$CD$12)&amp;"/"&amp;$BL$1),"")))))</f>
        <v/>
      </c>
      <c r="U15" s="31" t="str">
        <f>IF($AX15=3,IF($CD$13="","",INDEX(Tính!$F$39:$F$83,$CD$13)),IF($AX15=4,IF($CD$13="","",INDEX(Tính!$C$182:$V$226,$CD$13,INDEX($BJ$3:$BJ$22,$AY15))),IF($AX15=5,IF($CD$13="","",INDEX(Tính!$P$39:$P$83,$CD$13)&amp;"/"&amp;COUNTIF($BA$3:$BA$22,"?*")),IF($AX15=7,IF($CD$13="","",INDEX(Tính!$Q$39:$Q$83,$CD$13)&amp;"/"&amp;$BK$1),IF($AX15=8,IF($CD$13="","",INDEX(Tính!$R$39:$R$83,$CD$13)&amp;"/"&amp;$BL$1),"")))))</f>
        <v/>
      </c>
      <c r="V15" s="31" t="str">
        <f>IF($AX15=3,IF($CD$14="","",INDEX(Tính!$F$39:$F$83,$CD$14)),IF($AX15=4,IF($CD$14="","",INDEX(Tính!$C$182:$V$226,$CD$14,INDEX($BJ$3:$BJ$22,$AY15))),IF($AX15=5,IF($CD$14="","",INDEX(Tính!$P$39:$P$83,$CD$14)&amp;"/"&amp;COUNTIF($BA$3:$BA$22,"?*")),IF($AX15=7,IF($CD$14="","",INDEX(Tính!$Q$39:$Q$83,$CD$14)&amp;"/"&amp;$BK$1),IF($AX15=8,IF($CD$14="","",INDEX(Tính!$R$39:$R$83,$CD$14)&amp;"/"&amp;$BL$1),"")))))</f>
        <v/>
      </c>
      <c r="W15" s="31" t="str">
        <f>IF($AX15=3,IF($CD$15="","",INDEX(Tính!$F$39:$F$83,$CD$15)),IF($AX15=4,IF($CD$15="","",INDEX(Tính!$C$182:$V$226,$CD$15,INDEX($BJ$3:$BJ$22,$AY15))),IF($AX15=5,IF($CD$15="","",INDEX(Tính!$P$39:$P$83,$CD$15)&amp;"/"&amp;COUNTIF($BA$3:$BA$22,"?*")),IF($AX15=7,IF($CD$15="","",INDEX(Tính!$Q$39:$Q$83,$CD$15)&amp;"/"&amp;$BK$1),IF($AX15=8,IF($CD$15="","",INDEX(Tính!$R$39:$R$83,$CD$15)&amp;"/"&amp;$BL$1),"")))))</f>
        <v/>
      </c>
      <c r="X15" s="31" t="str">
        <f>IF($AX15=3,IF($CD$16="","",INDEX(Tính!$F$39:$F$83,$CD$16)),IF($AX15=4,IF($CD$16="","",INDEX(Tính!$C$182:$V$226,$CD$16,INDEX($BJ$3:$BJ$22,$AY15))),IF($AX15=5,IF($CD$16="","",INDEX(Tính!$P$39:$P$83,$CD$16)&amp;"/"&amp;COUNTIF($BA$3:$BA$22,"?*")),IF($AX15=7,IF($CD$16="","",INDEX(Tính!$Q$39:$Q$83,$CD$16)&amp;"/"&amp;$BK$1),IF($AX15=8,IF($CD$16="","",INDEX(Tính!$R$39:$R$83,$CD$16)&amp;"/"&amp;$BL$1),"")))))</f>
        <v/>
      </c>
      <c r="Y15" s="31" t="str">
        <f>IF($AX15=3,IF($CD$17="","",INDEX(Tính!$F$39:$F$83,$CD$17)),IF($AX15=4,IF($CD$17="","",INDEX(Tính!$C$182:$V$226,$CD$17,INDEX($BJ$3:$BJ$22,$AY15))),IF($AX15=5,IF($CD$17="","",INDEX(Tính!$P$39:$P$83,$CD$17)&amp;"/"&amp;COUNTIF($BA$3:$BA$22,"?*")),IF($AX15=7,IF($CD$17="","",INDEX(Tính!$Q$39:$Q$83,$CD$17)&amp;"/"&amp;$BK$1),IF($AX15=8,IF($CD$17="","",INDEX(Tính!$R$39:$R$83,$CD$17)&amp;"/"&amp;$BL$1),"")))))</f>
        <v/>
      </c>
      <c r="Z15" s="31" t="str">
        <f>IF($AX15=3,IF($CD$18="","",INDEX(Tính!$F$39:$F$83,$CD$18)),IF($AX15=4,IF($CD$18="","",INDEX(Tính!$C$182:$V$226,$CD$18,INDEX($BJ$3:$BJ$22,$AY15))),IF($AX15=5,IF($CD$18="","",INDEX(Tính!$P$39:$P$83,$CD$18)&amp;"/"&amp;COUNTIF($BA$3:$BA$22,"?*")),IF($AX15=7,IF($CD$18="","",INDEX(Tính!$Q$39:$Q$83,$CD$18)&amp;"/"&amp;$BK$1),IF($AX15=8,IF($CD$18="","",INDEX(Tính!$R$39:$R$83,$CD$18)&amp;"/"&amp;$BL$1),"")))))</f>
        <v/>
      </c>
      <c r="AA15" s="31" t="str">
        <f>IF($AX15=3,IF($CD$19="","",INDEX(Tính!$F$39:$F$83,$CD$19)),IF($AX15=4,IF($CD$19="","",INDEX(Tính!$C$182:$V$226,$CD$19,INDEX($BJ$3:$BJ$22,$AY15))),IF($AX15=5,IF($CD$19="","",INDEX(Tính!$P$39:$P$83,$CD$19)&amp;"/"&amp;COUNTIF($BA$3:$BA$22,"?*")),IF($AX15=7,IF($CD$19="","",INDEX(Tính!$Q$39:$Q$83,$CD$19)&amp;"/"&amp;$BK$1),IF($AX15=8,IF($CD$19="","",INDEX(Tính!$R$39:$R$83,$CD$19)&amp;"/"&amp;$BL$1),"")))))</f>
        <v/>
      </c>
      <c r="AB15" s="31" t="str">
        <f>IF($AX15=3,IF($CD$20="","",INDEX(Tính!$F$39:$F$83,$CD$20)),IF($AX15=4,IF($CD$20="","",INDEX(Tính!$C$182:$V$226,$CD$20,INDEX($BJ$3:$BJ$22,$AY15))),IF($AX15=5,IF($CD$20="","",INDEX(Tính!$P$39:$P$83,$CD$20)&amp;"/"&amp;COUNTIF($BA$3:$BA$22,"?*")),IF($AX15=7,IF($CD$20="","",INDEX(Tính!$Q$39:$Q$83,$CD$20)&amp;"/"&amp;$BK$1),IF($AX15=8,IF($CD$20="","",INDEX(Tính!$R$39:$R$83,$CD$20)&amp;"/"&amp;$BL$1),"")))))</f>
        <v/>
      </c>
      <c r="AC15" s="31" t="str">
        <f>IF($AX15=3,IF($CD$21="","",INDEX(Tính!$F$39:$F$83,$CD$21)),IF($AX15=4,IF($CD$21="","",INDEX(Tính!$C$182:$V$226,$CD$21,INDEX($BJ$3:$BJ$22,$AY15))),IF($AX15=5,IF($CD$21="","",INDEX(Tính!$P$39:$P$83,$CD$21)&amp;"/"&amp;COUNTIF($BA$3:$BA$22,"?*")),IF($AX15=7,IF($CD$21="","",INDEX(Tính!$Q$39:$Q$83,$CD$21)&amp;"/"&amp;$BK$1),IF($AX15=8,IF($CD$21="","",INDEX(Tính!$R$39:$R$83,$CD$21)&amp;"/"&amp;$BL$1),"")))))</f>
        <v/>
      </c>
      <c r="AD15" s="31" t="str">
        <f>IF($AX15=3,IF($CD$22="","",INDEX(Tính!$F$39:$F$83,$CD$22)),IF($AX15=4,IF($CD$22="","",INDEX(Tính!$C$182:$V$226,$CD$22,INDEX($BJ$3:$BJ$22,$AY15))),IF($AX15=5,IF($CD$22="","",INDEX(Tính!$P$39:$P$83,$CD$22)&amp;"/"&amp;COUNTIF($BA$3:$BA$22,"?*")),IF($AX15=7,IF($CD$22="","",INDEX(Tính!$Q$39:$Q$83,$CD$22)&amp;"/"&amp;$BK$1),IF($AX15=8,IF($CD$22="","",INDEX(Tính!$R$39:$R$83,$CD$22)&amp;"/"&amp;$BL$1),"")))))</f>
        <v/>
      </c>
      <c r="AW15" t="str">
        <f>$BK$8</f>
        <v/>
      </c>
      <c r="AX15">
        <f>IF(11=0,0,IF(11&lt;=$AX$1,1,IF(11=$AX$1+1,2,IF(11=$AX$1+2,3,IF((11-$AX$1-2)&lt;=$AX$3,IF(INDEX($BK$3:$BK$24,(11-$AX$1-2))="C",7,IF(INDEX($BK$3:$BK$24,(11-$AX$1-2))="V",8,4)),IF((11-$AX$1-2)=$AX$3+1,5,6))))))</f>
        <v>6</v>
      </c>
      <c r="AY15">
        <f>IF(AX15=1,11,IF(AX15=4,INDEX($BL$3:$BL$24,(11-$AX$1-2)),0))</f>
        <v>0</v>
      </c>
      <c r="BA15" t="str">
        <f>Tính!B15</f>
        <v/>
      </c>
      <c r="BB15" t="str">
        <f>Tính!D15</f>
        <v/>
      </c>
      <c r="BC15">
        <f>IF($AZ$1=0,Tính!$Z$15,CHOOSE($AZ$1,Tính!$G$15,Tính!$L$15,Tính!$Q$15,Tính!$V$15))</f>
        <v>0</v>
      </c>
      <c r="BD15">
        <f>IF($AZ$1=0,Tính!$Y$15,CHOOSE($AZ$1,Tính!$E$15,Tính!$J$15,Tính!$O$15,Tính!$T$15))</f>
        <v>0</v>
      </c>
      <c r="BE15">
        <f>IF($AZ$1=0,Tính!$AB$15,CHOOSE($AZ$1,Tính!$I$15,Tính!$N$15,Tính!$S$15,Tính!$X$15))</f>
        <v>0</v>
      </c>
      <c r="BF15">
        <f>IF($AZ$1=0,Tính!$AA$15,CHOOSE($AZ$1,Tính!$H$15,Tính!$M$15,Tính!$R$15,Tính!$W$15))</f>
        <v>0</v>
      </c>
      <c r="BG15">
        <f t="shared" si="0"/>
        <v>0</v>
      </c>
      <c r="BH15">
        <f t="shared" si="1"/>
        <v>0</v>
      </c>
      <c r="BI15">
        <f>IF(BA15="",-1,IF(BB15="Chính",1000,0)+BG15+(20-13)/100000)</f>
        <v>-1</v>
      </c>
      <c r="BJ15" t="str">
        <f>IF(LARGE($BI$3:$BI$22,13)&lt;0,"",MATCH(LARGE($BI$3:$BI$22,13),$BI$3:$BI$22,0))</f>
        <v/>
      </c>
      <c r="BK15" t="str">
        <f>IF(13=1,IF($BK$1&gt;0,"C",""),IF(13&lt;=$BK$1+1,"g",IF(13=$BK$1+2,IF($BL$1&gt;0,"V",""),IF(13&lt;=$BK$1+2+$BL$1,"g",""))))</f>
        <v/>
      </c>
      <c r="BL15" t="str">
        <f>IF(BK15="g",IF(13&lt;=$BK$1+1,13-1,13-2),"")</f>
        <v/>
      </c>
      <c r="CA15">
        <v>13</v>
      </c>
      <c r="CB15">
        <f>IF(Tính!B51="",0,IF(OR($AZ$1=0,Tính!D51=$AZ$1),1,0))</f>
        <v>0</v>
      </c>
      <c r="CC15">
        <f>IF(CB15=1,Tính!M51+1+(45-13)/1000000,-1)</f>
        <v>-1</v>
      </c>
      <c r="CD15" t="str">
        <f>IF(LARGE($CC$3:$CC$47,13)&lt;0,"",MATCH(LARGE($CC$3:$CC$47,13),$CC$3:$CC$47,0))</f>
        <v/>
      </c>
    </row>
    <row r="16" spans="1:82" x14ac:dyDescent="0.3">
      <c r="A16" s="54" t="str">
        <f>IF($BK$9="C","NHÓM CHÍNH",IF($BK$9="V","NHÓM VƯỢT TRỘI",IF($BL$9="","",INDEX($BA$3:$BA$22,INDEX($BJ$3:$BJ$22,$BL$9)))))</f>
        <v/>
      </c>
      <c r="B16" s="52"/>
      <c r="C16" s="26" t="str">
        <f>IF($BL$9="","",INDEX($BC$3:$BC$22,INDEX($BJ$3:$BJ$22,$BL$9)))</f>
        <v/>
      </c>
      <c r="D16" s="26" t="str">
        <f>IF($BL$9="","",INDEX($BD$3:$BD$22,INDEX($BJ$3:$BJ$22,$BL$9)))</f>
        <v/>
      </c>
      <c r="E16" s="27" t="str">
        <f>IF($BL$9="","",IF(C16&gt;0,D16/C16,1))</f>
        <v/>
      </c>
      <c r="F16" s="27" t="str">
        <f>IF($BK$9="C",COUNTIFS($BB$3:$BB$22,"Chính",$BG$3:$BG$22,"&gt;=0.995")&amp;"/"&amp;$BK$1,IF($BK$9="V",COUNTIFS($BB$3:$BB$22,"Vượt trội",$BG$3:$BG$22,"&gt;=0.995")&amp;"/"&amp;$BL$1,IF($BL$9="","",INDEX($BG$3:$BG$22,INDEX($BJ$3:$BJ$22,$BL$9)))))</f>
        <v/>
      </c>
      <c r="H16" s="29" t="str">
        <f t="shared" si="2"/>
        <v/>
      </c>
      <c r="I16" s="12" t="str">
        <f>IF($AX16=0,"Nhân viên",IF($AX16=1,INDEX(Tính!$F$39:$F$83,INDEX($CD$3:$CD$47,$AY16))&amp;" · "&amp;INDEX(Tính!$O$39:$O$83,INDEX($CD$3:$CD$47,$AY16)),IF($AX16=3,"Nhóm hàng",IF($AX16=4,INDEX($BA$3:$BA$22,INDEX($BJ$3:$BJ$22,$AY16)),IF($AX16=5,"Số nhóm đạt",IF($AX16=7,"NHÓM CHÍNH",IF($AX16=8,"NHÓM VƯỢT TRỘI","")))))))</f>
        <v/>
      </c>
      <c r="J16" s="30" t="str">
        <f>IF($AX16=0,"Mục tiêu",IF($AX16=1,FIXED(INDEX(Tính!$J$39:$J$83,INDEX($CD$3:$CD$47,$AY16)),0),IF($AX16=3,"Cả shop",IF($AX16=4,INDEX($BG$3:$BG$22,INDEX($BJ$3:$BJ$22,$AY16)),IF($AX16=5,COUNTIF($BG$3:$BG$22,"&gt;=0.995")&amp;"/"&amp;COUNTIF($BA$3:$BA$22,"?*"),IF($AX16=7,COUNTIFS($BB$3:$BB$22,"Chính",$BG$3:$BG$22,"&gt;=0.995")&amp;"/"&amp;$BK$1,IF($AX16=8,COUNTIFS($BB$3:$BB$22,"Vượt trội",$BG$3:$BG$22,"&gt;=0.995")&amp;"/"&amp;$BL$1,"")))))))</f>
        <v/>
      </c>
      <c r="K16" s="30" t="str">
        <f>IF($AX16=0,"DT QĐ",IF($AX16=1,FIXED(INDEX(Tính!$K$39:$K$83,INDEX($CD$3:$CD$47,$AY16)),1),IF($AX16=3,IF($CD$3="","",INDEX(Tính!$F$39:$F$83,$CD$3)),IF($AX16=4,IF($CD$3="","",INDEX(Tính!$C$182:$V$226,$CD$3,INDEX($BJ$3:$BJ$22,$AY16))),IF($AX16=5,IF($CD$3="","",INDEX(Tính!$P$39:$P$83,$CD$3)&amp;"/"&amp;COUNTIF($BA$3:$BA$22,"?*")),IF($AX16=7,IF($CD$3="","",INDEX(Tính!$Q$39:$Q$83,$CD$3)&amp;"/"&amp;$BK$1),IF($AX16=8,IF($CD$3="","",INDEX(Tính!$R$39:$R$83,$CD$3)&amp;"/"&amp;$BL$1),"")))))))</f>
        <v/>
      </c>
      <c r="L16" s="31" t="str">
        <f>IF($AX16=0,"% HT",IF($AX16=1,INDEX(Tính!$N$39:$N$83,INDEX($CD$3:$CD$47,$AY16)),IF($AX16=3,IF($CD$4="","",INDEX(Tính!$F$39:$F$83,$CD$4)),IF($AX16=4,IF($CD$4="","",INDEX(Tính!$C$182:$V$226,$CD$4,INDEX($BJ$3:$BJ$22,$AY16))),IF($AX16=5,IF($CD$4="","",INDEX(Tính!$P$39:$P$83,$CD$4)&amp;"/"&amp;COUNTIF($BA$3:$BA$22,"?*")),IF($AX16=7,IF($CD$4="","",INDEX(Tính!$Q$39:$Q$83,$CD$4)&amp;"/"&amp;$BK$1),IF($AX16=8,IF($CD$4="","",INDEX(Tính!$R$39:$R$83,$CD$4)&amp;"/"&amp;$BL$1),"")))))))</f>
        <v/>
      </c>
      <c r="M16" s="31" t="str">
        <f>IF($AX16=0,"Dự kiến",IF($AX16=1,INDEX(Tính!$M$39:$M$83,INDEX($CD$3:$CD$47,$AY16)),IF($AX16=3,IF($CD$5="","",INDEX(Tính!$F$39:$F$83,$CD$5)),IF($AX16=4,IF($CD$5="","",INDEX(Tính!$C$182:$V$226,$CD$5,INDEX($BJ$3:$BJ$22,$AY16))),IF($AX16=5,IF($CD$5="","",INDEX(Tính!$P$39:$P$83,$CD$5)&amp;"/"&amp;COUNTIF($BA$3:$BA$22,"?*")),IF($AX16=7,IF($CD$5="","",INDEX(Tính!$Q$39:$Q$83,$CD$5)&amp;"/"&amp;$BK$1),IF($AX16=8,IF($CD$5="","",INDEX(Tính!$R$39:$R$83,$CD$5)&amp;"/"&amp;$BL$1),"")))))))</f>
        <v/>
      </c>
      <c r="N16" s="31" t="str">
        <f>IF($AX16=0,"NH đạt",IF($AX16=1,INDEX(Tính!$P$39:$P$83,INDEX($CD$3:$CD$47,$AY16))&amp;"/"&amp;COUNTIF($BA$3:$BA$22,"?*"),IF($AX16=3,IF($CD$6="","",INDEX(Tính!$F$39:$F$83,$CD$6)),IF($AX16=4,IF($CD$6="","",INDEX(Tính!$C$182:$V$226,$CD$6,INDEX($BJ$3:$BJ$22,$AY16))),IF($AX16=5,IF($CD$6="","",INDEX(Tính!$P$39:$P$83,$CD$6)&amp;"/"&amp;COUNTIF($BA$3:$BA$22,"?*")),IF($AX16=7,IF($CD$6="","",INDEX(Tính!$Q$39:$Q$83,$CD$6)&amp;"/"&amp;$BK$1),IF($AX16=8,IF($CD$6="","",INDEX(Tính!$R$39:$R$83,$CD$6)&amp;"/"&amp;$BL$1),"")))))))</f>
        <v/>
      </c>
      <c r="O16" s="31" t="str">
        <f>IF($AX16=3,IF($CD$7="","",INDEX(Tính!$F$39:$F$83,$CD$7)),IF($AX16=4,IF($CD$7="","",INDEX(Tính!$C$182:$V$226,$CD$7,INDEX($BJ$3:$BJ$22,$AY16))),IF($AX16=5,IF($CD$7="","",INDEX(Tính!$P$39:$P$83,$CD$7)&amp;"/"&amp;COUNTIF($BA$3:$BA$22,"?*")),IF($AX16=7,IF($CD$7="","",INDEX(Tính!$Q$39:$Q$83,$CD$7)&amp;"/"&amp;$BK$1),IF($AX16=8,IF($CD$7="","",INDEX(Tính!$R$39:$R$83,$CD$7)&amp;"/"&amp;$BL$1),"")))))</f>
        <v/>
      </c>
      <c r="P16" s="31" t="str">
        <f>IF($AX16=3,IF($CD$8="","",INDEX(Tính!$F$39:$F$83,$CD$8)),IF($AX16=4,IF($CD$8="","",INDEX(Tính!$C$182:$V$226,$CD$8,INDEX($BJ$3:$BJ$22,$AY16))),IF($AX16=5,IF($CD$8="","",INDEX(Tính!$P$39:$P$83,$CD$8)&amp;"/"&amp;COUNTIF($BA$3:$BA$22,"?*")),IF($AX16=7,IF($CD$8="","",INDEX(Tính!$Q$39:$Q$83,$CD$8)&amp;"/"&amp;$BK$1),IF($AX16=8,IF($CD$8="","",INDEX(Tính!$R$39:$R$83,$CD$8)&amp;"/"&amp;$BL$1),"")))))</f>
        <v/>
      </c>
      <c r="Q16" s="31" t="str">
        <f>IF($AX16=3,IF($CD$9="","",INDEX(Tính!$F$39:$F$83,$CD$9)),IF($AX16=4,IF($CD$9="","",INDEX(Tính!$C$182:$V$226,$CD$9,INDEX($BJ$3:$BJ$22,$AY16))),IF($AX16=5,IF($CD$9="","",INDEX(Tính!$P$39:$P$83,$CD$9)&amp;"/"&amp;COUNTIF($BA$3:$BA$22,"?*")),IF($AX16=7,IF($CD$9="","",INDEX(Tính!$Q$39:$Q$83,$CD$9)&amp;"/"&amp;$BK$1),IF($AX16=8,IF($CD$9="","",INDEX(Tính!$R$39:$R$83,$CD$9)&amp;"/"&amp;$BL$1),"")))))</f>
        <v/>
      </c>
      <c r="R16" s="31" t="str">
        <f>IF($AX16=3,IF($CD$10="","",INDEX(Tính!$F$39:$F$83,$CD$10)),IF($AX16=4,IF($CD$10="","",INDEX(Tính!$C$182:$V$226,$CD$10,INDEX($BJ$3:$BJ$22,$AY16))),IF($AX16=5,IF($CD$10="","",INDEX(Tính!$P$39:$P$83,$CD$10)&amp;"/"&amp;COUNTIF($BA$3:$BA$22,"?*")),IF($AX16=7,IF($CD$10="","",INDEX(Tính!$Q$39:$Q$83,$CD$10)&amp;"/"&amp;$BK$1),IF($AX16=8,IF($CD$10="","",INDEX(Tính!$R$39:$R$83,$CD$10)&amp;"/"&amp;$BL$1),"")))))</f>
        <v/>
      </c>
      <c r="S16" s="31" t="str">
        <f>IF($AX16=3,IF($CD$11="","",INDEX(Tính!$F$39:$F$83,$CD$11)),IF($AX16=4,IF($CD$11="","",INDEX(Tính!$C$182:$V$226,$CD$11,INDEX($BJ$3:$BJ$22,$AY16))),IF($AX16=5,IF($CD$11="","",INDEX(Tính!$P$39:$P$83,$CD$11)&amp;"/"&amp;COUNTIF($BA$3:$BA$22,"?*")),IF($AX16=7,IF($CD$11="","",INDEX(Tính!$Q$39:$Q$83,$CD$11)&amp;"/"&amp;$BK$1),IF($AX16=8,IF($CD$11="","",INDEX(Tính!$R$39:$R$83,$CD$11)&amp;"/"&amp;$BL$1),"")))))</f>
        <v/>
      </c>
      <c r="T16" s="31" t="str">
        <f>IF($AX16=3,IF($CD$12="","",INDEX(Tính!$F$39:$F$83,$CD$12)),IF($AX16=4,IF($CD$12="","",INDEX(Tính!$C$182:$V$226,$CD$12,INDEX($BJ$3:$BJ$22,$AY16))),IF($AX16=5,IF($CD$12="","",INDEX(Tính!$P$39:$P$83,$CD$12)&amp;"/"&amp;COUNTIF($BA$3:$BA$22,"?*")),IF($AX16=7,IF($CD$12="","",INDEX(Tính!$Q$39:$Q$83,$CD$12)&amp;"/"&amp;$BK$1),IF($AX16=8,IF($CD$12="","",INDEX(Tính!$R$39:$R$83,$CD$12)&amp;"/"&amp;$BL$1),"")))))</f>
        <v/>
      </c>
      <c r="U16" s="31" t="str">
        <f>IF($AX16=3,IF($CD$13="","",INDEX(Tính!$F$39:$F$83,$CD$13)),IF($AX16=4,IF($CD$13="","",INDEX(Tính!$C$182:$V$226,$CD$13,INDEX($BJ$3:$BJ$22,$AY16))),IF($AX16=5,IF($CD$13="","",INDEX(Tính!$P$39:$P$83,$CD$13)&amp;"/"&amp;COUNTIF($BA$3:$BA$22,"?*")),IF($AX16=7,IF($CD$13="","",INDEX(Tính!$Q$39:$Q$83,$CD$13)&amp;"/"&amp;$BK$1),IF($AX16=8,IF($CD$13="","",INDEX(Tính!$R$39:$R$83,$CD$13)&amp;"/"&amp;$BL$1),"")))))</f>
        <v/>
      </c>
      <c r="V16" s="31" t="str">
        <f>IF($AX16=3,IF($CD$14="","",INDEX(Tính!$F$39:$F$83,$CD$14)),IF($AX16=4,IF($CD$14="","",INDEX(Tính!$C$182:$V$226,$CD$14,INDEX($BJ$3:$BJ$22,$AY16))),IF($AX16=5,IF($CD$14="","",INDEX(Tính!$P$39:$P$83,$CD$14)&amp;"/"&amp;COUNTIF($BA$3:$BA$22,"?*")),IF($AX16=7,IF($CD$14="","",INDEX(Tính!$Q$39:$Q$83,$CD$14)&amp;"/"&amp;$BK$1),IF($AX16=8,IF($CD$14="","",INDEX(Tính!$R$39:$R$83,$CD$14)&amp;"/"&amp;$BL$1),"")))))</f>
        <v/>
      </c>
      <c r="W16" s="31" t="str">
        <f>IF($AX16=3,IF($CD$15="","",INDEX(Tính!$F$39:$F$83,$CD$15)),IF($AX16=4,IF($CD$15="","",INDEX(Tính!$C$182:$V$226,$CD$15,INDEX($BJ$3:$BJ$22,$AY16))),IF($AX16=5,IF($CD$15="","",INDEX(Tính!$P$39:$P$83,$CD$15)&amp;"/"&amp;COUNTIF($BA$3:$BA$22,"?*")),IF($AX16=7,IF($CD$15="","",INDEX(Tính!$Q$39:$Q$83,$CD$15)&amp;"/"&amp;$BK$1),IF($AX16=8,IF($CD$15="","",INDEX(Tính!$R$39:$R$83,$CD$15)&amp;"/"&amp;$BL$1),"")))))</f>
        <v/>
      </c>
      <c r="X16" s="31" t="str">
        <f>IF($AX16=3,IF($CD$16="","",INDEX(Tính!$F$39:$F$83,$CD$16)),IF($AX16=4,IF($CD$16="","",INDEX(Tính!$C$182:$V$226,$CD$16,INDEX($BJ$3:$BJ$22,$AY16))),IF($AX16=5,IF($CD$16="","",INDEX(Tính!$P$39:$P$83,$CD$16)&amp;"/"&amp;COUNTIF($BA$3:$BA$22,"?*")),IF($AX16=7,IF($CD$16="","",INDEX(Tính!$Q$39:$Q$83,$CD$16)&amp;"/"&amp;$BK$1),IF($AX16=8,IF($CD$16="","",INDEX(Tính!$R$39:$R$83,$CD$16)&amp;"/"&amp;$BL$1),"")))))</f>
        <v/>
      </c>
      <c r="Y16" s="31" t="str">
        <f>IF($AX16=3,IF($CD$17="","",INDEX(Tính!$F$39:$F$83,$CD$17)),IF($AX16=4,IF($CD$17="","",INDEX(Tính!$C$182:$V$226,$CD$17,INDEX($BJ$3:$BJ$22,$AY16))),IF($AX16=5,IF($CD$17="","",INDEX(Tính!$P$39:$P$83,$CD$17)&amp;"/"&amp;COUNTIF($BA$3:$BA$22,"?*")),IF($AX16=7,IF($CD$17="","",INDEX(Tính!$Q$39:$Q$83,$CD$17)&amp;"/"&amp;$BK$1),IF($AX16=8,IF($CD$17="","",INDEX(Tính!$R$39:$R$83,$CD$17)&amp;"/"&amp;$BL$1),"")))))</f>
        <v/>
      </c>
      <c r="Z16" s="31" t="str">
        <f>IF($AX16=3,IF($CD$18="","",INDEX(Tính!$F$39:$F$83,$CD$18)),IF($AX16=4,IF($CD$18="","",INDEX(Tính!$C$182:$V$226,$CD$18,INDEX($BJ$3:$BJ$22,$AY16))),IF($AX16=5,IF($CD$18="","",INDEX(Tính!$P$39:$P$83,$CD$18)&amp;"/"&amp;COUNTIF($BA$3:$BA$22,"?*")),IF($AX16=7,IF($CD$18="","",INDEX(Tính!$Q$39:$Q$83,$CD$18)&amp;"/"&amp;$BK$1),IF($AX16=8,IF($CD$18="","",INDEX(Tính!$R$39:$R$83,$CD$18)&amp;"/"&amp;$BL$1),"")))))</f>
        <v/>
      </c>
      <c r="AA16" s="31" t="str">
        <f>IF($AX16=3,IF($CD$19="","",INDEX(Tính!$F$39:$F$83,$CD$19)),IF($AX16=4,IF($CD$19="","",INDEX(Tính!$C$182:$V$226,$CD$19,INDEX($BJ$3:$BJ$22,$AY16))),IF($AX16=5,IF($CD$19="","",INDEX(Tính!$P$39:$P$83,$CD$19)&amp;"/"&amp;COUNTIF($BA$3:$BA$22,"?*")),IF($AX16=7,IF($CD$19="","",INDEX(Tính!$Q$39:$Q$83,$CD$19)&amp;"/"&amp;$BK$1),IF($AX16=8,IF($CD$19="","",INDEX(Tính!$R$39:$R$83,$CD$19)&amp;"/"&amp;$BL$1),"")))))</f>
        <v/>
      </c>
      <c r="AB16" s="31" t="str">
        <f>IF($AX16=3,IF($CD$20="","",INDEX(Tính!$F$39:$F$83,$CD$20)),IF($AX16=4,IF($CD$20="","",INDEX(Tính!$C$182:$V$226,$CD$20,INDEX($BJ$3:$BJ$22,$AY16))),IF($AX16=5,IF($CD$20="","",INDEX(Tính!$P$39:$P$83,$CD$20)&amp;"/"&amp;COUNTIF($BA$3:$BA$22,"?*")),IF($AX16=7,IF($CD$20="","",INDEX(Tính!$Q$39:$Q$83,$CD$20)&amp;"/"&amp;$BK$1),IF($AX16=8,IF($CD$20="","",INDEX(Tính!$R$39:$R$83,$CD$20)&amp;"/"&amp;$BL$1),"")))))</f>
        <v/>
      </c>
      <c r="AC16" s="31" t="str">
        <f>IF($AX16=3,IF($CD$21="","",INDEX(Tính!$F$39:$F$83,$CD$21)),IF($AX16=4,IF($CD$21="","",INDEX(Tính!$C$182:$V$226,$CD$21,INDEX($BJ$3:$BJ$22,$AY16))),IF($AX16=5,IF($CD$21="","",INDEX(Tính!$P$39:$P$83,$CD$21)&amp;"/"&amp;COUNTIF($BA$3:$BA$22,"?*")),IF($AX16=7,IF($CD$21="","",INDEX(Tính!$Q$39:$Q$83,$CD$21)&amp;"/"&amp;$BK$1),IF($AX16=8,IF($CD$21="","",INDEX(Tính!$R$39:$R$83,$CD$21)&amp;"/"&amp;$BL$1),"")))))</f>
        <v/>
      </c>
      <c r="AD16" s="31" t="str">
        <f>IF($AX16=3,IF($CD$22="","",INDEX(Tính!$F$39:$F$83,$CD$22)),IF($AX16=4,IF($CD$22="","",INDEX(Tính!$C$182:$V$226,$CD$22,INDEX($BJ$3:$BJ$22,$AY16))),IF($AX16=5,IF($CD$22="","",INDEX(Tính!$P$39:$P$83,$CD$22)&amp;"/"&amp;COUNTIF($BA$3:$BA$22,"?*")),IF($AX16=7,IF($CD$22="","",INDEX(Tính!$Q$39:$Q$83,$CD$22)&amp;"/"&amp;$BK$1),IF($AX16=8,IF($CD$22="","",INDEX(Tính!$R$39:$R$83,$CD$22)&amp;"/"&amp;$BL$1),"")))))</f>
        <v/>
      </c>
      <c r="AW16" t="str">
        <f>$BK$9</f>
        <v/>
      </c>
      <c r="AX16">
        <f>IF(12=0,0,IF(12&lt;=$AX$1,1,IF(12=$AX$1+1,2,IF(12=$AX$1+2,3,IF((12-$AX$1-2)&lt;=$AX$3,IF(INDEX($BK$3:$BK$24,(12-$AX$1-2))="C",7,IF(INDEX($BK$3:$BK$24,(12-$AX$1-2))="V",8,4)),IF((12-$AX$1-2)=$AX$3+1,5,6))))))</f>
        <v>6</v>
      </c>
      <c r="AY16">
        <f>IF(AX16=1,12,IF(AX16=4,INDEX($BL$3:$BL$24,(12-$AX$1-2)),0))</f>
        <v>0</v>
      </c>
      <c r="BA16" t="str">
        <f>Tính!B16</f>
        <v/>
      </c>
      <c r="BB16" t="str">
        <f>Tính!D16</f>
        <v/>
      </c>
      <c r="BC16">
        <f>IF($AZ$1=0,Tính!$Z$16,CHOOSE($AZ$1,Tính!$G$16,Tính!$L$16,Tính!$Q$16,Tính!$V$16))</f>
        <v>0</v>
      </c>
      <c r="BD16">
        <f>IF($AZ$1=0,Tính!$Y$16,CHOOSE($AZ$1,Tính!$E$16,Tính!$J$16,Tính!$O$16,Tính!$T$16))</f>
        <v>0</v>
      </c>
      <c r="BE16">
        <f>IF($AZ$1=0,Tính!$AB$16,CHOOSE($AZ$1,Tính!$I$16,Tính!$N$16,Tính!$S$16,Tính!$X$16))</f>
        <v>0</v>
      </c>
      <c r="BF16">
        <f>IF($AZ$1=0,Tính!$AA$16,CHOOSE($AZ$1,Tính!$H$16,Tính!$M$16,Tính!$R$16,Tính!$W$16))</f>
        <v>0</v>
      </c>
      <c r="BG16">
        <f t="shared" si="0"/>
        <v>0</v>
      </c>
      <c r="BH16">
        <f t="shared" si="1"/>
        <v>0</v>
      </c>
      <c r="BI16">
        <f>IF(BA16="",-1,IF(BB16="Chính",1000,0)+BG16+(20-14)/100000)</f>
        <v>-1</v>
      </c>
      <c r="BJ16" t="str">
        <f>IF(LARGE($BI$3:$BI$22,14)&lt;0,"",MATCH(LARGE($BI$3:$BI$22,14),$BI$3:$BI$22,0))</f>
        <v/>
      </c>
      <c r="BK16" t="str">
        <f>IF(14=1,IF($BK$1&gt;0,"C",""),IF(14&lt;=$BK$1+1,"g",IF(14=$BK$1+2,IF($BL$1&gt;0,"V",""),IF(14&lt;=$BK$1+2+$BL$1,"g",""))))</f>
        <v/>
      </c>
      <c r="BL16" t="str">
        <f>IF(BK16="g",IF(14&lt;=$BK$1+1,14-1,14-2),"")</f>
        <v/>
      </c>
      <c r="CA16">
        <v>14</v>
      </c>
      <c r="CB16">
        <f>IF(Tính!B52="",0,IF(OR($AZ$1=0,Tính!D52=$AZ$1),1,0))</f>
        <v>0</v>
      </c>
      <c r="CC16">
        <f>IF(CB16=1,Tính!M52+1+(45-14)/1000000,-1)</f>
        <v>-1</v>
      </c>
      <c r="CD16" t="str">
        <f>IF(LARGE($CC$3:$CC$47,14)&lt;0,"",MATCH(LARGE($CC$3:$CC$47,14),$CC$3:$CC$47,0))</f>
        <v/>
      </c>
    </row>
    <row r="17" spans="1:82" x14ac:dyDescent="0.3">
      <c r="A17" s="54" t="str">
        <f>IF($BK$10="C","NHÓM CHÍNH",IF($BK$10="V","NHÓM VƯỢT TRỘI",IF($BL$10="","",INDEX($BA$3:$BA$22,INDEX($BJ$3:$BJ$22,$BL$10)))))</f>
        <v/>
      </c>
      <c r="B17" s="52"/>
      <c r="C17" s="26" t="str">
        <f>IF($BL$10="","",INDEX($BC$3:$BC$22,INDEX($BJ$3:$BJ$22,$BL$10)))</f>
        <v/>
      </c>
      <c r="D17" s="26" t="str">
        <f>IF($BL$10="","",INDEX($BD$3:$BD$22,INDEX($BJ$3:$BJ$22,$BL$10)))</f>
        <v/>
      </c>
      <c r="E17" s="27" t="str">
        <f>IF($BL$10="","",IF(C17&gt;0,D17/C17,1))</f>
        <v/>
      </c>
      <c r="F17" s="27" t="str">
        <f>IF($BK$10="C",COUNTIFS($BB$3:$BB$22,"Chính",$BG$3:$BG$22,"&gt;=0.995")&amp;"/"&amp;$BK$1,IF($BK$10="V",COUNTIFS($BB$3:$BB$22,"Vượt trội",$BG$3:$BG$22,"&gt;=0.995")&amp;"/"&amp;$BL$1,IF($BL$10="","",INDEX($BG$3:$BG$22,INDEX($BJ$3:$BJ$22,$BL$10)))))</f>
        <v/>
      </c>
      <c r="H17" s="29" t="str">
        <f t="shared" si="2"/>
        <v/>
      </c>
      <c r="I17" s="12" t="str">
        <f>IF($AX17=0,"Nhân viên",IF($AX17=1,INDEX(Tính!$F$39:$F$83,INDEX($CD$3:$CD$47,$AY17))&amp;" · "&amp;INDEX(Tính!$O$39:$O$83,INDEX($CD$3:$CD$47,$AY17)),IF($AX17=3,"Nhóm hàng",IF($AX17=4,INDEX($BA$3:$BA$22,INDEX($BJ$3:$BJ$22,$AY17)),IF($AX17=5,"Số nhóm đạt",IF($AX17=7,"NHÓM CHÍNH",IF($AX17=8,"NHÓM VƯỢT TRỘI","")))))))</f>
        <v/>
      </c>
      <c r="J17" s="30" t="str">
        <f>IF($AX17=0,"Mục tiêu",IF($AX17=1,FIXED(INDEX(Tính!$J$39:$J$83,INDEX($CD$3:$CD$47,$AY17)),0),IF($AX17=3,"Cả shop",IF($AX17=4,INDEX($BG$3:$BG$22,INDEX($BJ$3:$BJ$22,$AY17)),IF($AX17=5,COUNTIF($BG$3:$BG$22,"&gt;=0.995")&amp;"/"&amp;COUNTIF($BA$3:$BA$22,"?*"),IF($AX17=7,COUNTIFS($BB$3:$BB$22,"Chính",$BG$3:$BG$22,"&gt;=0.995")&amp;"/"&amp;$BK$1,IF($AX17=8,COUNTIFS($BB$3:$BB$22,"Vượt trội",$BG$3:$BG$22,"&gt;=0.995")&amp;"/"&amp;$BL$1,"")))))))</f>
        <v/>
      </c>
      <c r="K17" s="30" t="str">
        <f>IF($AX17=0,"DT QĐ",IF($AX17=1,FIXED(INDEX(Tính!$K$39:$K$83,INDEX($CD$3:$CD$47,$AY17)),1),IF($AX17=3,IF($CD$3="","",INDEX(Tính!$F$39:$F$83,$CD$3)),IF($AX17=4,IF($CD$3="","",INDEX(Tính!$C$182:$V$226,$CD$3,INDEX($BJ$3:$BJ$22,$AY17))),IF($AX17=5,IF($CD$3="","",INDEX(Tính!$P$39:$P$83,$CD$3)&amp;"/"&amp;COUNTIF($BA$3:$BA$22,"?*")),IF($AX17=7,IF($CD$3="","",INDEX(Tính!$Q$39:$Q$83,$CD$3)&amp;"/"&amp;$BK$1),IF($AX17=8,IF($CD$3="","",INDEX(Tính!$R$39:$R$83,$CD$3)&amp;"/"&amp;$BL$1),"")))))))</f>
        <v/>
      </c>
      <c r="L17" s="31" t="str">
        <f>IF($AX17=0,"% HT",IF($AX17=1,INDEX(Tính!$N$39:$N$83,INDEX($CD$3:$CD$47,$AY17)),IF($AX17=3,IF($CD$4="","",INDEX(Tính!$F$39:$F$83,$CD$4)),IF($AX17=4,IF($CD$4="","",INDEX(Tính!$C$182:$V$226,$CD$4,INDEX($BJ$3:$BJ$22,$AY17))),IF($AX17=5,IF($CD$4="","",INDEX(Tính!$P$39:$P$83,$CD$4)&amp;"/"&amp;COUNTIF($BA$3:$BA$22,"?*")),IF($AX17=7,IF($CD$4="","",INDEX(Tính!$Q$39:$Q$83,$CD$4)&amp;"/"&amp;$BK$1),IF($AX17=8,IF($CD$4="","",INDEX(Tính!$R$39:$R$83,$CD$4)&amp;"/"&amp;$BL$1),"")))))))</f>
        <v/>
      </c>
      <c r="M17" s="31" t="str">
        <f>IF($AX17=0,"Dự kiến",IF($AX17=1,INDEX(Tính!$M$39:$M$83,INDEX($CD$3:$CD$47,$AY17)),IF($AX17=3,IF($CD$5="","",INDEX(Tính!$F$39:$F$83,$CD$5)),IF($AX17=4,IF($CD$5="","",INDEX(Tính!$C$182:$V$226,$CD$5,INDEX($BJ$3:$BJ$22,$AY17))),IF($AX17=5,IF($CD$5="","",INDEX(Tính!$P$39:$P$83,$CD$5)&amp;"/"&amp;COUNTIF($BA$3:$BA$22,"?*")),IF($AX17=7,IF($CD$5="","",INDEX(Tính!$Q$39:$Q$83,$CD$5)&amp;"/"&amp;$BK$1),IF($AX17=8,IF($CD$5="","",INDEX(Tính!$R$39:$R$83,$CD$5)&amp;"/"&amp;$BL$1),"")))))))</f>
        <v/>
      </c>
      <c r="N17" s="31" t="str">
        <f>IF($AX17=0,"NH đạt",IF($AX17=1,INDEX(Tính!$P$39:$P$83,INDEX($CD$3:$CD$47,$AY17))&amp;"/"&amp;COUNTIF($BA$3:$BA$22,"?*"),IF($AX17=3,IF($CD$6="","",INDEX(Tính!$F$39:$F$83,$CD$6)),IF($AX17=4,IF($CD$6="","",INDEX(Tính!$C$182:$V$226,$CD$6,INDEX($BJ$3:$BJ$22,$AY17))),IF($AX17=5,IF($CD$6="","",INDEX(Tính!$P$39:$P$83,$CD$6)&amp;"/"&amp;COUNTIF($BA$3:$BA$22,"?*")),IF($AX17=7,IF($CD$6="","",INDEX(Tính!$Q$39:$Q$83,$CD$6)&amp;"/"&amp;$BK$1),IF($AX17=8,IF($CD$6="","",INDEX(Tính!$R$39:$R$83,$CD$6)&amp;"/"&amp;$BL$1),"")))))))</f>
        <v/>
      </c>
      <c r="O17" s="31" t="str">
        <f>IF($AX17=3,IF($CD$7="","",INDEX(Tính!$F$39:$F$83,$CD$7)),IF($AX17=4,IF($CD$7="","",INDEX(Tính!$C$182:$V$226,$CD$7,INDEX($BJ$3:$BJ$22,$AY17))),IF($AX17=5,IF($CD$7="","",INDEX(Tính!$P$39:$P$83,$CD$7)&amp;"/"&amp;COUNTIF($BA$3:$BA$22,"?*")),IF($AX17=7,IF($CD$7="","",INDEX(Tính!$Q$39:$Q$83,$CD$7)&amp;"/"&amp;$BK$1),IF($AX17=8,IF($CD$7="","",INDEX(Tính!$R$39:$R$83,$CD$7)&amp;"/"&amp;$BL$1),"")))))</f>
        <v/>
      </c>
      <c r="P17" s="31" t="str">
        <f>IF($AX17=3,IF($CD$8="","",INDEX(Tính!$F$39:$F$83,$CD$8)),IF($AX17=4,IF($CD$8="","",INDEX(Tính!$C$182:$V$226,$CD$8,INDEX($BJ$3:$BJ$22,$AY17))),IF($AX17=5,IF($CD$8="","",INDEX(Tính!$P$39:$P$83,$CD$8)&amp;"/"&amp;COUNTIF($BA$3:$BA$22,"?*")),IF($AX17=7,IF($CD$8="","",INDEX(Tính!$Q$39:$Q$83,$CD$8)&amp;"/"&amp;$BK$1),IF($AX17=8,IF($CD$8="","",INDEX(Tính!$R$39:$R$83,$CD$8)&amp;"/"&amp;$BL$1),"")))))</f>
        <v/>
      </c>
      <c r="Q17" s="31" t="str">
        <f>IF($AX17=3,IF($CD$9="","",INDEX(Tính!$F$39:$F$83,$CD$9)),IF($AX17=4,IF($CD$9="","",INDEX(Tính!$C$182:$V$226,$CD$9,INDEX($BJ$3:$BJ$22,$AY17))),IF($AX17=5,IF($CD$9="","",INDEX(Tính!$P$39:$P$83,$CD$9)&amp;"/"&amp;COUNTIF($BA$3:$BA$22,"?*")),IF($AX17=7,IF($CD$9="","",INDEX(Tính!$Q$39:$Q$83,$CD$9)&amp;"/"&amp;$BK$1),IF($AX17=8,IF($CD$9="","",INDEX(Tính!$R$39:$R$83,$CD$9)&amp;"/"&amp;$BL$1),"")))))</f>
        <v/>
      </c>
      <c r="R17" s="31" t="str">
        <f>IF($AX17=3,IF($CD$10="","",INDEX(Tính!$F$39:$F$83,$CD$10)),IF($AX17=4,IF($CD$10="","",INDEX(Tính!$C$182:$V$226,$CD$10,INDEX($BJ$3:$BJ$22,$AY17))),IF($AX17=5,IF($CD$10="","",INDEX(Tính!$P$39:$P$83,$CD$10)&amp;"/"&amp;COUNTIF($BA$3:$BA$22,"?*")),IF($AX17=7,IF($CD$10="","",INDEX(Tính!$Q$39:$Q$83,$CD$10)&amp;"/"&amp;$BK$1),IF($AX17=8,IF($CD$10="","",INDEX(Tính!$R$39:$R$83,$CD$10)&amp;"/"&amp;$BL$1),"")))))</f>
        <v/>
      </c>
      <c r="S17" s="31" t="str">
        <f>IF($AX17=3,IF($CD$11="","",INDEX(Tính!$F$39:$F$83,$CD$11)),IF($AX17=4,IF($CD$11="","",INDEX(Tính!$C$182:$V$226,$CD$11,INDEX($BJ$3:$BJ$22,$AY17))),IF($AX17=5,IF($CD$11="","",INDEX(Tính!$P$39:$P$83,$CD$11)&amp;"/"&amp;COUNTIF($BA$3:$BA$22,"?*")),IF($AX17=7,IF($CD$11="","",INDEX(Tính!$Q$39:$Q$83,$CD$11)&amp;"/"&amp;$BK$1),IF($AX17=8,IF($CD$11="","",INDEX(Tính!$R$39:$R$83,$CD$11)&amp;"/"&amp;$BL$1),"")))))</f>
        <v/>
      </c>
      <c r="T17" s="31" t="str">
        <f>IF($AX17=3,IF($CD$12="","",INDEX(Tính!$F$39:$F$83,$CD$12)),IF($AX17=4,IF($CD$12="","",INDEX(Tính!$C$182:$V$226,$CD$12,INDEX($BJ$3:$BJ$22,$AY17))),IF($AX17=5,IF($CD$12="","",INDEX(Tính!$P$39:$P$83,$CD$12)&amp;"/"&amp;COUNTIF($BA$3:$BA$22,"?*")),IF($AX17=7,IF($CD$12="","",INDEX(Tính!$Q$39:$Q$83,$CD$12)&amp;"/"&amp;$BK$1),IF($AX17=8,IF($CD$12="","",INDEX(Tính!$R$39:$R$83,$CD$12)&amp;"/"&amp;$BL$1),"")))))</f>
        <v/>
      </c>
      <c r="U17" s="31" t="str">
        <f>IF($AX17=3,IF($CD$13="","",INDEX(Tính!$F$39:$F$83,$CD$13)),IF($AX17=4,IF($CD$13="","",INDEX(Tính!$C$182:$V$226,$CD$13,INDEX($BJ$3:$BJ$22,$AY17))),IF($AX17=5,IF($CD$13="","",INDEX(Tính!$P$39:$P$83,$CD$13)&amp;"/"&amp;COUNTIF($BA$3:$BA$22,"?*")),IF($AX17=7,IF($CD$13="","",INDEX(Tính!$Q$39:$Q$83,$CD$13)&amp;"/"&amp;$BK$1),IF($AX17=8,IF($CD$13="","",INDEX(Tính!$R$39:$R$83,$CD$13)&amp;"/"&amp;$BL$1),"")))))</f>
        <v/>
      </c>
      <c r="V17" s="31" t="str">
        <f>IF($AX17=3,IF($CD$14="","",INDEX(Tính!$F$39:$F$83,$CD$14)),IF($AX17=4,IF($CD$14="","",INDEX(Tính!$C$182:$V$226,$CD$14,INDEX($BJ$3:$BJ$22,$AY17))),IF($AX17=5,IF($CD$14="","",INDEX(Tính!$P$39:$P$83,$CD$14)&amp;"/"&amp;COUNTIF($BA$3:$BA$22,"?*")),IF($AX17=7,IF($CD$14="","",INDEX(Tính!$Q$39:$Q$83,$CD$14)&amp;"/"&amp;$BK$1),IF($AX17=8,IF($CD$14="","",INDEX(Tính!$R$39:$R$83,$CD$14)&amp;"/"&amp;$BL$1),"")))))</f>
        <v/>
      </c>
      <c r="W17" s="31" t="str">
        <f>IF($AX17=3,IF($CD$15="","",INDEX(Tính!$F$39:$F$83,$CD$15)),IF($AX17=4,IF($CD$15="","",INDEX(Tính!$C$182:$V$226,$CD$15,INDEX($BJ$3:$BJ$22,$AY17))),IF($AX17=5,IF($CD$15="","",INDEX(Tính!$P$39:$P$83,$CD$15)&amp;"/"&amp;COUNTIF($BA$3:$BA$22,"?*")),IF($AX17=7,IF($CD$15="","",INDEX(Tính!$Q$39:$Q$83,$CD$15)&amp;"/"&amp;$BK$1),IF($AX17=8,IF($CD$15="","",INDEX(Tính!$R$39:$R$83,$CD$15)&amp;"/"&amp;$BL$1),"")))))</f>
        <v/>
      </c>
      <c r="X17" s="31" t="str">
        <f>IF($AX17=3,IF($CD$16="","",INDEX(Tính!$F$39:$F$83,$CD$16)),IF($AX17=4,IF($CD$16="","",INDEX(Tính!$C$182:$V$226,$CD$16,INDEX($BJ$3:$BJ$22,$AY17))),IF($AX17=5,IF($CD$16="","",INDEX(Tính!$P$39:$P$83,$CD$16)&amp;"/"&amp;COUNTIF($BA$3:$BA$22,"?*")),IF($AX17=7,IF($CD$16="","",INDEX(Tính!$Q$39:$Q$83,$CD$16)&amp;"/"&amp;$BK$1),IF($AX17=8,IF($CD$16="","",INDEX(Tính!$R$39:$R$83,$CD$16)&amp;"/"&amp;$BL$1),"")))))</f>
        <v/>
      </c>
      <c r="Y17" s="31" t="str">
        <f>IF($AX17=3,IF($CD$17="","",INDEX(Tính!$F$39:$F$83,$CD$17)),IF($AX17=4,IF($CD$17="","",INDEX(Tính!$C$182:$V$226,$CD$17,INDEX($BJ$3:$BJ$22,$AY17))),IF($AX17=5,IF($CD$17="","",INDEX(Tính!$P$39:$P$83,$CD$17)&amp;"/"&amp;COUNTIF($BA$3:$BA$22,"?*")),IF($AX17=7,IF($CD$17="","",INDEX(Tính!$Q$39:$Q$83,$CD$17)&amp;"/"&amp;$BK$1),IF($AX17=8,IF($CD$17="","",INDEX(Tính!$R$39:$R$83,$CD$17)&amp;"/"&amp;$BL$1),"")))))</f>
        <v/>
      </c>
      <c r="Z17" s="31" t="str">
        <f>IF($AX17=3,IF($CD$18="","",INDEX(Tính!$F$39:$F$83,$CD$18)),IF($AX17=4,IF($CD$18="","",INDEX(Tính!$C$182:$V$226,$CD$18,INDEX($BJ$3:$BJ$22,$AY17))),IF($AX17=5,IF($CD$18="","",INDEX(Tính!$P$39:$P$83,$CD$18)&amp;"/"&amp;COUNTIF($BA$3:$BA$22,"?*")),IF($AX17=7,IF($CD$18="","",INDEX(Tính!$Q$39:$Q$83,$CD$18)&amp;"/"&amp;$BK$1),IF($AX17=8,IF($CD$18="","",INDEX(Tính!$R$39:$R$83,$CD$18)&amp;"/"&amp;$BL$1),"")))))</f>
        <v/>
      </c>
      <c r="AA17" s="31" t="str">
        <f>IF($AX17=3,IF($CD$19="","",INDEX(Tính!$F$39:$F$83,$CD$19)),IF($AX17=4,IF($CD$19="","",INDEX(Tính!$C$182:$V$226,$CD$19,INDEX($BJ$3:$BJ$22,$AY17))),IF($AX17=5,IF($CD$19="","",INDEX(Tính!$P$39:$P$83,$CD$19)&amp;"/"&amp;COUNTIF($BA$3:$BA$22,"?*")),IF($AX17=7,IF($CD$19="","",INDEX(Tính!$Q$39:$Q$83,$CD$19)&amp;"/"&amp;$BK$1),IF($AX17=8,IF($CD$19="","",INDEX(Tính!$R$39:$R$83,$CD$19)&amp;"/"&amp;$BL$1),"")))))</f>
        <v/>
      </c>
      <c r="AB17" s="31" t="str">
        <f>IF($AX17=3,IF($CD$20="","",INDEX(Tính!$F$39:$F$83,$CD$20)),IF($AX17=4,IF($CD$20="","",INDEX(Tính!$C$182:$V$226,$CD$20,INDEX($BJ$3:$BJ$22,$AY17))),IF($AX17=5,IF($CD$20="","",INDEX(Tính!$P$39:$P$83,$CD$20)&amp;"/"&amp;COUNTIF($BA$3:$BA$22,"?*")),IF($AX17=7,IF($CD$20="","",INDEX(Tính!$Q$39:$Q$83,$CD$20)&amp;"/"&amp;$BK$1),IF($AX17=8,IF($CD$20="","",INDEX(Tính!$R$39:$R$83,$CD$20)&amp;"/"&amp;$BL$1),"")))))</f>
        <v/>
      </c>
      <c r="AC17" s="31" t="str">
        <f>IF($AX17=3,IF($CD$21="","",INDEX(Tính!$F$39:$F$83,$CD$21)),IF($AX17=4,IF($CD$21="","",INDEX(Tính!$C$182:$V$226,$CD$21,INDEX($BJ$3:$BJ$22,$AY17))),IF($AX17=5,IF($CD$21="","",INDEX(Tính!$P$39:$P$83,$CD$21)&amp;"/"&amp;COUNTIF($BA$3:$BA$22,"?*")),IF($AX17=7,IF($CD$21="","",INDEX(Tính!$Q$39:$Q$83,$CD$21)&amp;"/"&amp;$BK$1),IF($AX17=8,IF($CD$21="","",INDEX(Tính!$R$39:$R$83,$CD$21)&amp;"/"&amp;$BL$1),"")))))</f>
        <v/>
      </c>
      <c r="AD17" s="31" t="str">
        <f>IF($AX17=3,IF($CD$22="","",INDEX(Tính!$F$39:$F$83,$CD$22)),IF($AX17=4,IF($CD$22="","",INDEX(Tính!$C$182:$V$226,$CD$22,INDEX($BJ$3:$BJ$22,$AY17))),IF($AX17=5,IF($CD$22="","",INDEX(Tính!$P$39:$P$83,$CD$22)&amp;"/"&amp;COUNTIF($BA$3:$BA$22,"?*")),IF($AX17=7,IF($CD$22="","",INDEX(Tính!$Q$39:$Q$83,$CD$22)&amp;"/"&amp;$BK$1),IF($AX17=8,IF($CD$22="","",INDEX(Tính!$R$39:$R$83,$CD$22)&amp;"/"&amp;$BL$1),"")))))</f>
        <v/>
      </c>
      <c r="AW17" t="str">
        <f>$BK$10</f>
        <v/>
      </c>
      <c r="AX17">
        <f>IF(13=0,0,IF(13&lt;=$AX$1,1,IF(13=$AX$1+1,2,IF(13=$AX$1+2,3,IF((13-$AX$1-2)&lt;=$AX$3,IF(INDEX($BK$3:$BK$24,(13-$AX$1-2))="C",7,IF(INDEX($BK$3:$BK$24,(13-$AX$1-2))="V",8,4)),IF((13-$AX$1-2)=$AX$3+1,5,6))))))</f>
        <v>6</v>
      </c>
      <c r="AY17">
        <f>IF(AX17=1,13,IF(AX17=4,INDEX($BL$3:$BL$24,(13-$AX$1-2)),0))</f>
        <v>0</v>
      </c>
      <c r="BA17" t="str">
        <f>Tính!B17</f>
        <v/>
      </c>
      <c r="BB17" t="str">
        <f>Tính!D17</f>
        <v/>
      </c>
      <c r="BC17">
        <f>IF($AZ$1=0,Tính!$Z$17,CHOOSE($AZ$1,Tính!$G$17,Tính!$L$17,Tính!$Q$17,Tính!$V$17))</f>
        <v>0</v>
      </c>
      <c r="BD17">
        <f>IF($AZ$1=0,Tính!$Y$17,CHOOSE($AZ$1,Tính!$E$17,Tính!$J$17,Tính!$O$17,Tính!$T$17))</f>
        <v>0</v>
      </c>
      <c r="BE17">
        <f>IF($AZ$1=0,Tính!$AB$17,CHOOSE($AZ$1,Tính!$I$17,Tính!$N$17,Tính!$S$17,Tính!$X$17))</f>
        <v>0</v>
      </c>
      <c r="BF17">
        <f>IF($AZ$1=0,Tính!$AA$17,CHOOSE($AZ$1,Tính!$H$17,Tính!$M$17,Tính!$R$17,Tính!$W$17))</f>
        <v>0</v>
      </c>
      <c r="BG17">
        <f t="shared" si="0"/>
        <v>0</v>
      </c>
      <c r="BH17">
        <f t="shared" si="1"/>
        <v>0</v>
      </c>
      <c r="BI17">
        <f>IF(BA17="",-1,IF(BB17="Chính",1000,0)+BG17+(20-15)/100000)</f>
        <v>-1</v>
      </c>
      <c r="BJ17" t="str">
        <f>IF(LARGE($BI$3:$BI$22,15)&lt;0,"",MATCH(LARGE($BI$3:$BI$22,15),$BI$3:$BI$22,0))</f>
        <v/>
      </c>
      <c r="BK17" t="str">
        <f>IF(15=1,IF($BK$1&gt;0,"C",""),IF(15&lt;=$BK$1+1,"g",IF(15=$BK$1+2,IF($BL$1&gt;0,"V",""),IF(15&lt;=$BK$1+2+$BL$1,"g",""))))</f>
        <v/>
      </c>
      <c r="BL17" t="str">
        <f>IF(BK17="g",IF(15&lt;=$BK$1+1,15-1,15-2),"")</f>
        <v/>
      </c>
      <c r="CA17">
        <v>15</v>
      </c>
      <c r="CB17">
        <f>IF(Tính!B53="",0,IF(OR($AZ$1=0,Tính!D53=$AZ$1),1,0))</f>
        <v>0</v>
      </c>
      <c r="CC17">
        <f>IF(CB17=1,Tính!M53+1+(45-15)/1000000,-1)</f>
        <v>-1</v>
      </c>
      <c r="CD17" t="str">
        <f>IF(LARGE($CC$3:$CC$47,15)&lt;0,"",MATCH(LARGE($CC$3:$CC$47,15),$CC$3:$CC$47,0))</f>
        <v/>
      </c>
    </row>
    <row r="18" spans="1:82" x14ac:dyDescent="0.3">
      <c r="A18" s="54" t="str">
        <f>IF($BK$11="C","NHÓM CHÍNH",IF($BK$11="V","NHÓM VƯỢT TRỘI",IF($BL$11="","",INDEX($BA$3:$BA$22,INDEX($BJ$3:$BJ$22,$BL$11)))))</f>
        <v/>
      </c>
      <c r="B18" s="52"/>
      <c r="C18" s="26" t="str">
        <f>IF($BL$11="","",INDEX($BC$3:$BC$22,INDEX($BJ$3:$BJ$22,$BL$11)))</f>
        <v/>
      </c>
      <c r="D18" s="26" t="str">
        <f>IF($BL$11="","",INDEX($BD$3:$BD$22,INDEX($BJ$3:$BJ$22,$BL$11)))</f>
        <v/>
      </c>
      <c r="E18" s="27" t="str">
        <f>IF($BL$11="","",IF(C18&gt;0,D18/C18,1))</f>
        <v/>
      </c>
      <c r="F18" s="27" t="str">
        <f>IF($BK$11="C",COUNTIFS($BB$3:$BB$22,"Chính",$BG$3:$BG$22,"&gt;=0.995")&amp;"/"&amp;$BK$1,IF($BK$11="V",COUNTIFS($BB$3:$BB$22,"Vượt trội",$BG$3:$BG$22,"&gt;=0.995")&amp;"/"&amp;$BL$1,IF($BL$11="","",INDEX($BG$3:$BG$22,INDEX($BJ$3:$BJ$22,$BL$11)))))</f>
        <v/>
      </c>
      <c r="H18" s="29" t="str">
        <f t="shared" si="2"/>
        <v/>
      </c>
      <c r="I18" s="12" t="str">
        <f>IF($AX18=0,"Nhân viên",IF($AX18=1,INDEX(Tính!$F$39:$F$83,INDEX($CD$3:$CD$47,$AY18))&amp;" · "&amp;INDEX(Tính!$O$39:$O$83,INDEX($CD$3:$CD$47,$AY18)),IF($AX18=3,"Nhóm hàng",IF($AX18=4,INDEX($BA$3:$BA$22,INDEX($BJ$3:$BJ$22,$AY18)),IF($AX18=5,"Số nhóm đạt",IF($AX18=7,"NHÓM CHÍNH",IF($AX18=8,"NHÓM VƯỢT TRỘI","")))))))</f>
        <v/>
      </c>
      <c r="J18" s="30" t="str">
        <f>IF($AX18=0,"Mục tiêu",IF($AX18=1,FIXED(INDEX(Tính!$J$39:$J$83,INDEX($CD$3:$CD$47,$AY18)),0),IF($AX18=3,"Cả shop",IF($AX18=4,INDEX($BG$3:$BG$22,INDEX($BJ$3:$BJ$22,$AY18)),IF($AX18=5,COUNTIF($BG$3:$BG$22,"&gt;=0.995")&amp;"/"&amp;COUNTIF($BA$3:$BA$22,"?*"),IF($AX18=7,COUNTIFS($BB$3:$BB$22,"Chính",$BG$3:$BG$22,"&gt;=0.995")&amp;"/"&amp;$BK$1,IF($AX18=8,COUNTIFS($BB$3:$BB$22,"Vượt trội",$BG$3:$BG$22,"&gt;=0.995")&amp;"/"&amp;$BL$1,"")))))))</f>
        <v/>
      </c>
      <c r="K18" s="30" t="str">
        <f>IF($AX18=0,"DT QĐ",IF($AX18=1,FIXED(INDEX(Tính!$K$39:$K$83,INDEX($CD$3:$CD$47,$AY18)),1),IF($AX18=3,IF($CD$3="","",INDEX(Tính!$F$39:$F$83,$CD$3)),IF($AX18=4,IF($CD$3="","",INDEX(Tính!$C$182:$V$226,$CD$3,INDEX($BJ$3:$BJ$22,$AY18))),IF($AX18=5,IF($CD$3="","",INDEX(Tính!$P$39:$P$83,$CD$3)&amp;"/"&amp;COUNTIF($BA$3:$BA$22,"?*")),IF($AX18=7,IF($CD$3="","",INDEX(Tính!$Q$39:$Q$83,$CD$3)&amp;"/"&amp;$BK$1),IF($AX18=8,IF($CD$3="","",INDEX(Tính!$R$39:$R$83,$CD$3)&amp;"/"&amp;$BL$1),"")))))))</f>
        <v/>
      </c>
      <c r="L18" s="31" t="str">
        <f>IF($AX18=0,"% HT",IF($AX18=1,INDEX(Tính!$N$39:$N$83,INDEX($CD$3:$CD$47,$AY18)),IF($AX18=3,IF($CD$4="","",INDEX(Tính!$F$39:$F$83,$CD$4)),IF($AX18=4,IF($CD$4="","",INDEX(Tính!$C$182:$V$226,$CD$4,INDEX($BJ$3:$BJ$22,$AY18))),IF($AX18=5,IF($CD$4="","",INDEX(Tính!$P$39:$P$83,$CD$4)&amp;"/"&amp;COUNTIF($BA$3:$BA$22,"?*")),IF($AX18=7,IF($CD$4="","",INDEX(Tính!$Q$39:$Q$83,$CD$4)&amp;"/"&amp;$BK$1),IF($AX18=8,IF($CD$4="","",INDEX(Tính!$R$39:$R$83,$CD$4)&amp;"/"&amp;$BL$1),"")))))))</f>
        <v/>
      </c>
      <c r="M18" s="31" t="str">
        <f>IF($AX18=0,"Dự kiến",IF($AX18=1,INDEX(Tính!$M$39:$M$83,INDEX($CD$3:$CD$47,$AY18)),IF($AX18=3,IF($CD$5="","",INDEX(Tính!$F$39:$F$83,$CD$5)),IF($AX18=4,IF($CD$5="","",INDEX(Tính!$C$182:$V$226,$CD$5,INDEX($BJ$3:$BJ$22,$AY18))),IF($AX18=5,IF($CD$5="","",INDEX(Tính!$P$39:$P$83,$CD$5)&amp;"/"&amp;COUNTIF($BA$3:$BA$22,"?*")),IF($AX18=7,IF($CD$5="","",INDEX(Tính!$Q$39:$Q$83,$CD$5)&amp;"/"&amp;$BK$1),IF($AX18=8,IF($CD$5="","",INDEX(Tính!$R$39:$R$83,$CD$5)&amp;"/"&amp;$BL$1),"")))))))</f>
        <v/>
      </c>
      <c r="N18" s="31" t="str">
        <f>IF($AX18=0,"NH đạt",IF($AX18=1,INDEX(Tính!$P$39:$P$83,INDEX($CD$3:$CD$47,$AY18))&amp;"/"&amp;COUNTIF($BA$3:$BA$22,"?*"),IF($AX18=3,IF($CD$6="","",INDEX(Tính!$F$39:$F$83,$CD$6)),IF($AX18=4,IF($CD$6="","",INDEX(Tính!$C$182:$V$226,$CD$6,INDEX($BJ$3:$BJ$22,$AY18))),IF($AX18=5,IF($CD$6="","",INDEX(Tính!$P$39:$P$83,$CD$6)&amp;"/"&amp;COUNTIF($BA$3:$BA$22,"?*")),IF($AX18=7,IF($CD$6="","",INDEX(Tính!$Q$39:$Q$83,$CD$6)&amp;"/"&amp;$BK$1),IF($AX18=8,IF($CD$6="","",INDEX(Tính!$R$39:$R$83,$CD$6)&amp;"/"&amp;$BL$1),"")))))))</f>
        <v/>
      </c>
      <c r="O18" s="31" t="str">
        <f>IF($AX18=3,IF($CD$7="","",INDEX(Tính!$F$39:$F$83,$CD$7)),IF($AX18=4,IF($CD$7="","",INDEX(Tính!$C$182:$V$226,$CD$7,INDEX($BJ$3:$BJ$22,$AY18))),IF($AX18=5,IF($CD$7="","",INDEX(Tính!$P$39:$P$83,$CD$7)&amp;"/"&amp;COUNTIF($BA$3:$BA$22,"?*")),IF($AX18=7,IF($CD$7="","",INDEX(Tính!$Q$39:$Q$83,$CD$7)&amp;"/"&amp;$BK$1),IF($AX18=8,IF($CD$7="","",INDEX(Tính!$R$39:$R$83,$CD$7)&amp;"/"&amp;$BL$1),"")))))</f>
        <v/>
      </c>
      <c r="P18" s="31" t="str">
        <f>IF($AX18=3,IF($CD$8="","",INDEX(Tính!$F$39:$F$83,$CD$8)),IF($AX18=4,IF($CD$8="","",INDEX(Tính!$C$182:$V$226,$CD$8,INDEX($BJ$3:$BJ$22,$AY18))),IF($AX18=5,IF($CD$8="","",INDEX(Tính!$P$39:$P$83,$CD$8)&amp;"/"&amp;COUNTIF($BA$3:$BA$22,"?*")),IF($AX18=7,IF($CD$8="","",INDEX(Tính!$Q$39:$Q$83,$CD$8)&amp;"/"&amp;$BK$1),IF($AX18=8,IF($CD$8="","",INDEX(Tính!$R$39:$R$83,$CD$8)&amp;"/"&amp;$BL$1),"")))))</f>
        <v/>
      </c>
      <c r="Q18" s="31" t="str">
        <f>IF($AX18=3,IF($CD$9="","",INDEX(Tính!$F$39:$F$83,$CD$9)),IF($AX18=4,IF($CD$9="","",INDEX(Tính!$C$182:$V$226,$CD$9,INDEX($BJ$3:$BJ$22,$AY18))),IF($AX18=5,IF($CD$9="","",INDEX(Tính!$P$39:$P$83,$CD$9)&amp;"/"&amp;COUNTIF($BA$3:$BA$22,"?*")),IF($AX18=7,IF($CD$9="","",INDEX(Tính!$Q$39:$Q$83,$CD$9)&amp;"/"&amp;$BK$1),IF($AX18=8,IF($CD$9="","",INDEX(Tính!$R$39:$R$83,$CD$9)&amp;"/"&amp;$BL$1),"")))))</f>
        <v/>
      </c>
      <c r="R18" s="31" t="str">
        <f>IF($AX18=3,IF($CD$10="","",INDEX(Tính!$F$39:$F$83,$CD$10)),IF($AX18=4,IF($CD$10="","",INDEX(Tính!$C$182:$V$226,$CD$10,INDEX($BJ$3:$BJ$22,$AY18))),IF($AX18=5,IF($CD$10="","",INDEX(Tính!$P$39:$P$83,$CD$10)&amp;"/"&amp;COUNTIF($BA$3:$BA$22,"?*")),IF($AX18=7,IF($CD$10="","",INDEX(Tính!$Q$39:$Q$83,$CD$10)&amp;"/"&amp;$BK$1),IF($AX18=8,IF($CD$10="","",INDEX(Tính!$R$39:$R$83,$CD$10)&amp;"/"&amp;$BL$1),"")))))</f>
        <v/>
      </c>
      <c r="S18" s="31" t="str">
        <f>IF($AX18=3,IF($CD$11="","",INDEX(Tính!$F$39:$F$83,$CD$11)),IF($AX18=4,IF($CD$11="","",INDEX(Tính!$C$182:$V$226,$CD$11,INDEX($BJ$3:$BJ$22,$AY18))),IF($AX18=5,IF($CD$11="","",INDEX(Tính!$P$39:$P$83,$CD$11)&amp;"/"&amp;COUNTIF($BA$3:$BA$22,"?*")),IF($AX18=7,IF($CD$11="","",INDEX(Tính!$Q$39:$Q$83,$CD$11)&amp;"/"&amp;$BK$1),IF($AX18=8,IF($CD$11="","",INDEX(Tính!$R$39:$R$83,$CD$11)&amp;"/"&amp;$BL$1),"")))))</f>
        <v/>
      </c>
      <c r="T18" s="31" t="str">
        <f>IF($AX18=3,IF($CD$12="","",INDEX(Tính!$F$39:$F$83,$CD$12)),IF($AX18=4,IF($CD$12="","",INDEX(Tính!$C$182:$V$226,$CD$12,INDEX($BJ$3:$BJ$22,$AY18))),IF($AX18=5,IF($CD$12="","",INDEX(Tính!$P$39:$P$83,$CD$12)&amp;"/"&amp;COUNTIF($BA$3:$BA$22,"?*")),IF($AX18=7,IF($CD$12="","",INDEX(Tính!$Q$39:$Q$83,$CD$12)&amp;"/"&amp;$BK$1),IF($AX18=8,IF($CD$12="","",INDEX(Tính!$R$39:$R$83,$CD$12)&amp;"/"&amp;$BL$1),"")))))</f>
        <v/>
      </c>
      <c r="U18" s="31" t="str">
        <f>IF($AX18=3,IF($CD$13="","",INDEX(Tính!$F$39:$F$83,$CD$13)),IF($AX18=4,IF($CD$13="","",INDEX(Tính!$C$182:$V$226,$CD$13,INDEX($BJ$3:$BJ$22,$AY18))),IF($AX18=5,IF($CD$13="","",INDEX(Tính!$P$39:$P$83,$CD$13)&amp;"/"&amp;COUNTIF($BA$3:$BA$22,"?*")),IF($AX18=7,IF($CD$13="","",INDEX(Tính!$Q$39:$Q$83,$CD$13)&amp;"/"&amp;$BK$1),IF($AX18=8,IF($CD$13="","",INDEX(Tính!$R$39:$R$83,$CD$13)&amp;"/"&amp;$BL$1),"")))))</f>
        <v/>
      </c>
      <c r="V18" s="31" t="str">
        <f>IF($AX18=3,IF($CD$14="","",INDEX(Tính!$F$39:$F$83,$CD$14)),IF($AX18=4,IF($CD$14="","",INDEX(Tính!$C$182:$V$226,$CD$14,INDEX($BJ$3:$BJ$22,$AY18))),IF($AX18=5,IF($CD$14="","",INDEX(Tính!$P$39:$P$83,$CD$14)&amp;"/"&amp;COUNTIF($BA$3:$BA$22,"?*")),IF($AX18=7,IF($CD$14="","",INDEX(Tính!$Q$39:$Q$83,$CD$14)&amp;"/"&amp;$BK$1),IF($AX18=8,IF($CD$14="","",INDEX(Tính!$R$39:$R$83,$CD$14)&amp;"/"&amp;$BL$1),"")))))</f>
        <v/>
      </c>
      <c r="W18" s="31" t="str">
        <f>IF($AX18=3,IF($CD$15="","",INDEX(Tính!$F$39:$F$83,$CD$15)),IF($AX18=4,IF($CD$15="","",INDEX(Tính!$C$182:$V$226,$CD$15,INDEX($BJ$3:$BJ$22,$AY18))),IF($AX18=5,IF($CD$15="","",INDEX(Tính!$P$39:$P$83,$CD$15)&amp;"/"&amp;COUNTIF($BA$3:$BA$22,"?*")),IF($AX18=7,IF($CD$15="","",INDEX(Tính!$Q$39:$Q$83,$CD$15)&amp;"/"&amp;$BK$1),IF($AX18=8,IF($CD$15="","",INDEX(Tính!$R$39:$R$83,$CD$15)&amp;"/"&amp;$BL$1),"")))))</f>
        <v/>
      </c>
      <c r="X18" s="31" t="str">
        <f>IF($AX18=3,IF($CD$16="","",INDEX(Tính!$F$39:$F$83,$CD$16)),IF($AX18=4,IF($CD$16="","",INDEX(Tính!$C$182:$V$226,$CD$16,INDEX($BJ$3:$BJ$22,$AY18))),IF($AX18=5,IF($CD$16="","",INDEX(Tính!$P$39:$P$83,$CD$16)&amp;"/"&amp;COUNTIF($BA$3:$BA$22,"?*")),IF($AX18=7,IF($CD$16="","",INDEX(Tính!$Q$39:$Q$83,$CD$16)&amp;"/"&amp;$BK$1),IF($AX18=8,IF($CD$16="","",INDEX(Tính!$R$39:$R$83,$CD$16)&amp;"/"&amp;$BL$1),"")))))</f>
        <v/>
      </c>
      <c r="Y18" s="31" t="str">
        <f>IF($AX18=3,IF($CD$17="","",INDEX(Tính!$F$39:$F$83,$CD$17)),IF($AX18=4,IF($CD$17="","",INDEX(Tính!$C$182:$V$226,$CD$17,INDEX($BJ$3:$BJ$22,$AY18))),IF($AX18=5,IF($CD$17="","",INDEX(Tính!$P$39:$P$83,$CD$17)&amp;"/"&amp;COUNTIF($BA$3:$BA$22,"?*")),IF($AX18=7,IF($CD$17="","",INDEX(Tính!$Q$39:$Q$83,$CD$17)&amp;"/"&amp;$BK$1),IF($AX18=8,IF($CD$17="","",INDEX(Tính!$R$39:$R$83,$CD$17)&amp;"/"&amp;$BL$1),"")))))</f>
        <v/>
      </c>
      <c r="Z18" s="31" t="str">
        <f>IF($AX18=3,IF($CD$18="","",INDEX(Tính!$F$39:$F$83,$CD$18)),IF($AX18=4,IF($CD$18="","",INDEX(Tính!$C$182:$V$226,$CD$18,INDEX($BJ$3:$BJ$22,$AY18))),IF($AX18=5,IF($CD$18="","",INDEX(Tính!$P$39:$P$83,$CD$18)&amp;"/"&amp;COUNTIF($BA$3:$BA$22,"?*")),IF($AX18=7,IF($CD$18="","",INDEX(Tính!$Q$39:$Q$83,$CD$18)&amp;"/"&amp;$BK$1),IF($AX18=8,IF($CD$18="","",INDEX(Tính!$R$39:$R$83,$CD$18)&amp;"/"&amp;$BL$1),"")))))</f>
        <v/>
      </c>
      <c r="AA18" s="31" t="str">
        <f>IF($AX18=3,IF($CD$19="","",INDEX(Tính!$F$39:$F$83,$CD$19)),IF($AX18=4,IF($CD$19="","",INDEX(Tính!$C$182:$V$226,$CD$19,INDEX($BJ$3:$BJ$22,$AY18))),IF($AX18=5,IF($CD$19="","",INDEX(Tính!$P$39:$P$83,$CD$19)&amp;"/"&amp;COUNTIF($BA$3:$BA$22,"?*")),IF($AX18=7,IF($CD$19="","",INDEX(Tính!$Q$39:$Q$83,$CD$19)&amp;"/"&amp;$BK$1),IF($AX18=8,IF($CD$19="","",INDEX(Tính!$R$39:$R$83,$CD$19)&amp;"/"&amp;$BL$1),"")))))</f>
        <v/>
      </c>
      <c r="AB18" s="31" t="str">
        <f>IF($AX18=3,IF($CD$20="","",INDEX(Tính!$F$39:$F$83,$CD$20)),IF($AX18=4,IF($CD$20="","",INDEX(Tính!$C$182:$V$226,$CD$20,INDEX($BJ$3:$BJ$22,$AY18))),IF($AX18=5,IF($CD$20="","",INDEX(Tính!$P$39:$P$83,$CD$20)&amp;"/"&amp;COUNTIF($BA$3:$BA$22,"?*")),IF($AX18=7,IF($CD$20="","",INDEX(Tính!$Q$39:$Q$83,$CD$20)&amp;"/"&amp;$BK$1),IF($AX18=8,IF($CD$20="","",INDEX(Tính!$R$39:$R$83,$CD$20)&amp;"/"&amp;$BL$1),"")))))</f>
        <v/>
      </c>
      <c r="AC18" s="31" t="str">
        <f>IF($AX18=3,IF($CD$21="","",INDEX(Tính!$F$39:$F$83,$CD$21)),IF($AX18=4,IF($CD$21="","",INDEX(Tính!$C$182:$V$226,$CD$21,INDEX($BJ$3:$BJ$22,$AY18))),IF($AX18=5,IF($CD$21="","",INDEX(Tính!$P$39:$P$83,$CD$21)&amp;"/"&amp;COUNTIF($BA$3:$BA$22,"?*")),IF($AX18=7,IF($CD$21="","",INDEX(Tính!$Q$39:$Q$83,$CD$21)&amp;"/"&amp;$BK$1),IF($AX18=8,IF($CD$21="","",INDEX(Tính!$R$39:$R$83,$CD$21)&amp;"/"&amp;$BL$1),"")))))</f>
        <v/>
      </c>
      <c r="AD18" s="31" t="str">
        <f>IF($AX18=3,IF($CD$22="","",INDEX(Tính!$F$39:$F$83,$CD$22)),IF($AX18=4,IF($CD$22="","",INDEX(Tính!$C$182:$V$226,$CD$22,INDEX($BJ$3:$BJ$22,$AY18))),IF($AX18=5,IF($CD$22="","",INDEX(Tính!$P$39:$P$83,$CD$22)&amp;"/"&amp;COUNTIF($BA$3:$BA$22,"?*")),IF($AX18=7,IF($CD$22="","",INDEX(Tính!$Q$39:$Q$83,$CD$22)&amp;"/"&amp;$BK$1),IF($AX18=8,IF($CD$22="","",INDEX(Tính!$R$39:$R$83,$CD$22)&amp;"/"&amp;$BL$1),"")))))</f>
        <v/>
      </c>
      <c r="AW18" t="str">
        <f>$BK$11</f>
        <v/>
      </c>
      <c r="AX18">
        <f>IF(14=0,0,IF(14&lt;=$AX$1,1,IF(14=$AX$1+1,2,IF(14=$AX$1+2,3,IF((14-$AX$1-2)&lt;=$AX$3,IF(INDEX($BK$3:$BK$24,(14-$AX$1-2))="C",7,IF(INDEX($BK$3:$BK$24,(14-$AX$1-2))="V",8,4)),IF((14-$AX$1-2)=$AX$3+1,5,6))))))</f>
        <v>6</v>
      </c>
      <c r="AY18">
        <f>IF(AX18=1,14,IF(AX18=4,INDEX($BL$3:$BL$24,(14-$AX$1-2)),0))</f>
        <v>0</v>
      </c>
      <c r="BA18" t="str">
        <f>Tính!B18</f>
        <v/>
      </c>
      <c r="BB18" t="str">
        <f>Tính!D18</f>
        <v/>
      </c>
      <c r="BC18">
        <f>IF($AZ$1=0,Tính!$Z$18,CHOOSE($AZ$1,Tính!$G$18,Tính!$L$18,Tính!$Q$18,Tính!$V$18))</f>
        <v>0</v>
      </c>
      <c r="BD18">
        <f>IF($AZ$1=0,Tính!$Y$18,CHOOSE($AZ$1,Tính!$E$18,Tính!$J$18,Tính!$O$18,Tính!$T$18))</f>
        <v>0</v>
      </c>
      <c r="BE18">
        <f>IF($AZ$1=0,Tính!$AB$18,CHOOSE($AZ$1,Tính!$I$18,Tính!$N$18,Tính!$S$18,Tính!$X$18))</f>
        <v>0</v>
      </c>
      <c r="BF18">
        <f>IF($AZ$1=0,Tính!$AA$18,CHOOSE($AZ$1,Tính!$H$18,Tính!$M$18,Tính!$R$18,Tính!$W$18))</f>
        <v>0</v>
      </c>
      <c r="BG18">
        <f t="shared" si="0"/>
        <v>0</v>
      </c>
      <c r="BH18">
        <f t="shared" si="1"/>
        <v>0</v>
      </c>
      <c r="BI18">
        <f>IF(BA18="",-1,IF(BB18="Chính",1000,0)+BG18+(20-16)/100000)</f>
        <v>-1</v>
      </c>
      <c r="BJ18" t="str">
        <f>IF(LARGE($BI$3:$BI$22,16)&lt;0,"",MATCH(LARGE($BI$3:$BI$22,16),$BI$3:$BI$22,0))</f>
        <v/>
      </c>
      <c r="BK18" t="str">
        <f>IF(16=1,IF($BK$1&gt;0,"C",""),IF(16&lt;=$BK$1+1,"g",IF(16=$BK$1+2,IF($BL$1&gt;0,"V",""),IF(16&lt;=$BK$1+2+$BL$1,"g",""))))</f>
        <v/>
      </c>
      <c r="BL18" t="str">
        <f>IF(BK18="g",IF(16&lt;=$BK$1+1,16-1,16-2),"")</f>
        <v/>
      </c>
      <c r="CA18">
        <v>16</v>
      </c>
      <c r="CB18">
        <f>IF(Tính!B54="",0,IF(OR($AZ$1=0,Tính!D54=$AZ$1),1,0))</f>
        <v>0</v>
      </c>
      <c r="CC18">
        <f>IF(CB18=1,Tính!M54+1+(45-16)/1000000,-1)</f>
        <v>-1</v>
      </c>
      <c r="CD18" t="str">
        <f>IF(LARGE($CC$3:$CC$47,16)&lt;0,"",MATCH(LARGE($CC$3:$CC$47,16),$CC$3:$CC$47,0))</f>
        <v/>
      </c>
    </row>
    <row r="19" spans="1:82" x14ac:dyDescent="0.3">
      <c r="A19" s="54" t="str">
        <f>IF($BK$12="C","NHÓM CHÍNH",IF($BK$12="V","NHÓM VƯỢT TRỘI",IF($BL$12="","",INDEX($BA$3:$BA$22,INDEX($BJ$3:$BJ$22,$BL$12)))))</f>
        <v/>
      </c>
      <c r="B19" s="52"/>
      <c r="C19" s="26" t="str">
        <f>IF($BL$12="","",INDEX($BC$3:$BC$22,INDEX($BJ$3:$BJ$22,$BL$12)))</f>
        <v/>
      </c>
      <c r="D19" s="26" t="str">
        <f>IF($BL$12="","",INDEX($BD$3:$BD$22,INDEX($BJ$3:$BJ$22,$BL$12)))</f>
        <v/>
      </c>
      <c r="E19" s="27" t="str">
        <f>IF($BL$12="","",IF(C19&gt;0,D19/C19,1))</f>
        <v/>
      </c>
      <c r="F19" s="27" t="str">
        <f>IF($BK$12="C",COUNTIFS($BB$3:$BB$22,"Chính",$BG$3:$BG$22,"&gt;=0.995")&amp;"/"&amp;$BK$1,IF($BK$12="V",COUNTIFS($BB$3:$BB$22,"Vượt trội",$BG$3:$BG$22,"&gt;=0.995")&amp;"/"&amp;$BL$1,IF($BL$12="","",INDEX($BG$3:$BG$22,INDEX($BJ$3:$BJ$22,$BL$12)))))</f>
        <v/>
      </c>
      <c r="H19" s="29" t="str">
        <f t="shared" si="2"/>
        <v/>
      </c>
      <c r="I19" s="12" t="str">
        <f>IF($AX19=0,"Nhân viên",IF($AX19=1,INDEX(Tính!$F$39:$F$83,INDEX($CD$3:$CD$47,$AY19))&amp;" · "&amp;INDEX(Tính!$O$39:$O$83,INDEX($CD$3:$CD$47,$AY19)),IF($AX19=3,"Nhóm hàng",IF($AX19=4,INDEX($BA$3:$BA$22,INDEX($BJ$3:$BJ$22,$AY19)),IF($AX19=5,"Số nhóm đạt",IF($AX19=7,"NHÓM CHÍNH",IF($AX19=8,"NHÓM VƯỢT TRỘI","")))))))</f>
        <v/>
      </c>
      <c r="J19" s="30" t="str">
        <f>IF($AX19=0,"Mục tiêu",IF($AX19=1,FIXED(INDEX(Tính!$J$39:$J$83,INDEX($CD$3:$CD$47,$AY19)),0),IF($AX19=3,"Cả shop",IF($AX19=4,INDEX($BG$3:$BG$22,INDEX($BJ$3:$BJ$22,$AY19)),IF($AX19=5,COUNTIF($BG$3:$BG$22,"&gt;=0.995")&amp;"/"&amp;COUNTIF($BA$3:$BA$22,"?*"),IF($AX19=7,COUNTIFS($BB$3:$BB$22,"Chính",$BG$3:$BG$22,"&gt;=0.995")&amp;"/"&amp;$BK$1,IF($AX19=8,COUNTIFS($BB$3:$BB$22,"Vượt trội",$BG$3:$BG$22,"&gt;=0.995")&amp;"/"&amp;$BL$1,"")))))))</f>
        <v/>
      </c>
      <c r="K19" s="30" t="str">
        <f>IF($AX19=0,"DT QĐ",IF($AX19=1,FIXED(INDEX(Tính!$K$39:$K$83,INDEX($CD$3:$CD$47,$AY19)),1),IF($AX19=3,IF($CD$3="","",INDEX(Tính!$F$39:$F$83,$CD$3)),IF($AX19=4,IF($CD$3="","",INDEX(Tính!$C$182:$V$226,$CD$3,INDEX($BJ$3:$BJ$22,$AY19))),IF($AX19=5,IF($CD$3="","",INDEX(Tính!$P$39:$P$83,$CD$3)&amp;"/"&amp;COUNTIF($BA$3:$BA$22,"?*")),IF($AX19=7,IF($CD$3="","",INDEX(Tính!$Q$39:$Q$83,$CD$3)&amp;"/"&amp;$BK$1),IF($AX19=8,IF($CD$3="","",INDEX(Tính!$R$39:$R$83,$CD$3)&amp;"/"&amp;$BL$1),"")))))))</f>
        <v/>
      </c>
      <c r="L19" s="31" t="str">
        <f>IF($AX19=0,"% HT",IF($AX19=1,INDEX(Tính!$N$39:$N$83,INDEX($CD$3:$CD$47,$AY19)),IF($AX19=3,IF($CD$4="","",INDEX(Tính!$F$39:$F$83,$CD$4)),IF($AX19=4,IF($CD$4="","",INDEX(Tính!$C$182:$V$226,$CD$4,INDEX($BJ$3:$BJ$22,$AY19))),IF($AX19=5,IF($CD$4="","",INDEX(Tính!$P$39:$P$83,$CD$4)&amp;"/"&amp;COUNTIF($BA$3:$BA$22,"?*")),IF($AX19=7,IF($CD$4="","",INDEX(Tính!$Q$39:$Q$83,$CD$4)&amp;"/"&amp;$BK$1),IF($AX19=8,IF($CD$4="","",INDEX(Tính!$R$39:$R$83,$CD$4)&amp;"/"&amp;$BL$1),"")))))))</f>
        <v/>
      </c>
      <c r="M19" s="31" t="str">
        <f>IF($AX19=0,"Dự kiến",IF($AX19=1,INDEX(Tính!$M$39:$M$83,INDEX($CD$3:$CD$47,$AY19)),IF($AX19=3,IF($CD$5="","",INDEX(Tính!$F$39:$F$83,$CD$5)),IF($AX19=4,IF($CD$5="","",INDEX(Tính!$C$182:$V$226,$CD$5,INDEX($BJ$3:$BJ$22,$AY19))),IF($AX19=5,IF($CD$5="","",INDEX(Tính!$P$39:$P$83,$CD$5)&amp;"/"&amp;COUNTIF($BA$3:$BA$22,"?*")),IF($AX19=7,IF($CD$5="","",INDEX(Tính!$Q$39:$Q$83,$CD$5)&amp;"/"&amp;$BK$1),IF($AX19=8,IF($CD$5="","",INDEX(Tính!$R$39:$R$83,$CD$5)&amp;"/"&amp;$BL$1),"")))))))</f>
        <v/>
      </c>
      <c r="N19" s="31" t="str">
        <f>IF($AX19=0,"NH đạt",IF($AX19=1,INDEX(Tính!$P$39:$P$83,INDEX($CD$3:$CD$47,$AY19))&amp;"/"&amp;COUNTIF($BA$3:$BA$22,"?*"),IF($AX19=3,IF($CD$6="","",INDEX(Tính!$F$39:$F$83,$CD$6)),IF($AX19=4,IF($CD$6="","",INDEX(Tính!$C$182:$V$226,$CD$6,INDEX($BJ$3:$BJ$22,$AY19))),IF($AX19=5,IF($CD$6="","",INDEX(Tính!$P$39:$P$83,$CD$6)&amp;"/"&amp;COUNTIF($BA$3:$BA$22,"?*")),IF($AX19=7,IF($CD$6="","",INDEX(Tính!$Q$39:$Q$83,$CD$6)&amp;"/"&amp;$BK$1),IF($AX19=8,IF($CD$6="","",INDEX(Tính!$R$39:$R$83,$CD$6)&amp;"/"&amp;$BL$1),"")))))))</f>
        <v/>
      </c>
      <c r="O19" s="31" t="str">
        <f>IF($AX19=3,IF($CD$7="","",INDEX(Tính!$F$39:$F$83,$CD$7)),IF($AX19=4,IF($CD$7="","",INDEX(Tính!$C$182:$V$226,$CD$7,INDEX($BJ$3:$BJ$22,$AY19))),IF($AX19=5,IF($CD$7="","",INDEX(Tính!$P$39:$P$83,$CD$7)&amp;"/"&amp;COUNTIF($BA$3:$BA$22,"?*")),IF($AX19=7,IF($CD$7="","",INDEX(Tính!$Q$39:$Q$83,$CD$7)&amp;"/"&amp;$BK$1),IF($AX19=8,IF($CD$7="","",INDEX(Tính!$R$39:$R$83,$CD$7)&amp;"/"&amp;$BL$1),"")))))</f>
        <v/>
      </c>
      <c r="P19" s="31" t="str">
        <f>IF($AX19=3,IF($CD$8="","",INDEX(Tính!$F$39:$F$83,$CD$8)),IF($AX19=4,IF($CD$8="","",INDEX(Tính!$C$182:$V$226,$CD$8,INDEX($BJ$3:$BJ$22,$AY19))),IF($AX19=5,IF($CD$8="","",INDEX(Tính!$P$39:$P$83,$CD$8)&amp;"/"&amp;COUNTIF($BA$3:$BA$22,"?*")),IF($AX19=7,IF($CD$8="","",INDEX(Tính!$Q$39:$Q$83,$CD$8)&amp;"/"&amp;$BK$1),IF($AX19=8,IF($CD$8="","",INDEX(Tính!$R$39:$R$83,$CD$8)&amp;"/"&amp;$BL$1),"")))))</f>
        <v/>
      </c>
      <c r="Q19" s="31" t="str">
        <f>IF($AX19=3,IF($CD$9="","",INDEX(Tính!$F$39:$F$83,$CD$9)),IF($AX19=4,IF($CD$9="","",INDEX(Tính!$C$182:$V$226,$CD$9,INDEX($BJ$3:$BJ$22,$AY19))),IF($AX19=5,IF($CD$9="","",INDEX(Tính!$P$39:$P$83,$CD$9)&amp;"/"&amp;COUNTIF($BA$3:$BA$22,"?*")),IF($AX19=7,IF($CD$9="","",INDEX(Tính!$Q$39:$Q$83,$CD$9)&amp;"/"&amp;$BK$1),IF($AX19=8,IF($CD$9="","",INDEX(Tính!$R$39:$R$83,$CD$9)&amp;"/"&amp;$BL$1),"")))))</f>
        <v/>
      </c>
      <c r="R19" s="31" t="str">
        <f>IF($AX19=3,IF($CD$10="","",INDEX(Tính!$F$39:$F$83,$CD$10)),IF($AX19=4,IF($CD$10="","",INDEX(Tính!$C$182:$V$226,$CD$10,INDEX($BJ$3:$BJ$22,$AY19))),IF($AX19=5,IF($CD$10="","",INDEX(Tính!$P$39:$P$83,$CD$10)&amp;"/"&amp;COUNTIF($BA$3:$BA$22,"?*")),IF($AX19=7,IF($CD$10="","",INDEX(Tính!$Q$39:$Q$83,$CD$10)&amp;"/"&amp;$BK$1),IF($AX19=8,IF($CD$10="","",INDEX(Tính!$R$39:$R$83,$CD$10)&amp;"/"&amp;$BL$1),"")))))</f>
        <v/>
      </c>
      <c r="S19" s="31" t="str">
        <f>IF($AX19=3,IF($CD$11="","",INDEX(Tính!$F$39:$F$83,$CD$11)),IF($AX19=4,IF($CD$11="","",INDEX(Tính!$C$182:$V$226,$CD$11,INDEX($BJ$3:$BJ$22,$AY19))),IF($AX19=5,IF($CD$11="","",INDEX(Tính!$P$39:$P$83,$CD$11)&amp;"/"&amp;COUNTIF($BA$3:$BA$22,"?*")),IF($AX19=7,IF($CD$11="","",INDEX(Tính!$Q$39:$Q$83,$CD$11)&amp;"/"&amp;$BK$1),IF($AX19=8,IF($CD$11="","",INDEX(Tính!$R$39:$R$83,$CD$11)&amp;"/"&amp;$BL$1),"")))))</f>
        <v/>
      </c>
      <c r="T19" s="31" t="str">
        <f>IF($AX19=3,IF($CD$12="","",INDEX(Tính!$F$39:$F$83,$CD$12)),IF($AX19=4,IF($CD$12="","",INDEX(Tính!$C$182:$V$226,$CD$12,INDEX($BJ$3:$BJ$22,$AY19))),IF($AX19=5,IF($CD$12="","",INDEX(Tính!$P$39:$P$83,$CD$12)&amp;"/"&amp;COUNTIF($BA$3:$BA$22,"?*")),IF($AX19=7,IF($CD$12="","",INDEX(Tính!$Q$39:$Q$83,$CD$12)&amp;"/"&amp;$BK$1),IF($AX19=8,IF($CD$12="","",INDEX(Tính!$R$39:$R$83,$CD$12)&amp;"/"&amp;$BL$1),"")))))</f>
        <v/>
      </c>
      <c r="U19" s="31" t="str">
        <f>IF($AX19=3,IF($CD$13="","",INDEX(Tính!$F$39:$F$83,$CD$13)),IF($AX19=4,IF($CD$13="","",INDEX(Tính!$C$182:$V$226,$CD$13,INDEX($BJ$3:$BJ$22,$AY19))),IF($AX19=5,IF($CD$13="","",INDEX(Tính!$P$39:$P$83,$CD$13)&amp;"/"&amp;COUNTIF($BA$3:$BA$22,"?*")),IF($AX19=7,IF($CD$13="","",INDEX(Tính!$Q$39:$Q$83,$CD$13)&amp;"/"&amp;$BK$1),IF($AX19=8,IF($CD$13="","",INDEX(Tính!$R$39:$R$83,$CD$13)&amp;"/"&amp;$BL$1),"")))))</f>
        <v/>
      </c>
      <c r="V19" s="31" t="str">
        <f>IF($AX19=3,IF($CD$14="","",INDEX(Tính!$F$39:$F$83,$CD$14)),IF($AX19=4,IF($CD$14="","",INDEX(Tính!$C$182:$V$226,$CD$14,INDEX($BJ$3:$BJ$22,$AY19))),IF($AX19=5,IF($CD$14="","",INDEX(Tính!$P$39:$P$83,$CD$14)&amp;"/"&amp;COUNTIF($BA$3:$BA$22,"?*")),IF($AX19=7,IF($CD$14="","",INDEX(Tính!$Q$39:$Q$83,$CD$14)&amp;"/"&amp;$BK$1),IF($AX19=8,IF($CD$14="","",INDEX(Tính!$R$39:$R$83,$CD$14)&amp;"/"&amp;$BL$1),"")))))</f>
        <v/>
      </c>
      <c r="W19" s="31" t="str">
        <f>IF($AX19=3,IF($CD$15="","",INDEX(Tính!$F$39:$F$83,$CD$15)),IF($AX19=4,IF($CD$15="","",INDEX(Tính!$C$182:$V$226,$CD$15,INDEX($BJ$3:$BJ$22,$AY19))),IF($AX19=5,IF($CD$15="","",INDEX(Tính!$P$39:$P$83,$CD$15)&amp;"/"&amp;COUNTIF($BA$3:$BA$22,"?*")),IF($AX19=7,IF($CD$15="","",INDEX(Tính!$Q$39:$Q$83,$CD$15)&amp;"/"&amp;$BK$1),IF($AX19=8,IF($CD$15="","",INDEX(Tính!$R$39:$R$83,$CD$15)&amp;"/"&amp;$BL$1),"")))))</f>
        <v/>
      </c>
      <c r="X19" s="31" t="str">
        <f>IF($AX19=3,IF($CD$16="","",INDEX(Tính!$F$39:$F$83,$CD$16)),IF($AX19=4,IF($CD$16="","",INDEX(Tính!$C$182:$V$226,$CD$16,INDEX($BJ$3:$BJ$22,$AY19))),IF($AX19=5,IF($CD$16="","",INDEX(Tính!$P$39:$P$83,$CD$16)&amp;"/"&amp;COUNTIF($BA$3:$BA$22,"?*")),IF($AX19=7,IF($CD$16="","",INDEX(Tính!$Q$39:$Q$83,$CD$16)&amp;"/"&amp;$BK$1),IF($AX19=8,IF($CD$16="","",INDEX(Tính!$R$39:$R$83,$CD$16)&amp;"/"&amp;$BL$1),"")))))</f>
        <v/>
      </c>
      <c r="Y19" s="31" t="str">
        <f>IF($AX19=3,IF($CD$17="","",INDEX(Tính!$F$39:$F$83,$CD$17)),IF($AX19=4,IF($CD$17="","",INDEX(Tính!$C$182:$V$226,$CD$17,INDEX($BJ$3:$BJ$22,$AY19))),IF($AX19=5,IF($CD$17="","",INDEX(Tính!$P$39:$P$83,$CD$17)&amp;"/"&amp;COUNTIF($BA$3:$BA$22,"?*")),IF($AX19=7,IF($CD$17="","",INDEX(Tính!$Q$39:$Q$83,$CD$17)&amp;"/"&amp;$BK$1),IF($AX19=8,IF($CD$17="","",INDEX(Tính!$R$39:$R$83,$CD$17)&amp;"/"&amp;$BL$1),"")))))</f>
        <v/>
      </c>
      <c r="Z19" s="31" t="str">
        <f>IF($AX19=3,IF($CD$18="","",INDEX(Tính!$F$39:$F$83,$CD$18)),IF($AX19=4,IF($CD$18="","",INDEX(Tính!$C$182:$V$226,$CD$18,INDEX($BJ$3:$BJ$22,$AY19))),IF($AX19=5,IF($CD$18="","",INDEX(Tính!$P$39:$P$83,$CD$18)&amp;"/"&amp;COUNTIF($BA$3:$BA$22,"?*")),IF($AX19=7,IF($CD$18="","",INDEX(Tính!$Q$39:$Q$83,$CD$18)&amp;"/"&amp;$BK$1),IF($AX19=8,IF($CD$18="","",INDEX(Tính!$R$39:$R$83,$CD$18)&amp;"/"&amp;$BL$1),"")))))</f>
        <v/>
      </c>
      <c r="AA19" s="31" t="str">
        <f>IF($AX19=3,IF($CD$19="","",INDEX(Tính!$F$39:$F$83,$CD$19)),IF($AX19=4,IF($CD$19="","",INDEX(Tính!$C$182:$V$226,$CD$19,INDEX($BJ$3:$BJ$22,$AY19))),IF($AX19=5,IF($CD$19="","",INDEX(Tính!$P$39:$P$83,$CD$19)&amp;"/"&amp;COUNTIF($BA$3:$BA$22,"?*")),IF($AX19=7,IF($CD$19="","",INDEX(Tính!$Q$39:$Q$83,$CD$19)&amp;"/"&amp;$BK$1),IF($AX19=8,IF($CD$19="","",INDEX(Tính!$R$39:$R$83,$CD$19)&amp;"/"&amp;$BL$1),"")))))</f>
        <v/>
      </c>
      <c r="AB19" s="31" t="str">
        <f>IF($AX19=3,IF($CD$20="","",INDEX(Tính!$F$39:$F$83,$CD$20)),IF($AX19=4,IF($CD$20="","",INDEX(Tính!$C$182:$V$226,$CD$20,INDEX($BJ$3:$BJ$22,$AY19))),IF($AX19=5,IF($CD$20="","",INDEX(Tính!$P$39:$P$83,$CD$20)&amp;"/"&amp;COUNTIF($BA$3:$BA$22,"?*")),IF($AX19=7,IF($CD$20="","",INDEX(Tính!$Q$39:$Q$83,$CD$20)&amp;"/"&amp;$BK$1),IF($AX19=8,IF($CD$20="","",INDEX(Tính!$R$39:$R$83,$CD$20)&amp;"/"&amp;$BL$1),"")))))</f>
        <v/>
      </c>
      <c r="AC19" s="31" t="str">
        <f>IF($AX19=3,IF($CD$21="","",INDEX(Tính!$F$39:$F$83,$CD$21)),IF($AX19=4,IF($CD$21="","",INDEX(Tính!$C$182:$V$226,$CD$21,INDEX($BJ$3:$BJ$22,$AY19))),IF($AX19=5,IF($CD$21="","",INDEX(Tính!$P$39:$P$83,$CD$21)&amp;"/"&amp;COUNTIF($BA$3:$BA$22,"?*")),IF($AX19=7,IF($CD$21="","",INDEX(Tính!$Q$39:$Q$83,$CD$21)&amp;"/"&amp;$BK$1),IF($AX19=8,IF($CD$21="","",INDEX(Tính!$R$39:$R$83,$CD$21)&amp;"/"&amp;$BL$1),"")))))</f>
        <v/>
      </c>
      <c r="AD19" s="31" t="str">
        <f>IF($AX19=3,IF($CD$22="","",INDEX(Tính!$F$39:$F$83,$CD$22)),IF($AX19=4,IF($CD$22="","",INDEX(Tính!$C$182:$V$226,$CD$22,INDEX($BJ$3:$BJ$22,$AY19))),IF($AX19=5,IF($CD$22="","",INDEX(Tính!$P$39:$P$83,$CD$22)&amp;"/"&amp;COUNTIF($BA$3:$BA$22,"?*")),IF($AX19=7,IF($CD$22="","",INDEX(Tính!$Q$39:$Q$83,$CD$22)&amp;"/"&amp;$BK$1),IF($AX19=8,IF($CD$22="","",INDEX(Tính!$R$39:$R$83,$CD$22)&amp;"/"&amp;$BL$1),"")))))</f>
        <v/>
      </c>
      <c r="AW19" t="str">
        <f>$BK$12</f>
        <v/>
      </c>
      <c r="AX19">
        <f>IF(15=0,0,IF(15&lt;=$AX$1,1,IF(15=$AX$1+1,2,IF(15=$AX$1+2,3,IF((15-$AX$1-2)&lt;=$AX$3,IF(INDEX($BK$3:$BK$24,(15-$AX$1-2))="C",7,IF(INDEX($BK$3:$BK$24,(15-$AX$1-2))="V",8,4)),IF((15-$AX$1-2)=$AX$3+1,5,6))))))</f>
        <v>6</v>
      </c>
      <c r="AY19">
        <f>IF(AX19=1,15,IF(AX19=4,INDEX($BL$3:$BL$24,(15-$AX$1-2)),0))</f>
        <v>0</v>
      </c>
      <c r="BA19" t="str">
        <f>Tính!B19</f>
        <v/>
      </c>
      <c r="BB19" t="str">
        <f>Tính!D19</f>
        <v/>
      </c>
      <c r="BC19">
        <f>IF($AZ$1=0,Tính!$Z$19,CHOOSE($AZ$1,Tính!$G$19,Tính!$L$19,Tính!$Q$19,Tính!$V$19))</f>
        <v>0</v>
      </c>
      <c r="BD19">
        <f>IF($AZ$1=0,Tính!$Y$19,CHOOSE($AZ$1,Tính!$E$19,Tính!$J$19,Tính!$O$19,Tính!$T$19))</f>
        <v>0</v>
      </c>
      <c r="BE19">
        <f>IF($AZ$1=0,Tính!$AB$19,CHOOSE($AZ$1,Tính!$I$19,Tính!$N$19,Tính!$S$19,Tính!$X$19))</f>
        <v>0</v>
      </c>
      <c r="BF19">
        <f>IF($AZ$1=0,Tính!$AA$19,CHOOSE($AZ$1,Tính!$H$19,Tính!$M$19,Tính!$R$19,Tính!$W$19))</f>
        <v>0</v>
      </c>
      <c r="BG19">
        <f t="shared" si="0"/>
        <v>0</v>
      </c>
      <c r="BH19">
        <f t="shared" si="1"/>
        <v>0</v>
      </c>
      <c r="BI19">
        <f>IF(BA19="",-1,IF(BB19="Chính",1000,0)+BG19+(20-17)/100000)</f>
        <v>-1</v>
      </c>
      <c r="BJ19" t="str">
        <f>IF(LARGE($BI$3:$BI$22,17)&lt;0,"",MATCH(LARGE($BI$3:$BI$22,17),$BI$3:$BI$22,0))</f>
        <v/>
      </c>
      <c r="BK19" t="str">
        <f>IF(17=1,IF($BK$1&gt;0,"C",""),IF(17&lt;=$BK$1+1,"g",IF(17=$BK$1+2,IF($BL$1&gt;0,"V",""),IF(17&lt;=$BK$1+2+$BL$1,"g",""))))</f>
        <v/>
      </c>
      <c r="BL19" t="str">
        <f>IF(BK19="g",IF(17&lt;=$BK$1+1,17-1,17-2),"")</f>
        <v/>
      </c>
      <c r="CA19">
        <v>17</v>
      </c>
      <c r="CB19">
        <f>IF(Tính!B55="",0,IF(OR($AZ$1=0,Tính!D55=$AZ$1),1,0))</f>
        <v>0</v>
      </c>
      <c r="CC19">
        <f>IF(CB19=1,Tính!M55+1+(45-17)/1000000,-1)</f>
        <v>-1</v>
      </c>
      <c r="CD19" t="str">
        <f>IF(LARGE($CC$3:$CC$47,17)&lt;0,"",MATCH(LARGE($CC$3:$CC$47,17),$CC$3:$CC$47,0))</f>
        <v/>
      </c>
    </row>
    <row r="20" spans="1:82" x14ac:dyDescent="0.3">
      <c r="A20" s="54" t="str">
        <f>IF($BK$13="C","NHÓM CHÍNH",IF($BK$13="V","NHÓM VƯỢT TRỘI",IF($BL$13="","",INDEX($BA$3:$BA$22,INDEX($BJ$3:$BJ$22,$BL$13)))))</f>
        <v/>
      </c>
      <c r="B20" s="52"/>
      <c r="C20" s="26" t="str">
        <f>IF($BL$13="","",INDEX($BC$3:$BC$22,INDEX($BJ$3:$BJ$22,$BL$13)))</f>
        <v/>
      </c>
      <c r="D20" s="26" t="str">
        <f>IF($BL$13="","",INDEX($BD$3:$BD$22,INDEX($BJ$3:$BJ$22,$BL$13)))</f>
        <v/>
      </c>
      <c r="E20" s="27" t="str">
        <f>IF($BL$13="","",IF(C20&gt;0,D20/C20,1))</f>
        <v/>
      </c>
      <c r="F20" s="27" t="str">
        <f>IF($BK$13="C",COUNTIFS($BB$3:$BB$22,"Chính",$BG$3:$BG$22,"&gt;=0.995")&amp;"/"&amp;$BK$1,IF($BK$13="V",COUNTIFS($BB$3:$BB$22,"Vượt trội",$BG$3:$BG$22,"&gt;=0.995")&amp;"/"&amp;$BL$1,IF($BL$13="","",INDEX($BG$3:$BG$22,INDEX($BJ$3:$BJ$22,$BL$13)))))</f>
        <v/>
      </c>
      <c r="H20" s="29" t="str">
        <f t="shared" si="2"/>
        <v/>
      </c>
      <c r="I20" s="12" t="str">
        <f>IF($AX20=0,"Nhân viên",IF($AX20=1,INDEX(Tính!$F$39:$F$83,INDEX($CD$3:$CD$47,$AY20))&amp;" · "&amp;INDEX(Tính!$O$39:$O$83,INDEX($CD$3:$CD$47,$AY20)),IF($AX20=3,"Nhóm hàng",IF($AX20=4,INDEX($BA$3:$BA$22,INDEX($BJ$3:$BJ$22,$AY20)),IF($AX20=5,"Số nhóm đạt",IF($AX20=7,"NHÓM CHÍNH",IF($AX20=8,"NHÓM VƯỢT TRỘI","")))))))</f>
        <v/>
      </c>
      <c r="J20" s="30" t="str">
        <f>IF($AX20=0,"Mục tiêu",IF($AX20=1,FIXED(INDEX(Tính!$J$39:$J$83,INDEX($CD$3:$CD$47,$AY20)),0),IF($AX20=3,"Cả shop",IF($AX20=4,INDEX($BG$3:$BG$22,INDEX($BJ$3:$BJ$22,$AY20)),IF($AX20=5,COUNTIF($BG$3:$BG$22,"&gt;=0.995")&amp;"/"&amp;COUNTIF($BA$3:$BA$22,"?*"),IF($AX20=7,COUNTIFS($BB$3:$BB$22,"Chính",$BG$3:$BG$22,"&gt;=0.995")&amp;"/"&amp;$BK$1,IF($AX20=8,COUNTIFS($BB$3:$BB$22,"Vượt trội",$BG$3:$BG$22,"&gt;=0.995")&amp;"/"&amp;$BL$1,"")))))))</f>
        <v/>
      </c>
      <c r="K20" s="30" t="str">
        <f>IF($AX20=0,"DT QĐ",IF($AX20=1,FIXED(INDEX(Tính!$K$39:$K$83,INDEX($CD$3:$CD$47,$AY20)),1),IF($AX20=3,IF($CD$3="","",INDEX(Tính!$F$39:$F$83,$CD$3)),IF($AX20=4,IF($CD$3="","",INDEX(Tính!$C$182:$V$226,$CD$3,INDEX($BJ$3:$BJ$22,$AY20))),IF($AX20=5,IF($CD$3="","",INDEX(Tính!$P$39:$P$83,$CD$3)&amp;"/"&amp;COUNTIF($BA$3:$BA$22,"?*")),IF($AX20=7,IF($CD$3="","",INDEX(Tính!$Q$39:$Q$83,$CD$3)&amp;"/"&amp;$BK$1),IF($AX20=8,IF($CD$3="","",INDEX(Tính!$R$39:$R$83,$CD$3)&amp;"/"&amp;$BL$1),"")))))))</f>
        <v/>
      </c>
      <c r="L20" s="31" t="str">
        <f>IF($AX20=0,"% HT",IF($AX20=1,INDEX(Tính!$N$39:$N$83,INDEX($CD$3:$CD$47,$AY20)),IF($AX20=3,IF($CD$4="","",INDEX(Tính!$F$39:$F$83,$CD$4)),IF($AX20=4,IF($CD$4="","",INDEX(Tính!$C$182:$V$226,$CD$4,INDEX($BJ$3:$BJ$22,$AY20))),IF($AX20=5,IF($CD$4="","",INDEX(Tính!$P$39:$P$83,$CD$4)&amp;"/"&amp;COUNTIF($BA$3:$BA$22,"?*")),IF($AX20=7,IF($CD$4="","",INDEX(Tính!$Q$39:$Q$83,$CD$4)&amp;"/"&amp;$BK$1),IF($AX20=8,IF($CD$4="","",INDEX(Tính!$R$39:$R$83,$CD$4)&amp;"/"&amp;$BL$1),"")))))))</f>
        <v/>
      </c>
      <c r="M20" s="31" t="str">
        <f>IF($AX20=0,"Dự kiến",IF($AX20=1,INDEX(Tính!$M$39:$M$83,INDEX($CD$3:$CD$47,$AY20)),IF($AX20=3,IF($CD$5="","",INDEX(Tính!$F$39:$F$83,$CD$5)),IF($AX20=4,IF($CD$5="","",INDEX(Tính!$C$182:$V$226,$CD$5,INDEX($BJ$3:$BJ$22,$AY20))),IF($AX20=5,IF($CD$5="","",INDEX(Tính!$P$39:$P$83,$CD$5)&amp;"/"&amp;COUNTIF($BA$3:$BA$22,"?*")),IF($AX20=7,IF($CD$5="","",INDEX(Tính!$Q$39:$Q$83,$CD$5)&amp;"/"&amp;$BK$1),IF($AX20=8,IF($CD$5="","",INDEX(Tính!$R$39:$R$83,$CD$5)&amp;"/"&amp;$BL$1),"")))))))</f>
        <v/>
      </c>
      <c r="N20" s="31" t="str">
        <f>IF($AX20=0,"NH đạt",IF($AX20=1,INDEX(Tính!$P$39:$P$83,INDEX($CD$3:$CD$47,$AY20))&amp;"/"&amp;COUNTIF($BA$3:$BA$22,"?*"),IF($AX20=3,IF($CD$6="","",INDEX(Tính!$F$39:$F$83,$CD$6)),IF($AX20=4,IF($CD$6="","",INDEX(Tính!$C$182:$V$226,$CD$6,INDEX($BJ$3:$BJ$22,$AY20))),IF($AX20=5,IF($CD$6="","",INDEX(Tính!$P$39:$P$83,$CD$6)&amp;"/"&amp;COUNTIF($BA$3:$BA$22,"?*")),IF($AX20=7,IF($CD$6="","",INDEX(Tính!$Q$39:$Q$83,$CD$6)&amp;"/"&amp;$BK$1),IF($AX20=8,IF($CD$6="","",INDEX(Tính!$R$39:$R$83,$CD$6)&amp;"/"&amp;$BL$1),"")))))))</f>
        <v/>
      </c>
      <c r="O20" s="31" t="str">
        <f>IF($AX20=3,IF($CD$7="","",INDEX(Tính!$F$39:$F$83,$CD$7)),IF($AX20=4,IF($CD$7="","",INDEX(Tính!$C$182:$V$226,$CD$7,INDEX($BJ$3:$BJ$22,$AY20))),IF($AX20=5,IF($CD$7="","",INDEX(Tính!$P$39:$P$83,$CD$7)&amp;"/"&amp;COUNTIF($BA$3:$BA$22,"?*")),IF($AX20=7,IF($CD$7="","",INDEX(Tính!$Q$39:$Q$83,$CD$7)&amp;"/"&amp;$BK$1),IF($AX20=8,IF($CD$7="","",INDEX(Tính!$R$39:$R$83,$CD$7)&amp;"/"&amp;$BL$1),"")))))</f>
        <v/>
      </c>
      <c r="P20" s="31" t="str">
        <f>IF($AX20=3,IF($CD$8="","",INDEX(Tính!$F$39:$F$83,$CD$8)),IF($AX20=4,IF($CD$8="","",INDEX(Tính!$C$182:$V$226,$CD$8,INDEX($BJ$3:$BJ$22,$AY20))),IF($AX20=5,IF($CD$8="","",INDEX(Tính!$P$39:$P$83,$CD$8)&amp;"/"&amp;COUNTIF($BA$3:$BA$22,"?*")),IF($AX20=7,IF($CD$8="","",INDEX(Tính!$Q$39:$Q$83,$CD$8)&amp;"/"&amp;$BK$1),IF($AX20=8,IF($CD$8="","",INDEX(Tính!$R$39:$R$83,$CD$8)&amp;"/"&amp;$BL$1),"")))))</f>
        <v/>
      </c>
      <c r="Q20" s="31" t="str">
        <f>IF($AX20=3,IF($CD$9="","",INDEX(Tính!$F$39:$F$83,$CD$9)),IF($AX20=4,IF($CD$9="","",INDEX(Tính!$C$182:$V$226,$CD$9,INDEX($BJ$3:$BJ$22,$AY20))),IF($AX20=5,IF($CD$9="","",INDEX(Tính!$P$39:$P$83,$CD$9)&amp;"/"&amp;COUNTIF($BA$3:$BA$22,"?*")),IF($AX20=7,IF($CD$9="","",INDEX(Tính!$Q$39:$Q$83,$CD$9)&amp;"/"&amp;$BK$1),IF($AX20=8,IF($CD$9="","",INDEX(Tính!$R$39:$R$83,$CD$9)&amp;"/"&amp;$BL$1),"")))))</f>
        <v/>
      </c>
      <c r="R20" s="31" t="str">
        <f>IF($AX20=3,IF($CD$10="","",INDEX(Tính!$F$39:$F$83,$CD$10)),IF($AX20=4,IF($CD$10="","",INDEX(Tính!$C$182:$V$226,$CD$10,INDEX($BJ$3:$BJ$22,$AY20))),IF($AX20=5,IF($CD$10="","",INDEX(Tính!$P$39:$P$83,$CD$10)&amp;"/"&amp;COUNTIF($BA$3:$BA$22,"?*")),IF($AX20=7,IF($CD$10="","",INDEX(Tính!$Q$39:$Q$83,$CD$10)&amp;"/"&amp;$BK$1),IF($AX20=8,IF($CD$10="","",INDEX(Tính!$R$39:$R$83,$CD$10)&amp;"/"&amp;$BL$1),"")))))</f>
        <v/>
      </c>
      <c r="S20" s="31" t="str">
        <f>IF($AX20=3,IF($CD$11="","",INDEX(Tính!$F$39:$F$83,$CD$11)),IF($AX20=4,IF($CD$11="","",INDEX(Tính!$C$182:$V$226,$CD$11,INDEX($BJ$3:$BJ$22,$AY20))),IF($AX20=5,IF($CD$11="","",INDEX(Tính!$P$39:$P$83,$CD$11)&amp;"/"&amp;COUNTIF($BA$3:$BA$22,"?*")),IF($AX20=7,IF($CD$11="","",INDEX(Tính!$Q$39:$Q$83,$CD$11)&amp;"/"&amp;$BK$1),IF($AX20=8,IF($CD$11="","",INDEX(Tính!$R$39:$R$83,$CD$11)&amp;"/"&amp;$BL$1),"")))))</f>
        <v/>
      </c>
      <c r="T20" s="31" t="str">
        <f>IF($AX20=3,IF($CD$12="","",INDEX(Tính!$F$39:$F$83,$CD$12)),IF($AX20=4,IF($CD$12="","",INDEX(Tính!$C$182:$V$226,$CD$12,INDEX($BJ$3:$BJ$22,$AY20))),IF($AX20=5,IF($CD$12="","",INDEX(Tính!$P$39:$P$83,$CD$12)&amp;"/"&amp;COUNTIF($BA$3:$BA$22,"?*")),IF($AX20=7,IF($CD$12="","",INDEX(Tính!$Q$39:$Q$83,$CD$12)&amp;"/"&amp;$BK$1),IF($AX20=8,IF($CD$12="","",INDEX(Tính!$R$39:$R$83,$CD$12)&amp;"/"&amp;$BL$1),"")))))</f>
        <v/>
      </c>
      <c r="U20" s="31" t="str">
        <f>IF($AX20=3,IF($CD$13="","",INDEX(Tính!$F$39:$F$83,$CD$13)),IF($AX20=4,IF($CD$13="","",INDEX(Tính!$C$182:$V$226,$CD$13,INDEX($BJ$3:$BJ$22,$AY20))),IF($AX20=5,IF($CD$13="","",INDEX(Tính!$P$39:$P$83,$CD$13)&amp;"/"&amp;COUNTIF($BA$3:$BA$22,"?*")),IF($AX20=7,IF($CD$13="","",INDEX(Tính!$Q$39:$Q$83,$CD$13)&amp;"/"&amp;$BK$1),IF($AX20=8,IF($CD$13="","",INDEX(Tính!$R$39:$R$83,$CD$13)&amp;"/"&amp;$BL$1),"")))))</f>
        <v/>
      </c>
      <c r="V20" s="31" t="str">
        <f>IF($AX20=3,IF($CD$14="","",INDEX(Tính!$F$39:$F$83,$CD$14)),IF($AX20=4,IF($CD$14="","",INDEX(Tính!$C$182:$V$226,$CD$14,INDEX($BJ$3:$BJ$22,$AY20))),IF($AX20=5,IF($CD$14="","",INDEX(Tính!$P$39:$P$83,$CD$14)&amp;"/"&amp;COUNTIF($BA$3:$BA$22,"?*")),IF($AX20=7,IF($CD$14="","",INDEX(Tính!$Q$39:$Q$83,$CD$14)&amp;"/"&amp;$BK$1),IF($AX20=8,IF($CD$14="","",INDEX(Tính!$R$39:$R$83,$CD$14)&amp;"/"&amp;$BL$1),"")))))</f>
        <v/>
      </c>
      <c r="W20" s="31" t="str">
        <f>IF($AX20=3,IF($CD$15="","",INDEX(Tính!$F$39:$F$83,$CD$15)),IF($AX20=4,IF($CD$15="","",INDEX(Tính!$C$182:$V$226,$CD$15,INDEX($BJ$3:$BJ$22,$AY20))),IF($AX20=5,IF($CD$15="","",INDEX(Tính!$P$39:$P$83,$CD$15)&amp;"/"&amp;COUNTIF($BA$3:$BA$22,"?*")),IF($AX20=7,IF($CD$15="","",INDEX(Tính!$Q$39:$Q$83,$CD$15)&amp;"/"&amp;$BK$1),IF($AX20=8,IF($CD$15="","",INDEX(Tính!$R$39:$R$83,$CD$15)&amp;"/"&amp;$BL$1),"")))))</f>
        <v/>
      </c>
      <c r="X20" s="31" t="str">
        <f>IF($AX20=3,IF($CD$16="","",INDEX(Tính!$F$39:$F$83,$CD$16)),IF($AX20=4,IF($CD$16="","",INDEX(Tính!$C$182:$V$226,$CD$16,INDEX($BJ$3:$BJ$22,$AY20))),IF($AX20=5,IF($CD$16="","",INDEX(Tính!$P$39:$P$83,$CD$16)&amp;"/"&amp;COUNTIF($BA$3:$BA$22,"?*")),IF($AX20=7,IF($CD$16="","",INDEX(Tính!$Q$39:$Q$83,$CD$16)&amp;"/"&amp;$BK$1),IF($AX20=8,IF($CD$16="","",INDEX(Tính!$R$39:$R$83,$CD$16)&amp;"/"&amp;$BL$1),"")))))</f>
        <v/>
      </c>
      <c r="Y20" s="31" t="str">
        <f>IF($AX20=3,IF($CD$17="","",INDEX(Tính!$F$39:$F$83,$CD$17)),IF($AX20=4,IF($CD$17="","",INDEX(Tính!$C$182:$V$226,$CD$17,INDEX($BJ$3:$BJ$22,$AY20))),IF($AX20=5,IF($CD$17="","",INDEX(Tính!$P$39:$P$83,$CD$17)&amp;"/"&amp;COUNTIF($BA$3:$BA$22,"?*")),IF($AX20=7,IF($CD$17="","",INDEX(Tính!$Q$39:$Q$83,$CD$17)&amp;"/"&amp;$BK$1),IF($AX20=8,IF($CD$17="","",INDEX(Tính!$R$39:$R$83,$CD$17)&amp;"/"&amp;$BL$1),"")))))</f>
        <v/>
      </c>
      <c r="Z20" s="31" t="str">
        <f>IF($AX20=3,IF($CD$18="","",INDEX(Tính!$F$39:$F$83,$CD$18)),IF($AX20=4,IF($CD$18="","",INDEX(Tính!$C$182:$V$226,$CD$18,INDEX($BJ$3:$BJ$22,$AY20))),IF($AX20=5,IF($CD$18="","",INDEX(Tính!$P$39:$P$83,$CD$18)&amp;"/"&amp;COUNTIF($BA$3:$BA$22,"?*")),IF($AX20=7,IF($CD$18="","",INDEX(Tính!$Q$39:$Q$83,$CD$18)&amp;"/"&amp;$BK$1),IF($AX20=8,IF($CD$18="","",INDEX(Tính!$R$39:$R$83,$CD$18)&amp;"/"&amp;$BL$1),"")))))</f>
        <v/>
      </c>
      <c r="AA20" s="31" t="str">
        <f>IF($AX20=3,IF($CD$19="","",INDEX(Tính!$F$39:$F$83,$CD$19)),IF($AX20=4,IF($CD$19="","",INDEX(Tính!$C$182:$V$226,$CD$19,INDEX($BJ$3:$BJ$22,$AY20))),IF($AX20=5,IF($CD$19="","",INDEX(Tính!$P$39:$P$83,$CD$19)&amp;"/"&amp;COUNTIF($BA$3:$BA$22,"?*")),IF($AX20=7,IF($CD$19="","",INDEX(Tính!$Q$39:$Q$83,$CD$19)&amp;"/"&amp;$BK$1),IF($AX20=8,IF($CD$19="","",INDEX(Tính!$R$39:$R$83,$CD$19)&amp;"/"&amp;$BL$1),"")))))</f>
        <v/>
      </c>
      <c r="AB20" s="31" t="str">
        <f>IF($AX20=3,IF($CD$20="","",INDEX(Tính!$F$39:$F$83,$CD$20)),IF($AX20=4,IF($CD$20="","",INDEX(Tính!$C$182:$V$226,$CD$20,INDEX($BJ$3:$BJ$22,$AY20))),IF($AX20=5,IF($CD$20="","",INDEX(Tính!$P$39:$P$83,$CD$20)&amp;"/"&amp;COUNTIF($BA$3:$BA$22,"?*")),IF($AX20=7,IF($CD$20="","",INDEX(Tính!$Q$39:$Q$83,$CD$20)&amp;"/"&amp;$BK$1),IF($AX20=8,IF($CD$20="","",INDEX(Tính!$R$39:$R$83,$CD$20)&amp;"/"&amp;$BL$1),"")))))</f>
        <v/>
      </c>
      <c r="AC20" s="31" t="str">
        <f>IF($AX20=3,IF($CD$21="","",INDEX(Tính!$F$39:$F$83,$CD$21)),IF($AX20=4,IF($CD$21="","",INDEX(Tính!$C$182:$V$226,$CD$21,INDEX($BJ$3:$BJ$22,$AY20))),IF($AX20=5,IF($CD$21="","",INDEX(Tính!$P$39:$P$83,$CD$21)&amp;"/"&amp;COUNTIF($BA$3:$BA$22,"?*")),IF($AX20=7,IF($CD$21="","",INDEX(Tính!$Q$39:$Q$83,$CD$21)&amp;"/"&amp;$BK$1),IF($AX20=8,IF($CD$21="","",INDEX(Tính!$R$39:$R$83,$CD$21)&amp;"/"&amp;$BL$1),"")))))</f>
        <v/>
      </c>
      <c r="AD20" s="31" t="str">
        <f>IF($AX20=3,IF($CD$22="","",INDEX(Tính!$F$39:$F$83,$CD$22)),IF($AX20=4,IF($CD$22="","",INDEX(Tính!$C$182:$V$226,$CD$22,INDEX($BJ$3:$BJ$22,$AY20))),IF($AX20=5,IF($CD$22="","",INDEX(Tính!$P$39:$P$83,$CD$22)&amp;"/"&amp;COUNTIF($BA$3:$BA$22,"?*")),IF($AX20=7,IF($CD$22="","",INDEX(Tính!$Q$39:$Q$83,$CD$22)&amp;"/"&amp;$BK$1),IF($AX20=8,IF($CD$22="","",INDEX(Tính!$R$39:$R$83,$CD$22)&amp;"/"&amp;$BL$1),"")))))</f>
        <v/>
      </c>
      <c r="AW20" t="str">
        <f>$BK$13</f>
        <v/>
      </c>
      <c r="AX20">
        <f>IF(16=0,0,IF(16&lt;=$AX$1,1,IF(16=$AX$1+1,2,IF(16=$AX$1+2,3,IF((16-$AX$1-2)&lt;=$AX$3,IF(INDEX($BK$3:$BK$24,(16-$AX$1-2))="C",7,IF(INDEX($BK$3:$BK$24,(16-$AX$1-2))="V",8,4)),IF((16-$AX$1-2)=$AX$3+1,5,6))))))</f>
        <v>6</v>
      </c>
      <c r="AY20">
        <f>IF(AX20=1,16,IF(AX20=4,INDEX($BL$3:$BL$24,(16-$AX$1-2)),0))</f>
        <v>0</v>
      </c>
      <c r="BA20" t="str">
        <f>Tính!B20</f>
        <v/>
      </c>
      <c r="BB20" t="str">
        <f>Tính!D20</f>
        <v/>
      </c>
      <c r="BC20">
        <f>IF($AZ$1=0,Tính!$Z$20,CHOOSE($AZ$1,Tính!$G$20,Tính!$L$20,Tính!$Q$20,Tính!$V$20))</f>
        <v>0</v>
      </c>
      <c r="BD20">
        <f>IF($AZ$1=0,Tính!$Y$20,CHOOSE($AZ$1,Tính!$E$20,Tính!$J$20,Tính!$O$20,Tính!$T$20))</f>
        <v>0</v>
      </c>
      <c r="BE20">
        <f>IF($AZ$1=0,Tính!$AB$20,CHOOSE($AZ$1,Tính!$I$20,Tính!$N$20,Tính!$S$20,Tính!$X$20))</f>
        <v>0</v>
      </c>
      <c r="BF20">
        <f>IF($AZ$1=0,Tính!$AA$20,CHOOSE($AZ$1,Tính!$H$20,Tính!$M$20,Tính!$R$20,Tính!$W$20))</f>
        <v>0</v>
      </c>
      <c r="BG20">
        <f t="shared" si="0"/>
        <v>0</v>
      </c>
      <c r="BH20">
        <f t="shared" si="1"/>
        <v>0</v>
      </c>
      <c r="BI20">
        <f>IF(BA20="",-1,IF(BB20="Chính",1000,0)+BG20+(20-18)/100000)</f>
        <v>-1</v>
      </c>
      <c r="BJ20" t="str">
        <f>IF(LARGE($BI$3:$BI$22,18)&lt;0,"",MATCH(LARGE($BI$3:$BI$22,18),$BI$3:$BI$22,0))</f>
        <v/>
      </c>
      <c r="BK20" t="str">
        <f>IF(18=1,IF($BK$1&gt;0,"C",""),IF(18&lt;=$BK$1+1,"g",IF(18=$BK$1+2,IF($BL$1&gt;0,"V",""),IF(18&lt;=$BK$1+2+$BL$1,"g",""))))</f>
        <v/>
      </c>
      <c r="BL20" t="str">
        <f>IF(BK20="g",IF(18&lt;=$BK$1+1,18-1,18-2),"")</f>
        <v/>
      </c>
      <c r="CA20">
        <v>18</v>
      </c>
      <c r="CB20">
        <f>IF(Tính!B56="",0,IF(OR($AZ$1=0,Tính!D56=$AZ$1),1,0))</f>
        <v>0</v>
      </c>
      <c r="CC20">
        <f>IF(CB20=1,Tính!M56+1+(45-18)/1000000,-1)</f>
        <v>-1</v>
      </c>
      <c r="CD20" t="str">
        <f>IF(LARGE($CC$3:$CC$47,18)&lt;0,"",MATCH(LARGE($CC$3:$CC$47,18),$CC$3:$CC$47,0))</f>
        <v/>
      </c>
    </row>
    <row r="21" spans="1:82" x14ac:dyDescent="0.3">
      <c r="A21" s="54" t="str">
        <f>IF($BK$14="C","NHÓM CHÍNH",IF($BK$14="V","NHÓM VƯỢT TRỘI",IF($BL$14="","",INDEX($BA$3:$BA$22,INDEX($BJ$3:$BJ$22,$BL$14)))))</f>
        <v/>
      </c>
      <c r="B21" s="52"/>
      <c r="C21" s="26" t="str">
        <f>IF($BL$14="","",INDEX($BC$3:$BC$22,INDEX($BJ$3:$BJ$22,$BL$14)))</f>
        <v/>
      </c>
      <c r="D21" s="26" t="str">
        <f>IF($BL$14="","",INDEX($BD$3:$BD$22,INDEX($BJ$3:$BJ$22,$BL$14)))</f>
        <v/>
      </c>
      <c r="E21" s="27" t="str">
        <f>IF($BL$14="","",IF(C21&gt;0,D21/C21,1))</f>
        <v/>
      </c>
      <c r="F21" s="27" t="str">
        <f>IF($BK$14="C",COUNTIFS($BB$3:$BB$22,"Chính",$BG$3:$BG$22,"&gt;=0.995")&amp;"/"&amp;$BK$1,IF($BK$14="V",COUNTIFS($BB$3:$BB$22,"Vượt trội",$BG$3:$BG$22,"&gt;=0.995")&amp;"/"&amp;$BL$1,IF($BL$14="","",INDEX($BG$3:$BG$22,INDEX($BJ$3:$BJ$22,$BL$14)))))</f>
        <v/>
      </c>
      <c r="H21" s="29" t="str">
        <f t="shared" si="2"/>
        <v/>
      </c>
      <c r="I21" s="12" t="str">
        <f>IF($AX21=0,"Nhân viên",IF($AX21=1,INDEX(Tính!$F$39:$F$83,INDEX($CD$3:$CD$47,$AY21))&amp;" · "&amp;INDEX(Tính!$O$39:$O$83,INDEX($CD$3:$CD$47,$AY21)),IF($AX21=3,"Nhóm hàng",IF($AX21=4,INDEX($BA$3:$BA$22,INDEX($BJ$3:$BJ$22,$AY21)),IF($AX21=5,"Số nhóm đạt",IF($AX21=7,"NHÓM CHÍNH",IF($AX21=8,"NHÓM VƯỢT TRỘI","")))))))</f>
        <v/>
      </c>
      <c r="J21" s="30" t="str">
        <f>IF($AX21=0,"Mục tiêu",IF($AX21=1,FIXED(INDEX(Tính!$J$39:$J$83,INDEX($CD$3:$CD$47,$AY21)),0),IF($AX21=3,"Cả shop",IF($AX21=4,INDEX($BG$3:$BG$22,INDEX($BJ$3:$BJ$22,$AY21)),IF($AX21=5,COUNTIF($BG$3:$BG$22,"&gt;=0.995")&amp;"/"&amp;COUNTIF($BA$3:$BA$22,"?*"),IF($AX21=7,COUNTIFS($BB$3:$BB$22,"Chính",$BG$3:$BG$22,"&gt;=0.995")&amp;"/"&amp;$BK$1,IF($AX21=8,COUNTIFS($BB$3:$BB$22,"Vượt trội",$BG$3:$BG$22,"&gt;=0.995")&amp;"/"&amp;$BL$1,"")))))))</f>
        <v/>
      </c>
      <c r="K21" s="30" t="str">
        <f>IF($AX21=0,"DT QĐ",IF($AX21=1,FIXED(INDEX(Tính!$K$39:$K$83,INDEX($CD$3:$CD$47,$AY21)),1),IF($AX21=3,IF($CD$3="","",INDEX(Tính!$F$39:$F$83,$CD$3)),IF($AX21=4,IF($CD$3="","",INDEX(Tính!$C$182:$V$226,$CD$3,INDEX($BJ$3:$BJ$22,$AY21))),IF($AX21=5,IF($CD$3="","",INDEX(Tính!$P$39:$P$83,$CD$3)&amp;"/"&amp;COUNTIF($BA$3:$BA$22,"?*")),IF($AX21=7,IF($CD$3="","",INDEX(Tính!$Q$39:$Q$83,$CD$3)&amp;"/"&amp;$BK$1),IF($AX21=8,IF($CD$3="","",INDEX(Tính!$R$39:$R$83,$CD$3)&amp;"/"&amp;$BL$1),"")))))))</f>
        <v/>
      </c>
      <c r="L21" s="31" t="str">
        <f>IF($AX21=0,"% HT",IF($AX21=1,INDEX(Tính!$N$39:$N$83,INDEX($CD$3:$CD$47,$AY21)),IF($AX21=3,IF($CD$4="","",INDEX(Tính!$F$39:$F$83,$CD$4)),IF($AX21=4,IF($CD$4="","",INDEX(Tính!$C$182:$V$226,$CD$4,INDEX($BJ$3:$BJ$22,$AY21))),IF($AX21=5,IF($CD$4="","",INDEX(Tính!$P$39:$P$83,$CD$4)&amp;"/"&amp;COUNTIF($BA$3:$BA$22,"?*")),IF($AX21=7,IF($CD$4="","",INDEX(Tính!$Q$39:$Q$83,$CD$4)&amp;"/"&amp;$BK$1),IF($AX21=8,IF($CD$4="","",INDEX(Tính!$R$39:$R$83,$CD$4)&amp;"/"&amp;$BL$1),"")))))))</f>
        <v/>
      </c>
      <c r="M21" s="31" t="str">
        <f>IF($AX21=0,"Dự kiến",IF($AX21=1,INDEX(Tính!$M$39:$M$83,INDEX($CD$3:$CD$47,$AY21)),IF($AX21=3,IF($CD$5="","",INDEX(Tính!$F$39:$F$83,$CD$5)),IF($AX21=4,IF($CD$5="","",INDEX(Tính!$C$182:$V$226,$CD$5,INDEX($BJ$3:$BJ$22,$AY21))),IF($AX21=5,IF($CD$5="","",INDEX(Tính!$P$39:$P$83,$CD$5)&amp;"/"&amp;COUNTIF($BA$3:$BA$22,"?*")),IF($AX21=7,IF($CD$5="","",INDEX(Tính!$Q$39:$Q$83,$CD$5)&amp;"/"&amp;$BK$1),IF($AX21=8,IF($CD$5="","",INDEX(Tính!$R$39:$R$83,$CD$5)&amp;"/"&amp;$BL$1),"")))))))</f>
        <v/>
      </c>
      <c r="N21" s="31" t="str">
        <f>IF($AX21=0,"NH đạt",IF($AX21=1,INDEX(Tính!$P$39:$P$83,INDEX($CD$3:$CD$47,$AY21))&amp;"/"&amp;COUNTIF($BA$3:$BA$22,"?*"),IF($AX21=3,IF($CD$6="","",INDEX(Tính!$F$39:$F$83,$CD$6)),IF($AX21=4,IF($CD$6="","",INDEX(Tính!$C$182:$V$226,$CD$6,INDEX($BJ$3:$BJ$22,$AY21))),IF($AX21=5,IF($CD$6="","",INDEX(Tính!$P$39:$P$83,$CD$6)&amp;"/"&amp;COUNTIF($BA$3:$BA$22,"?*")),IF($AX21=7,IF($CD$6="","",INDEX(Tính!$Q$39:$Q$83,$CD$6)&amp;"/"&amp;$BK$1),IF($AX21=8,IF($CD$6="","",INDEX(Tính!$R$39:$R$83,$CD$6)&amp;"/"&amp;$BL$1),"")))))))</f>
        <v/>
      </c>
      <c r="O21" s="31" t="str">
        <f>IF($AX21=3,IF($CD$7="","",INDEX(Tính!$F$39:$F$83,$CD$7)),IF($AX21=4,IF($CD$7="","",INDEX(Tính!$C$182:$V$226,$CD$7,INDEX($BJ$3:$BJ$22,$AY21))),IF($AX21=5,IF($CD$7="","",INDEX(Tính!$P$39:$P$83,$CD$7)&amp;"/"&amp;COUNTIF($BA$3:$BA$22,"?*")),IF($AX21=7,IF($CD$7="","",INDEX(Tính!$Q$39:$Q$83,$CD$7)&amp;"/"&amp;$BK$1),IF($AX21=8,IF($CD$7="","",INDEX(Tính!$R$39:$R$83,$CD$7)&amp;"/"&amp;$BL$1),"")))))</f>
        <v/>
      </c>
      <c r="P21" s="31" t="str">
        <f>IF($AX21=3,IF($CD$8="","",INDEX(Tính!$F$39:$F$83,$CD$8)),IF($AX21=4,IF($CD$8="","",INDEX(Tính!$C$182:$V$226,$CD$8,INDEX($BJ$3:$BJ$22,$AY21))),IF($AX21=5,IF($CD$8="","",INDEX(Tính!$P$39:$P$83,$CD$8)&amp;"/"&amp;COUNTIF($BA$3:$BA$22,"?*")),IF($AX21=7,IF($CD$8="","",INDEX(Tính!$Q$39:$Q$83,$CD$8)&amp;"/"&amp;$BK$1),IF($AX21=8,IF($CD$8="","",INDEX(Tính!$R$39:$R$83,$CD$8)&amp;"/"&amp;$BL$1),"")))))</f>
        <v/>
      </c>
      <c r="Q21" s="31" t="str">
        <f>IF($AX21=3,IF($CD$9="","",INDEX(Tính!$F$39:$F$83,$CD$9)),IF($AX21=4,IF($CD$9="","",INDEX(Tính!$C$182:$V$226,$CD$9,INDEX($BJ$3:$BJ$22,$AY21))),IF($AX21=5,IF($CD$9="","",INDEX(Tính!$P$39:$P$83,$CD$9)&amp;"/"&amp;COUNTIF($BA$3:$BA$22,"?*")),IF($AX21=7,IF($CD$9="","",INDEX(Tính!$Q$39:$Q$83,$CD$9)&amp;"/"&amp;$BK$1),IF($AX21=8,IF($CD$9="","",INDEX(Tính!$R$39:$R$83,$CD$9)&amp;"/"&amp;$BL$1),"")))))</f>
        <v/>
      </c>
      <c r="R21" s="31" t="str">
        <f>IF($AX21=3,IF($CD$10="","",INDEX(Tính!$F$39:$F$83,$CD$10)),IF($AX21=4,IF($CD$10="","",INDEX(Tính!$C$182:$V$226,$CD$10,INDEX($BJ$3:$BJ$22,$AY21))),IF($AX21=5,IF($CD$10="","",INDEX(Tính!$P$39:$P$83,$CD$10)&amp;"/"&amp;COUNTIF($BA$3:$BA$22,"?*")),IF($AX21=7,IF($CD$10="","",INDEX(Tính!$Q$39:$Q$83,$CD$10)&amp;"/"&amp;$BK$1),IF($AX21=8,IF($CD$10="","",INDEX(Tính!$R$39:$R$83,$CD$10)&amp;"/"&amp;$BL$1),"")))))</f>
        <v/>
      </c>
      <c r="S21" s="31" t="str">
        <f>IF($AX21=3,IF($CD$11="","",INDEX(Tính!$F$39:$F$83,$CD$11)),IF($AX21=4,IF($CD$11="","",INDEX(Tính!$C$182:$V$226,$CD$11,INDEX($BJ$3:$BJ$22,$AY21))),IF($AX21=5,IF($CD$11="","",INDEX(Tính!$P$39:$P$83,$CD$11)&amp;"/"&amp;COUNTIF($BA$3:$BA$22,"?*")),IF($AX21=7,IF($CD$11="","",INDEX(Tính!$Q$39:$Q$83,$CD$11)&amp;"/"&amp;$BK$1),IF($AX21=8,IF($CD$11="","",INDEX(Tính!$R$39:$R$83,$CD$11)&amp;"/"&amp;$BL$1),"")))))</f>
        <v/>
      </c>
      <c r="T21" s="31" t="str">
        <f>IF($AX21=3,IF($CD$12="","",INDEX(Tính!$F$39:$F$83,$CD$12)),IF($AX21=4,IF($CD$12="","",INDEX(Tính!$C$182:$V$226,$CD$12,INDEX($BJ$3:$BJ$22,$AY21))),IF($AX21=5,IF($CD$12="","",INDEX(Tính!$P$39:$P$83,$CD$12)&amp;"/"&amp;COUNTIF($BA$3:$BA$22,"?*")),IF($AX21=7,IF($CD$12="","",INDEX(Tính!$Q$39:$Q$83,$CD$12)&amp;"/"&amp;$BK$1),IF($AX21=8,IF($CD$12="","",INDEX(Tính!$R$39:$R$83,$CD$12)&amp;"/"&amp;$BL$1),"")))))</f>
        <v/>
      </c>
      <c r="U21" s="31" t="str">
        <f>IF($AX21=3,IF($CD$13="","",INDEX(Tính!$F$39:$F$83,$CD$13)),IF($AX21=4,IF($CD$13="","",INDEX(Tính!$C$182:$V$226,$CD$13,INDEX($BJ$3:$BJ$22,$AY21))),IF($AX21=5,IF($CD$13="","",INDEX(Tính!$P$39:$P$83,$CD$13)&amp;"/"&amp;COUNTIF($BA$3:$BA$22,"?*")),IF($AX21=7,IF($CD$13="","",INDEX(Tính!$Q$39:$Q$83,$CD$13)&amp;"/"&amp;$BK$1),IF($AX21=8,IF($CD$13="","",INDEX(Tính!$R$39:$R$83,$CD$13)&amp;"/"&amp;$BL$1),"")))))</f>
        <v/>
      </c>
      <c r="V21" s="31" t="str">
        <f>IF($AX21=3,IF($CD$14="","",INDEX(Tính!$F$39:$F$83,$CD$14)),IF($AX21=4,IF($CD$14="","",INDEX(Tính!$C$182:$V$226,$CD$14,INDEX($BJ$3:$BJ$22,$AY21))),IF($AX21=5,IF($CD$14="","",INDEX(Tính!$P$39:$P$83,$CD$14)&amp;"/"&amp;COUNTIF($BA$3:$BA$22,"?*")),IF($AX21=7,IF($CD$14="","",INDEX(Tính!$Q$39:$Q$83,$CD$14)&amp;"/"&amp;$BK$1),IF($AX21=8,IF($CD$14="","",INDEX(Tính!$R$39:$R$83,$CD$14)&amp;"/"&amp;$BL$1),"")))))</f>
        <v/>
      </c>
      <c r="W21" s="31" t="str">
        <f>IF($AX21=3,IF($CD$15="","",INDEX(Tính!$F$39:$F$83,$CD$15)),IF($AX21=4,IF($CD$15="","",INDEX(Tính!$C$182:$V$226,$CD$15,INDEX($BJ$3:$BJ$22,$AY21))),IF($AX21=5,IF($CD$15="","",INDEX(Tính!$P$39:$P$83,$CD$15)&amp;"/"&amp;COUNTIF($BA$3:$BA$22,"?*")),IF($AX21=7,IF($CD$15="","",INDEX(Tính!$Q$39:$Q$83,$CD$15)&amp;"/"&amp;$BK$1),IF($AX21=8,IF($CD$15="","",INDEX(Tính!$R$39:$R$83,$CD$15)&amp;"/"&amp;$BL$1),"")))))</f>
        <v/>
      </c>
      <c r="X21" s="31" t="str">
        <f>IF($AX21=3,IF($CD$16="","",INDEX(Tính!$F$39:$F$83,$CD$16)),IF($AX21=4,IF($CD$16="","",INDEX(Tính!$C$182:$V$226,$CD$16,INDEX($BJ$3:$BJ$22,$AY21))),IF($AX21=5,IF($CD$16="","",INDEX(Tính!$P$39:$P$83,$CD$16)&amp;"/"&amp;COUNTIF($BA$3:$BA$22,"?*")),IF($AX21=7,IF($CD$16="","",INDEX(Tính!$Q$39:$Q$83,$CD$16)&amp;"/"&amp;$BK$1),IF($AX21=8,IF($CD$16="","",INDEX(Tính!$R$39:$R$83,$CD$16)&amp;"/"&amp;$BL$1),"")))))</f>
        <v/>
      </c>
      <c r="Y21" s="31" t="str">
        <f>IF($AX21=3,IF($CD$17="","",INDEX(Tính!$F$39:$F$83,$CD$17)),IF($AX21=4,IF($CD$17="","",INDEX(Tính!$C$182:$V$226,$CD$17,INDEX($BJ$3:$BJ$22,$AY21))),IF($AX21=5,IF($CD$17="","",INDEX(Tính!$P$39:$P$83,$CD$17)&amp;"/"&amp;COUNTIF($BA$3:$BA$22,"?*")),IF($AX21=7,IF($CD$17="","",INDEX(Tính!$Q$39:$Q$83,$CD$17)&amp;"/"&amp;$BK$1),IF($AX21=8,IF($CD$17="","",INDEX(Tính!$R$39:$R$83,$CD$17)&amp;"/"&amp;$BL$1),"")))))</f>
        <v/>
      </c>
      <c r="Z21" s="31" t="str">
        <f>IF($AX21=3,IF($CD$18="","",INDEX(Tính!$F$39:$F$83,$CD$18)),IF($AX21=4,IF($CD$18="","",INDEX(Tính!$C$182:$V$226,$CD$18,INDEX($BJ$3:$BJ$22,$AY21))),IF($AX21=5,IF($CD$18="","",INDEX(Tính!$P$39:$P$83,$CD$18)&amp;"/"&amp;COUNTIF($BA$3:$BA$22,"?*")),IF($AX21=7,IF($CD$18="","",INDEX(Tính!$Q$39:$Q$83,$CD$18)&amp;"/"&amp;$BK$1),IF($AX21=8,IF($CD$18="","",INDEX(Tính!$R$39:$R$83,$CD$18)&amp;"/"&amp;$BL$1),"")))))</f>
        <v/>
      </c>
      <c r="AA21" s="31" t="str">
        <f>IF($AX21=3,IF($CD$19="","",INDEX(Tính!$F$39:$F$83,$CD$19)),IF($AX21=4,IF($CD$19="","",INDEX(Tính!$C$182:$V$226,$CD$19,INDEX($BJ$3:$BJ$22,$AY21))),IF($AX21=5,IF($CD$19="","",INDEX(Tính!$P$39:$P$83,$CD$19)&amp;"/"&amp;COUNTIF($BA$3:$BA$22,"?*")),IF($AX21=7,IF($CD$19="","",INDEX(Tính!$Q$39:$Q$83,$CD$19)&amp;"/"&amp;$BK$1),IF($AX21=8,IF($CD$19="","",INDEX(Tính!$R$39:$R$83,$CD$19)&amp;"/"&amp;$BL$1),"")))))</f>
        <v/>
      </c>
      <c r="AB21" s="31" t="str">
        <f>IF($AX21=3,IF($CD$20="","",INDEX(Tính!$F$39:$F$83,$CD$20)),IF($AX21=4,IF($CD$20="","",INDEX(Tính!$C$182:$V$226,$CD$20,INDEX($BJ$3:$BJ$22,$AY21))),IF($AX21=5,IF($CD$20="","",INDEX(Tính!$P$39:$P$83,$CD$20)&amp;"/"&amp;COUNTIF($BA$3:$BA$22,"?*")),IF($AX21=7,IF($CD$20="","",INDEX(Tính!$Q$39:$Q$83,$CD$20)&amp;"/"&amp;$BK$1),IF($AX21=8,IF($CD$20="","",INDEX(Tính!$R$39:$R$83,$CD$20)&amp;"/"&amp;$BL$1),"")))))</f>
        <v/>
      </c>
      <c r="AC21" s="31" t="str">
        <f>IF($AX21=3,IF($CD$21="","",INDEX(Tính!$F$39:$F$83,$CD$21)),IF($AX21=4,IF($CD$21="","",INDEX(Tính!$C$182:$V$226,$CD$21,INDEX($BJ$3:$BJ$22,$AY21))),IF($AX21=5,IF($CD$21="","",INDEX(Tính!$P$39:$P$83,$CD$21)&amp;"/"&amp;COUNTIF($BA$3:$BA$22,"?*")),IF($AX21=7,IF($CD$21="","",INDEX(Tính!$Q$39:$Q$83,$CD$21)&amp;"/"&amp;$BK$1),IF($AX21=8,IF($CD$21="","",INDEX(Tính!$R$39:$R$83,$CD$21)&amp;"/"&amp;$BL$1),"")))))</f>
        <v/>
      </c>
      <c r="AD21" s="31" t="str">
        <f>IF($AX21=3,IF($CD$22="","",INDEX(Tính!$F$39:$F$83,$CD$22)),IF($AX21=4,IF($CD$22="","",INDEX(Tính!$C$182:$V$226,$CD$22,INDEX($BJ$3:$BJ$22,$AY21))),IF($AX21=5,IF($CD$22="","",INDEX(Tính!$P$39:$P$83,$CD$22)&amp;"/"&amp;COUNTIF($BA$3:$BA$22,"?*")),IF($AX21=7,IF($CD$22="","",INDEX(Tính!$Q$39:$Q$83,$CD$22)&amp;"/"&amp;$BK$1),IF($AX21=8,IF($CD$22="","",INDEX(Tính!$R$39:$R$83,$CD$22)&amp;"/"&amp;$BL$1),"")))))</f>
        <v/>
      </c>
      <c r="AW21" t="str">
        <f>$BK$14</f>
        <v/>
      </c>
      <c r="AX21">
        <f>IF(17=0,0,IF(17&lt;=$AX$1,1,IF(17=$AX$1+1,2,IF(17=$AX$1+2,3,IF((17-$AX$1-2)&lt;=$AX$3,IF(INDEX($BK$3:$BK$24,(17-$AX$1-2))="C",7,IF(INDEX($BK$3:$BK$24,(17-$AX$1-2))="V",8,4)),IF((17-$AX$1-2)=$AX$3+1,5,6))))))</f>
        <v>6</v>
      </c>
      <c r="AY21">
        <f>IF(AX21=1,17,IF(AX21=4,INDEX($BL$3:$BL$24,(17-$AX$1-2)),0))</f>
        <v>0</v>
      </c>
      <c r="BA21" t="str">
        <f>Tính!B21</f>
        <v/>
      </c>
      <c r="BB21" t="str">
        <f>Tính!D21</f>
        <v/>
      </c>
      <c r="BC21">
        <f>IF($AZ$1=0,Tính!$Z$21,CHOOSE($AZ$1,Tính!$G$21,Tính!$L$21,Tính!$Q$21,Tính!$V$21))</f>
        <v>0</v>
      </c>
      <c r="BD21">
        <f>IF($AZ$1=0,Tính!$Y$21,CHOOSE($AZ$1,Tính!$E$21,Tính!$J$21,Tính!$O$21,Tính!$T$21))</f>
        <v>0</v>
      </c>
      <c r="BE21">
        <f>IF($AZ$1=0,Tính!$AB$21,CHOOSE($AZ$1,Tính!$I$21,Tính!$N$21,Tính!$S$21,Tính!$X$21))</f>
        <v>0</v>
      </c>
      <c r="BF21">
        <f>IF($AZ$1=0,Tính!$AA$21,CHOOSE($AZ$1,Tính!$H$21,Tính!$M$21,Tính!$R$21,Tính!$W$21))</f>
        <v>0</v>
      </c>
      <c r="BG21">
        <f t="shared" si="0"/>
        <v>0</v>
      </c>
      <c r="BH21">
        <f t="shared" si="1"/>
        <v>0</v>
      </c>
      <c r="BI21">
        <f>IF(BA21="",-1,IF(BB21="Chính",1000,0)+BG21+(20-19)/100000)</f>
        <v>-1</v>
      </c>
      <c r="BJ21" t="str">
        <f>IF(LARGE($BI$3:$BI$22,19)&lt;0,"",MATCH(LARGE($BI$3:$BI$22,19),$BI$3:$BI$22,0))</f>
        <v/>
      </c>
      <c r="BK21" t="str">
        <f>IF(19=1,IF($BK$1&gt;0,"C",""),IF(19&lt;=$BK$1+1,"g",IF(19=$BK$1+2,IF($BL$1&gt;0,"V",""),IF(19&lt;=$BK$1+2+$BL$1,"g",""))))</f>
        <v/>
      </c>
      <c r="BL21" t="str">
        <f>IF(BK21="g",IF(19&lt;=$BK$1+1,19-1,19-2),"")</f>
        <v/>
      </c>
      <c r="CA21">
        <v>19</v>
      </c>
      <c r="CB21">
        <f>IF(Tính!B57="",0,IF(OR($AZ$1=0,Tính!D57=$AZ$1),1,0))</f>
        <v>0</v>
      </c>
      <c r="CC21">
        <f>IF(CB21=1,Tính!M57+1+(45-19)/1000000,-1)</f>
        <v>-1</v>
      </c>
      <c r="CD21" t="str">
        <f>IF(LARGE($CC$3:$CC$47,19)&lt;0,"",MATCH(LARGE($CC$3:$CC$47,19),$CC$3:$CC$47,0))</f>
        <v/>
      </c>
    </row>
    <row r="22" spans="1:82" x14ac:dyDescent="0.3">
      <c r="A22" s="54" t="str">
        <f>IF($BK$15="C","NHÓM CHÍNH",IF($BK$15="V","NHÓM VƯỢT TRỘI",IF($BL$15="","",INDEX($BA$3:$BA$22,INDEX($BJ$3:$BJ$22,$BL$15)))))</f>
        <v/>
      </c>
      <c r="B22" s="52"/>
      <c r="C22" s="26" t="str">
        <f>IF($BL$15="","",INDEX($BC$3:$BC$22,INDEX($BJ$3:$BJ$22,$BL$15)))</f>
        <v/>
      </c>
      <c r="D22" s="26" t="str">
        <f>IF($BL$15="","",INDEX($BD$3:$BD$22,INDEX($BJ$3:$BJ$22,$BL$15)))</f>
        <v/>
      </c>
      <c r="E22" s="27" t="str">
        <f>IF($BL$15="","",IF(C22&gt;0,D22/C22,1))</f>
        <v/>
      </c>
      <c r="F22" s="27" t="str">
        <f>IF($BK$15="C",COUNTIFS($BB$3:$BB$22,"Chính",$BG$3:$BG$22,"&gt;=0.995")&amp;"/"&amp;$BK$1,IF($BK$15="V",COUNTIFS($BB$3:$BB$22,"Vượt trội",$BG$3:$BG$22,"&gt;=0.995")&amp;"/"&amp;$BL$1,IF($BL$15="","",INDEX($BG$3:$BG$22,INDEX($BJ$3:$BJ$22,$BL$15)))))</f>
        <v/>
      </c>
      <c r="H22" s="29" t="str">
        <f t="shared" si="2"/>
        <v/>
      </c>
      <c r="I22" s="12" t="str">
        <f>IF($AX22=0,"Nhân viên",IF($AX22=1,INDEX(Tính!$F$39:$F$83,INDEX($CD$3:$CD$47,$AY22))&amp;" · "&amp;INDEX(Tính!$O$39:$O$83,INDEX($CD$3:$CD$47,$AY22)),IF($AX22=3,"Nhóm hàng",IF($AX22=4,INDEX($BA$3:$BA$22,INDEX($BJ$3:$BJ$22,$AY22)),IF($AX22=5,"Số nhóm đạt",IF($AX22=7,"NHÓM CHÍNH",IF($AX22=8,"NHÓM VƯỢT TRỘI","")))))))</f>
        <v/>
      </c>
      <c r="J22" s="30" t="str">
        <f>IF($AX22=0,"Mục tiêu",IF($AX22=1,FIXED(INDEX(Tính!$J$39:$J$83,INDEX($CD$3:$CD$47,$AY22)),0),IF($AX22=3,"Cả shop",IF($AX22=4,INDEX($BG$3:$BG$22,INDEX($BJ$3:$BJ$22,$AY22)),IF($AX22=5,COUNTIF($BG$3:$BG$22,"&gt;=0.995")&amp;"/"&amp;COUNTIF($BA$3:$BA$22,"?*"),IF($AX22=7,COUNTIFS($BB$3:$BB$22,"Chính",$BG$3:$BG$22,"&gt;=0.995")&amp;"/"&amp;$BK$1,IF($AX22=8,COUNTIFS($BB$3:$BB$22,"Vượt trội",$BG$3:$BG$22,"&gt;=0.995")&amp;"/"&amp;$BL$1,"")))))))</f>
        <v/>
      </c>
      <c r="K22" s="30" t="str">
        <f>IF($AX22=0,"DT QĐ",IF($AX22=1,FIXED(INDEX(Tính!$K$39:$K$83,INDEX($CD$3:$CD$47,$AY22)),1),IF($AX22=3,IF($CD$3="","",INDEX(Tính!$F$39:$F$83,$CD$3)),IF($AX22=4,IF($CD$3="","",INDEX(Tính!$C$182:$V$226,$CD$3,INDEX($BJ$3:$BJ$22,$AY22))),IF($AX22=5,IF($CD$3="","",INDEX(Tính!$P$39:$P$83,$CD$3)&amp;"/"&amp;COUNTIF($BA$3:$BA$22,"?*")),IF($AX22=7,IF($CD$3="","",INDEX(Tính!$Q$39:$Q$83,$CD$3)&amp;"/"&amp;$BK$1),IF($AX22=8,IF($CD$3="","",INDEX(Tính!$R$39:$R$83,$CD$3)&amp;"/"&amp;$BL$1),"")))))))</f>
        <v/>
      </c>
      <c r="L22" s="31" t="str">
        <f>IF($AX22=0,"% HT",IF($AX22=1,INDEX(Tính!$N$39:$N$83,INDEX($CD$3:$CD$47,$AY22)),IF($AX22=3,IF($CD$4="","",INDEX(Tính!$F$39:$F$83,$CD$4)),IF($AX22=4,IF($CD$4="","",INDEX(Tính!$C$182:$V$226,$CD$4,INDEX($BJ$3:$BJ$22,$AY22))),IF($AX22=5,IF($CD$4="","",INDEX(Tính!$P$39:$P$83,$CD$4)&amp;"/"&amp;COUNTIF($BA$3:$BA$22,"?*")),IF($AX22=7,IF($CD$4="","",INDEX(Tính!$Q$39:$Q$83,$CD$4)&amp;"/"&amp;$BK$1),IF($AX22=8,IF($CD$4="","",INDEX(Tính!$R$39:$R$83,$CD$4)&amp;"/"&amp;$BL$1),"")))))))</f>
        <v/>
      </c>
      <c r="M22" s="31" t="str">
        <f>IF($AX22=0,"Dự kiến",IF($AX22=1,INDEX(Tính!$M$39:$M$83,INDEX($CD$3:$CD$47,$AY22)),IF($AX22=3,IF($CD$5="","",INDEX(Tính!$F$39:$F$83,$CD$5)),IF($AX22=4,IF($CD$5="","",INDEX(Tính!$C$182:$V$226,$CD$5,INDEX($BJ$3:$BJ$22,$AY22))),IF($AX22=5,IF($CD$5="","",INDEX(Tính!$P$39:$P$83,$CD$5)&amp;"/"&amp;COUNTIF($BA$3:$BA$22,"?*")),IF($AX22=7,IF($CD$5="","",INDEX(Tính!$Q$39:$Q$83,$CD$5)&amp;"/"&amp;$BK$1),IF($AX22=8,IF($CD$5="","",INDEX(Tính!$R$39:$R$83,$CD$5)&amp;"/"&amp;$BL$1),"")))))))</f>
        <v/>
      </c>
      <c r="N22" s="31" t="str">
        <f>IF($AX22=0,"NH đạt",IF($AX22=1,INDEX(Tính!$P$39:$P$83,INDEX($CD$3:$CD$47,$AY22))&amp;"/"&amp;COUNTIF($BA$3:$BA$22,"?*"),IF($AX22=3,IF($CD$6="","",INDEX(Tính!$F$39:$F$83,$CD$6)),IF($AX22=4,IF($CD$6="","",INDEX(Tính!$C$182:$V$226,$CD$6,INDEX($BJ$3:$BJ$22,$AY22))),IF($AX22=5,IF($CD$6="","",INDEX(Tính!$P$39:$P$83,$CD$6)&amp;"/"&amp;COUNTIF($BA$3:$BA$22,"?*")),IF($AX22=7,IF($CD$6="","",INDEX(Tính!$Q$39:$Q$83,$CD$6)&amp;"/"&amp;$BK$1),IF($AX22=8,IF($CD$6="","",INDEX(Tính!$R$39:$R$83,$CD$6)&amp;"/"&amp;$BL$1),"")))))))</f>
        <v/>
      </c>
      <c r="O22" s="31" t="str">
        <f>IF($AX22=3,IF($CD$7="","",INDEX(Tính!$F$39:$F$83,$CD$7)),IF($AX22=4,IF($CD$7="","",INDEX(Tính!$C$182:$V$226,$CD$7,INDEX($BJ$3:$BJ$22,$AY22))),IF($AX22=5,IF($CD$7="","",INDEX(Tính!$P$39:$P$83,$CD$7)&amp;"/"&amp;COUNTIF($BA$3:$BA$22,"?*")),IF($AX22=7,IF($CD$7="","",INDEX(Tính!$Q$39:$Q$83,$CD$7)&amp;"/"&amp;$BK$1),IF($AX22=8,IF($CD$7="","",INDEX(Tính!$R$39:$R$83,$CD$7)&amp;"/"&amp;$BL$1),"")))))</f>
        <v/>
      </c>
      <c r="P22" s="31" t="str">
        <f>IF($AX22=3,IF($CD$8="","",INDEX(Tính!$F$39:$F$83,$CD$8)),IF($AX22=4,IF($CD$8="","",INDEX(Tính!$C$182:$V$226,$CD$8,INDEX($BJ$3:$BJ$22,$AY22))),IF($AX22=5,IF($CD$8="","",INDEX(Tính!$P$39:$P$83,$CD$8)&amp;"/"&amp;COUNTIF($BA$3:$BA$22,"?*")),IF($AX22=7,IF($CD$8="","",INDEX(Tính!$Q$39:$Q$83,$CD$8)&amp;"/"&amp;$BK$1),IF($AX22=8,IF($CD$8="","",INDEX(Tính!$R$39:$R$83,$CD$8)&amp;"/"&amp;$BL$1),"")))))</f>
        <v/>
      </c>
      <c r="Q22" s="31" t="str">
        <f>IF($AX22=3,IF($CD$9="","",INDEX(Tính!$F$39:$F$83,$CD$9)),IF($AX22=4,IF($CD$9="","",INDEX(Tính!$C$182:$V$226,$CD$9,INDEX($BJ$3:$BJ$22,$AY22))),IF($AX22=5,IF($CD$9="","",INDEX(Tính!$P$39:$P$83,$CD$9)&amp;"/"&amp;COUNTIF($BA$3:$BA$22,"?*")),IF($AX22=7,IF($CD$9="","",INDEX(Tính!$Q$39:$Q$83,$CD$9)&amp;"/"&amp;$BK$1),IF($AX22=8,IF($CD$9="","",INDEX(Tính!$R$39:$R$83,$CD$9)&amp;"/"&amp;$BL$1),"")))))</f>
        <v/>
      </c>
      <c r="R22" s="31" t="str">
        <f>IF($AX22=3,IF($CD$10="","",INDEX(Tính!$F$39:$F$83,$CD$10)),IF($AX22=4,IF($CD$10="","",INDEX(Tính!$C$182:$V$226,$CD$10,INDEX($BJ$3:$BJ$22,$AY22))),IF($AX22=5,IF($CD$10="","",INDEX(Tính!$P$39:$P$83,$CD$10)&amp;"/"&amp;COUNTIF($BA$3:$BA$22,"?*")),IF($AX22=7,IF($CD$10="","",INDEX(Tính!$Q$39:$Q$83,$CD$10)&amp;"/"&amp;$BK$1),IF($AX22=8,IF($CD$10="","",INDEX(Tính!$R$39:$R$83,$CD$10)&amp;"/"&amp;$BL$1),"")))))</f>
        <v/>
      </c>
      <c r="S22" s="31" t="str">
        <f>IF($AX22=3,IF($CD$11="","",INDEX(Tính!$F$39:$F$83,$CD$11)),IF($AX22=4,IF($CD$11="","",INDEX(Tính!$C$182:$V$226,$CD$11,INDEX($BJ$3:$BJ$22,$AY22))),IF($AX22=5,IF($CD$11="","",INDEX(Tính!$P$39:$P$83,$CD$11)&amp;"/"&amp;COUNTIF($BA$3:$BA$22,"?*")),IF($AX22=7,IF($CD$11="","",INDEX(Tính!$Q$39:$Q$83,$CD$11)&amp;"/"&amp;$BK$1),IF($AX22=8,IF($CD$11="","",INDEX(Tính!$R$39:$R$83,$CD$11)&amp;"/"&amp;$BL$1),"")))))</f>
        <v/>
      </c>
      <c r="T22" s="31" t="str">
        <f>IF($AX22=3,IF($CD$12="","",INDEX(Tính!$F$39:$F$83,$CD$12)),IF($AX22=4,IF($CD$12="","",INDEX(Tính!$C$182:$V$226,$CD$12,INDEX($BJ$3:$BJ$22,$AY22))),IF($AX22=5,IF($CD$12="","",INDEX(Tính!$P$39:$P$83,$CD$12)&amp;"/"&amp;COUNTIF($BA$3:$BA$22,"?*")),IF($AX22=7,IF($CD$12="","",INDEX(Tính!$Q$39:$Q$83,$CD$12)&amp;"/"&amp;$BK$1),IF($AX22=8,IF($CD$12="","",INDEX(Tính!$R$39:$R$83,$CD$12)&amp;"/"&amp;$BL$1),"")))))</f>
        <v/>
      </c>
      <c r="U22" s="31" t="str">
        <f>IF($AX22=3,IF($CD$13="","",INDEX(Tính!$F$39:$F$83,$CD$13)),IF($AX22=4,IF($CD$13="","",INDEX(Tính!$C$182:$V$226,$CD$13,INDEX($BJ$3:$BJ$22,$AY22))),IF($AX22=5,IF($CD$13="","",INDEX(Tính!$P$39:$P$83,$CD$13)&amp;"/"&amp;COUNTIF($BA$3:$BA$22,"?*")),IF($AX22=7,IF($CD$13="","",INDEX(Tính!$Q$39:$Q$83,$CD$13)&amp;"/"&amp;$BK$1),IF($AX22=8,IF($CD$13="","",INDEX(Tính!$R$39:$R$83,$CD$13)&amp;"/"&amp;$BL$1),"")))))</f>
        <v/>
      </c>
      <c r="V22" s="31" t="str">
        <f>IF($AX22=3,IF($CD$14="","",INDEX(Tính!$F$39:$F$83,$CD$14)),IF($AX22=4,IF($CD$14="","",INDEX(Tính!$C$182:$V$226,$CD$14,INDEX($BJ$3:$BJ$22,$AY22))),IF($AX22=5,IF($CD$14="","",INDEX(Tính!$P$39:$P$83,$CD$14)&amp;"/"&amp;COUNTIF($BA$3:$BA$22,"?*")),IF($AX22=7,IF($CD$14="","",INDEX(Tính!$Q$39:$Q$83,$CD$14)&amp;"/"&amp;$BK$1),IF($AX22=8,IF($CD$14="","",INDEX(Tính!$R$39:$R$83,$CD$14)&amp;"/"&amp;$BL$1),"")))))</f>
        <v/>
      </c>
      <c r="W22" s="31" t="str">
        <f>IF($AX22=3,IF($CD$15="","",INDEX(Tính!$F$39:$F$83,$CD$15)),IF($AX22=4,IF($CD$15="","",INDEX(Tính!$C$182:$V$226,$CD$15,INDEX($BJ$3:$BJ$22,$AY22))),IF($AX22=5,IF($CD$15="","",INDEX(Tính!$P$39:$P$83,$CD$15)&amp;"/"&amp;COUNTIF($BA$3:$BA$22,"?*")),IF($AX22=7,IF($CD$15="","",INDEX(Tính!$Q$39:$Q$83,$CD$15)&amp;"/"&amp;$BK$1),IF($AX22=8,IF($CD$15="","",INDEX(Tính!$R$39:$R$83,$CD$15)&amp;"/"&amp;$BL$1),"")))))</f>
        <v/>
      </c>
      <c r="X22" s="31" t="str">
        <f>IF($AX22=3,IF($CD$16="","",INDEX(Tính!$F$39:$F$83,$CD$16)),IF($AX22=4,IF($CD$16="","",INDEX(Tính!$C$182:$V$226,$CD$16,INDEX($BJ$3:$BJ$22,$AY22))),IF($AX22=5,IF($CD$16="","",INDEX(Tính!$P$39:$P$83,$CD$16)&amp;"/"&amp;COUNTIF($BA$3:$BA$22,"?*")),IF($AX22=7,IF($CD$16="","",INDEX(Tính!$Q$39:$Q$83,$CD$16)&amp;"/"&amp;$BK$1),IF($AX22=8,IF($CD$16="","",INDEX(Tính!$R$39:$R$83,$CD$16)&amp;"/"&amp;$BL$1),"")))))</f>
        <v/>
      </c>
      <c r="Y22" s="31" t="str">
        <f>IF($AX22=3,IF($CD$17="","",INDEX(Tính!$F$39:$F$83,$CD$17)),IF($AX22=4,IF($CD$17="","",INDEX(Tính!$C$182:$V$226,$CD$17,INDEX($BJ$3:$BJ$22,$AY22))),IF($AX22=5,IF($CD$17="","",INDEX(Tính!$P$39:$P$83,$CD$17)&amp;"/"&amp;COUNTIF($BA$3:$BA$22,"?*")),IF($AX22=7,IF($CD$17="","",INDEX(Tính!$Q$39:$Q$83,$CD$17)&amp;"/"&amp;$BK$1),IF($AX22=8,IF($CD$17="","",INDEX(Tính!$R$39:$R$83,$CD$17)&amp;"/"&amp;$BL$1),"")))))</f>
        <v/>
      </c>
      <c r="Z22" s="31" t="str">
        <f>IF($AX22=3,IF($CD$18="","",INDEX(Tính!$F$39:$F$83,$CD$18)),IF($AX22=4,IF($CD$18="","",INDEX(Tính!$C$182:$V$226,$CD$18,INDEX($BJ$3:$BJ$22,$AY22))),IF($AX22=5,IF($CD$18="","",INDEX(Tính!$P$39:$P$83,$CD$18)&amp;"/"&amp;COUNTIF($BA$3:$BA$22,"?*")),IF($AX22=7,IF($CD$18="","",INDEX(Tính!$Q$39:$Q$83,$CD$18)&amp;"/"&amp;$BK$1),IF($AX22=8,IF($CD$18="","",INDEX(Tính!$R$39:$R$83,$CD$18)&amp;"/"&amp;$BL$1),"")))))</f>
        <v/>
      </c>
      <c r="AA22" s="31" t="str">
        <f>IF($AX22=3,IF($CD$19="","",INDEX(Tính!$F$39:$F$83,$CD$19)),IF($AX22=4,IF($CD$19="","",INDEX(Tính!$C$182:$V$226,$CD$19,INDEX($BJ$3:$BJ$22,$AY22))),IF($AX22=5,IF($CD$19="","",INDEX(Tính!$P$39:$P$83,$CD$19)&amp;"/"&amp;COUNTIF($BA$3:$BA$22,"?*")),IF($AX22=7,IF($CD$19="","",INDEX(Tính!$Q$39:$Q$83,$CD$19)&amp;"/"&amp;$BK$1),IF($AX22=8,IF($CD$19="","",INDEX(Tính!$R$39:$R$83,$CD$19)&amp;"/"&amp;$BL$1),"")))))</f>
        <v/>
      </c>
      <c r="AB22" s="31" t="str">
        <f>IF($AX22=3,IF($CD$20="","",INDEX(Tính!$F$39:$F$83,$CD$20)),IF($AX22=4,IF($CD$20="","",INDEX(Tính!$C$182:$V$226,$CD$20,INDEX($BJ$3:$BJ$22,$AY22))),IF($AX22=5,IF($CD$20="","",INDEX(Tính!$P$39:$P$83,$CD$20)&amp;"/"&amp;COUNTIF($BA$3:$BA$22,"?*")),IF($AX22=7,IF($CD$20="","",INDEX(Tính!$Q$39:$Q$83,$CD$20)&amp;"/"&amp;$BK$1),IF($AX22=8,IF($CD$20="","",INDEX(Tính!$R$39:$R$83,$CD$20)&amp;"/"&amp;$BL$1),"")))))</f>
        <v/>
      </c>
      <c r="AC22" s="31" t="str">
        <f>IF($AX22=3,IF($CD$21="","",INDEX(Tính!$F$39:$F$83,$CD$21)),IF($AX22=4,IF($CD$21="","",INDEX(Tính!$C$182:$V$226,$CD$21,INDEX($BJ$3:$BJ$22,$AY22))),IF($AX22=5,IF($CD$21="","",INDEX(Tính!$P$39:$P$83,$CD$21)&amp;"/"&amp;COUNTIF($BA$3:$BA$22,"?*")),IF($AX22=7,IF($CD$21="","",INDEX(Tính!$Q$39:$Q$83,$CD$21)&amp;"/"&amp;$BK$1),IF($AX22=8,IF($CD$21="","",INDEX(Tính!$R$39:$R$83,$CD$21)&amp;"/"&amp;$BL$1),"")))))</f>
        <v/>
      </c>
      <c r="AD22" s="31" t="str">
        <f>IF($AX22=3,IF($CD$22="","",INDEX(Tính!$F$39:$F$83,$CD$22)),IF($AX22=4,IF($CD$22="","",INDEX(Tính!$C$182:$V$226,$CD$22,INDEX($BJ$3:$BJ$22,$AY22))),IF($AX22=5,IF($CD$22="","",INDEX(Tính!$P$39:$P$83,$CD$22)&amp;"/"&amp;COUNTIF($BA$3:$BA$22,"?*")),IF($AX22=7,IF($CD$22="","",INDEX(Tính!$Q$39:$Q$83,$CD$22)&amp;"/"&amp;$BK$1),IF($AX22=8,IF($CD$22="","",INDEX(Tính!$R$39:$R$83,$CD$22)&amp;"/"&amp;$BL$1),"")))))</f>
        <v/>
      </c>
      <c r="AW22" t="str">
        <f>$BK$15</f>
        <v/>
      </c>
      <c r="AX22">
        <f>IF(18=0,0,IF(18&lt;=$AX$1,1,IF(18=$AX$1+1,2,IF(18=$AX$1+2,3,IF((18-$AX$1-2)&lt;=$AX$3,IF(INDEX($BK$3:$BK$24,(18-$AX$1-2))="C",7,IF(INDEX($BK$3:$BK$24,(18-$AX$1-2))="V",8,4)),IF((18-$AX$1-2)=$AX$3+1,5,6))))))</f>
        <v>6</v>
      </c>
      <c r="AY22">
        <f>IF(AX22=1,18,IF(AX22=4,INDEX($BL$3:$BL$24,(18-$AX$1-2)),0))</f>
        <v>0</v>
      </c>
      <c r="BA22" t="str">
        <f>Tính!B22</f>
        <v/>
      </c>
      <c r="BB22" t="str">
        <f>Tính!D22</f>
        <v/>
      </c>
      <c r="BC22">
        <f>IF($AZ$1=0,Tính!$Z$22,CHOOSE($AZ$1,Tính!$G$22,Tính!$L$22,Tính!$Q$22,Tính!$V$22))</f>
        <v>0</v>
      </c>
      <c r="BD22">
        <f>IF($AZ$1=0,Tính!$Y$22,CHOOSE($AZ$1,Tính!$E$22,Tính!$J$22,Tính!$O$22,Tính!$T$22))</f>
        <v>0</v>
      </c>
      <c r="BE22">
        <f>IF($AZ$1=0,Tính!$AB$22,CHOOSE($AZ$1,Tính!$I$22,Tính!$N$22,Tính!$S$22,Tính!$X$22))</f>
        <v>0</v>
      </c>
      <c r="BF22">
        <f>IF($AZ$1=0,Tính!$AA$22,CHOOSE($AZ$1,Tính!$H$22,Tính!$M$22,Tính!$R$22,Tính!$W$22))</f>
        <v>0</v>
      </c>
      <c r="BG22">
        <f t="shared" si="0"/>
        <v>0</v>
      </c>
      <c r="BH22">
        <f t="shared" si="1"/>
        <v>0</v>
      </c>
      <c r="BI22">
        <f>IF(BA22="",-1,IF(BB22="Chính",1000,0)+BG22+(20-20)/100000)</f>
        <v>-1</v>
      </c>
      <c r="BJ22" t="str">
        <f>IF(LARGE($BI$3:$BI$22,20)&lt;0,"",MATCH(LARGE($BI$3:$BI$22,20),$BI$3:$BI$22,0))</f>
        <v/>
      </c>
      <c r="BK22" t="str">
        <f>IF(20=1,IF($BK$1&gt;0,"C",""),IF(20&lt;=$BK$1+1,"g",IF(20=$BK$1+2,IF($BL$1&gt;0,"V",""),IF(20&lt;=$BK$1+2+$BL$1,"g",""))))</f>
        <v/>
      </c>
      <c r="BL22" t="str">
        <f>IF(BK22="g",IF(20&lt;=$BK$1+1,20-1,20-2),"")</f>
        <v/>
      </c>
      <c r="CA22">
        <v>20</v>
      </c>
      <c r="CB22">
        <f>IF(Tính!B58="",0,IF(OR($AZ$1=0,Tính!D58=$AZ$1),1,0))</f>
        <v>0</v>
      </c>
      <c r="CC22">
        <f>IF(CB22=1,Tính!M58+1+(45-20)/1000000,-1)</f>
        <v>-1</v>
      </c>
      <c r="CD22" t="str">
        <f>IF(LARGE($CC$3:$CC$47,20)&lt;0,"",MATCH(LARGE($CC$3:$CC$47,20),$CC$3:$CC$47,0))</f>
        <v/>
      </c>
    </row>
    <row r="23" spans="1:82" x14ac:dyDescent="0.3">
      <c r="A23" s="54" t="str">
        <f>IF($BK$16="C","NHÓM CHÍNH",IF($BK$16="V","NHÓM VƯỢT TRỘI",IF($BL$16="","",INDEX($BA$3:$BA$22,INDEX($BJ$3:$BJ$22,$BL$16)))))</f>
        <v/>
      </c>
      <c r="B23" s="52"/>
      <c r="C23" s="26" t="str">
        <f>IF($BL$16="","",INDEX($BC$3:$BC$22,INDEX($BJ$3:$BJ$22,$BL$16)))</f>
        <v/>
      </c>
      <c r="D23" s="26" t="str">
        <f>IF($BL$16="","",INDEX($BD$3:$BD$22,INDEX($BJ$3:$BJ$22,$BL$16)))</f>
        <v/>
      </c>
      <c r="E23" s="27" t="str">
        <f>IF($BL$16="","",IF(C23&gt;0,D23/C23,1))</f>
        <v/>
      </c>
      <c r="F23" s="27" t="str">
        <f>IF($BK$16="C",COUNTIFS($BB$3:$BB$22,"Chính",$BG$3:$BG$22,"&gt;=0.995")&amp;"/"&amp;$BK$1,IF($BK$16="V",COUNTIFS($BB$3:$BB$22,"Vượt trội",$BG$3:$BG$22,"&gt;=0.995")&amp;"/"&amp;$BL$1,IF($BL$16="","",INDEX($BG$3:$BG$22,INDEX($BJ$3:$BJ$22,$BL$16)))))</f>
        <v/>
      </c>
      <c r="H23" s="29" t="str">
        <f t="shared" si="2"/>
        <v/>
      </c>
      <c r="I23" s="12" t="str">
        <f>IF($AX23=0,"Nhân viên",IF($AX23=1,INDEX(Tính!$F$39:$F$83,INDEX($CD$3:$CD$47,$AY23))&amp;" · "&amp;INDEX(Tính!$O$39:$O$83,INDEX($CD$3:$CD$47,$AY23)),IF($AX23=3,"Nhóm hàng",IF($AX23=4,INDEX($BA$3:$BA$22,INDEX($BJ$3:$BJ$22,$AY23)),IF($AX23=5,"Số nhóm đạt",IF($AX23=7,"NHÓM CHÍNH",IF($AX23=8,"NHÓM VƯỢT TRỘI","")))))))</f>
        <v/>
      </c>
      <c r="J23" s="30" t="str">
        <f>IF($AX23=0,"Mục tiêu",IF($AX23=1,FIXED(INDEX(Tính!$J$39:$J$83,INDEX($CD$3:$CD$47,$AY23)),0),IF($AX23=3,"Cả shop",IF($AX23=4,INDEX($BG$3:$BG$22,INDEX($BJ$3:$BJ$22,$AY23)),IF($AX23=5,COUNTIF($BG$3:$BG$22,"&gt;=0.995")&amp;"/"&amp;COUNTIF($BA$3:$BA$22,"?*"),IF($AX23=7,COUNTIFS($BB$3:$BB$22,"Chính",$BG$3:$BG$22,"&gt;=0.995")&amp;"/"&amp;$BK$1,IF($AX23=8,COUNTIFS($BB$3:$BB$22,"Vượt trội",$BG$3:$BG$22,"&gt;=0.995")&amp;"/"&amp;$BL$1,"")))))))</f>
        <v/>
      </c>
      <c r="K23" s="30" t="str">
        <f>IF($AX23=0,"DT QĐ",IF($AX23=1,FIXED(INDEX(Tính!$K$39:$K$83,INDEX($CD$3:$CD$47,$AY23)),1),IF($AX23=3,IF($CD$3="","",INDEX(Tính!$F$39:$F$83,$CD$3)),IF($AX23=4,IF($CD$3="","",INDEX(Tính!$C$182:$V$226,$CD$3,INDEX($BJ$3:$BJ$22,$AY23))),IF($AX23=5,IF($CD$3="","",INDEX(Tính!$P$39:$P$83,$CD$3)&amp;"/"&amp;COUNTIF($BA$3:$BA$22,"?*")),IF($AX23=7,IF($CD$3="","",INDEX(Tính!$Q$39:$Q$83,$CD$3)&amp;"/"&amp;$BK$1),IF($AX23=8,IF($CD$3="","",INDEX(Tính!$R$39:$R$83,$CD$3)&amp;"/"&amp;$BL$1),"")))))))</f>
        <v/>
      </c>
      <c r="L23" s="31" t="str">
        <f>IF($AX23=0,"% HT",IF($AX23=1,INDEX(Tính!$N$39:$N$83,INDEX($CD$3:$CD$47,$AY23)),IF($AX23=3,IF($CD$4="","",INDEX(Tính!$F$39:$F$83,$CD$4)),IF($AX23=4,IF($CD$4="","",INDEX(Tính!$C$182:$V$226,$CD$4,INDEX($BJ$3:$BJ$22,$AY23))),IF($AX23=5,IF($CD$4="","",INDEX(Tính!$P$39:$P$83,$CD$4)&amp;"/"&amp;COUNTIF($BA$3:$BA$22,"?*")),IF($AX23=7,IF($CD$4="","",INDEX(Tính!$Q$39:$Q$83,$CD$4)&amp;"/"&amp;$BK$1),IF($AX23=8,IF($CD$4="","",INDEX(Tính!$R$39:$R$83,$CD$4)&amp;"/"&amp;$BL$1),"")))))))</f>
        <v/>
      </c>
      <c r="M23" s="31" t="str">
        <f>IF($AX23=0,"Dự kiến",IF($AX23=1,INDEX(Tính!$M$39:$M$83,INDEX($CD$3:$CD$47,$AY23)),IF($AX23=3,IF($CD$5="","",INDEX(Tính!$F$39:$F$83,$CD$5)),IF($AX23=4,IF($CD$5="","",INDEX(Tính!$C$182:$V$226,$CD$5,INDEX($BJ$3:$BJ$22,$AY23))),IF($AX23=5,IF($CD$5="","",INDEX(Tính!$P$39:$P$83,$CD$5)&amp;"/"&amp;COUNTIF($BA$3:$BA$22,"?*")),IF($AX23=7,IF($CD$5="","",INDEX(Tính!$Q$39:$Q$83,$CD$5)&amp;"/"&amp;$BK$1),IF($AX23=8,IF($CD$5="","",INDEX(Tính!$R$39:$R$83,$CD$5)&amp;"/"&amp;$BL$1),"")))))))</f>
        <v/>
      </c>
      <c r="N23" s="31" t="str">
        <f>IF($AX23=0,"NH đạt",IF($AX23=1,INDEX(Tính!$P$39:$P$83,INDEX($CD$3:$CD$47,$AY23))&amp;"/"&amp;COUNTIF($BA$3:$BA$22,"?*"),IF($AX23=3,IF($CD$6="","",INDEX(Tính!$F$39:$F$83,$CD$6)),IF($AX23=4,IF($CD$6="","",INDEX(Tính!$C$182:$V$226,$CD$6,INDEX($BJ$3:$BJ$22,$AY23))),IF($AX23=5,IF($CD$6="","",INDEX(Tính!$P$39:$P$83,$CD$6)&amp;"/"&amp;COUNTIF($BA$3:$BA$22,"?*")),IF($AX23=7,IF($CD$6="","",INDEX(Tính!$Q$39:$Q$83,$CD$6)&amp;"/"&amp;$BK$1),IF($AX23=8,IF($CD$6="","",INDEX(Tính!$R$39:$R$83,$CD$6)&amp;"/"&amp;$BL$1),"")))))))</f>
        <v/>
      </c>
      <c r="O23" s="31" t="str">
        <f>IF($AX23=3,IF($CD$7="","",INDEX(Tính!$F$39:$F$83,$CD$7)),IF($AX23=4,IF($CD$7="","",INDEX(Tính!$C$182:$V$226,$CD$7,INDEX($BJ$3:$BJ$22,$AY23))),IF($AX23=5,IF($CD$7="","",INDEX(Tính!$P$39:$P$83,$CD$7)&amp;"/"&amp;COUNTIF($BA$3:$BA$22,"?*")),IF($AX23=7,IF($CD$7="","",INDEX(Tính!$Q$39:$Q$83,$CD$7)&amp;"/"&amp;$BK$1),IF($AX23=8,IF($CD$7="","",INDEX(Tính!$R$39:$R$83,$CD$7)&amp;"/"&amp;$BL$1),"")))))</f>
        <v/>
      </c>
      <c r="P23" s="31" t="str">
        <f>IF($AX23=3,IF($CD$8="","",INDEX(Tính!$F$39:$F$83,$CD$8)),IF($AX23=4,IF($CD$8="","",INDEX(Tính!$C$182:$V$226,$CD$8,INDEX($BJ$3:$BJ$22,$AY23))),IF($AX23=5,IF($CD$8="","",INDEX(Tính!$P$39:$P$83,$CD$8)&amp;"/"&amp;COUNTIF($BA$3:$BA$22,"?*")),IF($AX23=7,IF($CD$8="","",INDEX(Tính!$Q$39:$Q$83,$CD$8)&amp;"/"&amp;$BK$1),IF($AX23=8,IF($CD$8="","",INDEX(Tính!$R$39:$R$83,$CD$8)&amp;"/"&amp;$BL$1),"")))))</f>
        <v/>
      </c>
      <c r="Q23" s="31" t="str">
        <f>IF($AX23=3,IF($CD$9="","",INDEX(Tính!$F$39:$F$83,$CD$9)),IF($AX23=4,IF($CD$9="","",INDEX(Tính!$C$182:$V$226,$CD$9,INDEX($BJ$3:$BJ$22,$AY23))),IF($AX23=5,IF($CD$9="","",INDEX(Tính!$P$39:$P$83,$CD$9)&amp;"/"&amp;COUNTIF($BA$3:$BA$22,"?*")),IF($AX23=7,IF($CD$9="","",INDEX(Tính!$Q$39:$Q$83,$CD$9)&amp;"/"&amp;$BK$1),IF($AX23=8,IF($CD$9="","",INDEX(Tính!$R$39:$R$83,$CD$9)&amp;"/"&amp;$BL$1),"")))))</f>
        <v/>
      </c>
      <c r="R23" s="31" t="str">
        <f>IF($AX23=3,IF($CD$10="","",INDEX(Tính!$F$39:$F$83,$CD$10)),IF($AX23=4,IF($CD$10="","",INDEX(Tính!$C$182:$V$226,$CD$10,INDEX($BJ$3:$BJ$22,$AY23))),IF($AX23=5,IF($CD$10="","",INDEX(Tính!$P$39:$P$83,$CD$10)&amp;"/"&amp;COUNTIF($BA$3:$BA$22,"?*")),IF($AX23=7,IF($CD$10="","",INDEX(Tính!$Q$39:$Q$83,$CD$10)&amp;"/"&amp;$BK$1),IF($AX23=8,IF($CD$10="","",INDEX(Tính!$R$39:$R$83,$CD$10)&amp;"/"&amp;$BL$1),"")))))</f>
        <v/>
      </c>
      <c r="S23" s="31" t="str">
        <f>IF($AX23=3,IF($CD$11="","",INDEX(Tính!$F$39:$F$83,$CD$11)),IF($AX23=4,IF($CD$11="","",INDEX(Tính!$C$182:$V$226,$CD$11,INDEX($BJ$3:$BJ$22,$AY23))),IF($AX23=5,IF($CD$11="","",INDEX(Tính!$P$39:$P$83,$CD$11)&amp;"/"&amp;COUNTIF($BA$3:$BA$22,"?*")),IF($AX23=7,IF($CD$11="","",INDEX(Tính!$Q$39:$Q$83,$CD$11)&amp;"/"&amp;$BK$1),IF($AX23=8,IF($CD$11="","",INDEX(Tính!$R$39:$R$83,$CD$11)&amp;"/"&amp;$BL$1),"")))))</f>
        <v/>
      </c>
      <c r="T23" s="31" t="str">
        <f>IF($AX23=3,IF($CD$12="","",INDEX(Tính!$F$39:$F$83,$CD$12)),IF($AX23=4,IF($CD$12="","",INDEX(Tính!$C$182:$V$226,$CD$12,INDEX($BJ$3:$BJ$22,$AY23))),IF($AX23=5,IF($CD$12="","",INDEX(Tính!$P$39:$P$83,$CD$12)&amp;"/"&amp;COUNTIF($BA$3:$BA$22,"?*")),IF($AX23=7,IF($CD$12="","",INDEX(Tính!$Q$39:$Q$83,$CD$12)&amp;"/"&amp;$BK$1),IF($AX23=8,IF($CD$12="","",INDEX(Tính!$R$39:$R$83,$CD$12)&amp;"/"&amp;$BL$1),"")))))</f>
        <v/>
      </c>
      <c r="U23" s="31" t="str">
        <f>IF($AX23=3,IF($CD$13="","",INDEX(Tính!$F$39:$F$83,$CD$13)),IF($AX23=4,IF($CD$13="","",INDEX(Tính!$C$182:$V$226,$CD$13,INDEX($BJ$3:$BJ$22,$AY23))),IF($AX23=5,IF($CD$13="","",INDEX(Tính!$P$39:$P$83,$CD$13)&amp;"/"&amp;COUNTIF($BA$3:$BA$22,"?*")),IF($AX23=7,IF($CD$13="","",INDEX(Tính!$Q$39:$Q$83,$CD$13)&amp;"/"&amp;$BK$1),IF($AX23=8,IF($CD$13="","",INDEX(Tính!$R$39:$R$83,$CD$13)&amp;"/"&amp;$BL$1),"")))))</f>
        <v/>
      </c>
      <c r="V23" s="31" t="str">
        <f>IF($AX23=3,IF($CD$14="","",INDEX(Tính!$F$39:$F$83,$CD$14)),IF($AX23=4,IF($CD$14="","",INDEX(Tính!$C$182:$V$226,$CD$14,INDEX($BJ$3:$BJ$22,$AY23))),IF($AX23=5,IF($CD$14="","",INDEX(Tính!$P$39:$P$83,$CD$14)&amp;"/"&amp;COUNTIF($BA$3:$BA$22,"?*")),IF($AX23=7,IF($CD$14="","",INDEX(Tính!$Q$39:$Q$83,$CD$14)&amp;"/"&amp;$BK$1),IF($AX23=8,IF($CD$14="","",INDEX(Tính!$R$39:$R$83,$CD$14)&amp;"/"&amp;$BL$1),"")))))</f>
        <v/>
      </c>
      <c r="W23" s="31" t="str">
        <f>IF($AX23=3,IF($CD$15="","",INDEX(Tính!$F$39:$F$83,$CD$15)),IF($AX23=4,IF($CD$15="","",INDEX(Tính!$C$182:$V$226,$CD$15,INDEX($BJ$3:$BJ$22,$AY23))),IF($AX23=5,IF($CD$15="","",INDEX(Tính!$P$39:$P$83,$CD$15)&amp;"/"&amp;COUNTIF($BA$3:$BA$22,"?*")),IF($AX23=7,IF($CD$15="","",INDEX(Tính!$Q$39:$Q$83,$CD$15)&amp;"/"&amp;$BK$1),IF($AX23=8,IF($CD$15="","",INDEX(Tính!$R$39:$R$83,$CD$15)&amp;"/"&amp;$BL$1),"")))))</f>
        <v/>
      </c>
      <c r="X23" s="31" t="str">
        <f>IF($AX23=3,IF($CD$16="","",INDEX(Tính!$F$39:$F$83,$CD$16)),IF($AX23=4,IF($CD$16="","",INDEX(Tính!$C$182:$V$226,$CD$16,INDEX($BJ$3:$BJ$22,$AY23))),IF($AX23=5,IF($CD$16="","",INDEX(Tính!$P$39:$P$83,$CD$16)&amp;"/"&amp;COUNTIF($BA$3:$BA$22,"?*")),IF($AX23=7,IF($CD$16="","",INDEX(Tính!$Q$39:$Q$83,$CD$16)&amp;"/"&amp;$BK$1),IF($AX23=8,IF($CD$16="","",INDEX(Tính!$R$39:$R$83,$CD$16)&amp;"/"&amp;$BL$1),"")))))</f>
        <v/>
      </c>
      <c r="Y23" s="31" t="str">
        <f>IF($AX23=3,IF($CD$17="","",INDEX(Tính!$F$39:$F$83,$CD$17)),IF($AX23=4,IF($CD$17="","",INDEX(Tính!$C$182:$V$226,$CD$17,INDEX($BJ$3:$BJ$22,$AY23))),IF($AX23=5,IF($CD$17="","",INDEX(Tính!$P$39:$P$83,$CD$17)&amp;"/"&amp;COUNTIF($BA$3:$BA$22,"?*")),IF($AX23=7,IF($CD$17="","",INDEX(Tính!$Q$39:$Q$83,$CD$17)&amp;"/"&amp;$BK$1),IF($AX23=8,IF($CD$17="","",INDEX(Tính!$R$39:$R$83,$CD$17)&amp;"/"&amp;$BL$1),"")))))</f>
        <v/>
      </c>
      <c r="Z23" s="31" t="str">
        <f>IF($AX23=3,IF($CD$18="","",INDEX(Tính!$F$39:$F$83,$CD$18)),IF($AX23=4,IF($CD$18="","",INDEX(Tính!$C$182:$V$226,$CD$18,INDEX($BJ$3:$BJ$22,$AY23))),IF($AX23=5,IF($CD$18="","",INDEX(Tính!$P$39:$P$83,$CD$18)&amp;"/"&amp;COUNTIF($BA$3:$BA$22,"?*")),IF($AX23=7,IF($CD$18="","",INDEX(Tính!$Q$39:$Q$83,$CD$18)&amp;"/"&amp;$BK$1),IF($AX23=8,IF($CD$18="","",INDEX(Tính!$R$39:$R$83,$CD$18)&amp;"/"&amp;$BL$1),"")))))</f>
        <v/>
      </c>
      <c r="AA23" s="31" t="str">
        <f>IF($AX23=3,IF($CD$19="","",INDEX(Tính!$F$39:$F$83,$CD$19)),IF($AX23=4,IF($CD$19="","",INDEX(Tính!$C$182:$V$226,$CD$19,INDEX($BJ$3:$BJ$22,$AY23))),IF($AX23=5,IF($CD$19="","",INDEX(Tính!$P$39:$P$83,$CD$19)&amp;"/"&amp;COUNTIF($BA$3:$BA$22,"?*")),IF($AX23=7,IF($CD$19="","",INDEX(Tính!$Q$39:$Q$83,$CD$19)&amp;"/"&amp;$BK$1),IF($AX23=8,IF($CD$19="","",INDEX(Tính!$R$39:$R$83,$CD$19)&amp;"/"&amp;$BL$1),"")))))</f>
        <v/>
      </c>
      <c r="AB23" s="31" t="str">
        <f>IF($AX23=3,IF($CD$20="","",INDEX(Tính!$F$39:$F$83,$CD$20)),IF($AX23=4,IF($CD$20="","",INDEX(Tính!$C$182:$V$226,$CD$20,INDEX($BJ$3:$BJ$22,$AY23))),IF($AX23=5,IF($CD$20="","",INDEX(Tính!$P$39:$P$83,$CD$20)&amp;"/"&amp;COUNTIF($BA$3:$BA$22,"?*")),IF($AX23=7,IF($CD$20="","",INDEX(Tính!$Q$39:$Q$83,$CD$20)&amp;"/"&amp;$BK$1),IF($AX23=8,IF($CD$20="","",INDEX(Tính!$R$39:$R$83,$CD$20)&amp;"/"&amp;$BL$1),"")))))</f>
        <v/>
      </c>
      <c r="AC23" s="31" t="str">
        <f>IF($AX23=3,IF($CD$21="","",INDEX(Tính!$F$39:$F$83,$CD$21)),IF($AX23=4,IF($CD$21="","",INDEX(Tính!$C$182:$V$226,$CD$21,INDEX($BJ$3:$BJ$22,$AY23))),IF($AX23=5,IF($CD$21="","",INDEX(Tính!$P$39:$P$83,$CD$21)&amp;"/"&amp;COUNTIF($BA$3:$BA$22,"?*")),IF($AX23=7,IF($CD$21="","",INDEX(Tính!$Q$39:$Q$83,$CD$21)&amp;"/"&amp;$BK$1),IF($AX23=8,IF($CD$21="","",INDEX(Tính!$R$39:$R$83,$CD$21)&amp;"/"&amp;$BL$1),"")))))</f>
        <v/>
      </c>
      <c r="AD23" s="31" t="str">
        <f>IF($AX23=3,IF($CD$22="","",INDEX(Tính!$F$39:$F$83,$CD$22)),IF($AX23=4,IF($CD$22="","",INDEX(Tính!$C$182:$V$226,$CD$22,INDEX($BJ$3:$BJ$22,$AY23))),IF($AX23=5,IF($CD$22="","",INDEX(Tính!$P$39:$P$83,$CD$22)&amp;"/"&amp;COUNTIF($BA$3:$BA$22,"?*")),IF($AX23=7,IF($CD$22="","",INDEX(Tính!$Q$39:$Q$83,$CD$22)&amp;"/"&amp;$BK$1),IF($AX23=8,IF($CD$22="","",INDEX(Tính!$R$39:$R$83,$CD$22)&amp;"/"&amp;$BL$1),"")))))</f>
        <v/>
      </c>
      <c r="AW23" t="str">
        <f>$BK$16</f>
        <v/>
      </c>
      <c r="AX23">
        <f>IF(19=0,0,IF(19&lt;=$AX$1,1,IF(19=$AX$1+1,2,IF(19=$AX$1+2,3,IF((19-$AX$1-2)&lt;=$AX$3,IF(INDEX($BK$3:$BK$24,(19-$AX$1-2))="C",7,IF(INDEX($BK$3:$BK$24,(19-$AX$1-2))="V",8,4)),IF((19-$AX$1-2)=$AX$3+1,5,6))))))</f>
        <v>6</v>
      </c>
      <c r="AY23">
        <f>IF(AX23=1,19,IF(AX23=4,INDEX($BL$3:$BL$24,(19-$AX$1-2)),0))</f>
        <v>0</v>
      </c>
      <c r="BK23" t="str">
        <f>IF(21=1,IF($BK$1&gt;0,"C",""),IF(21&lt;=$BK$1+1,"g",IF(21=$BK$1+2,IF($BL$1&gt;0,"V",""),IF(21&lt;=$BK$1+2+$BL$1,"g",""))))</f>
        <v/>
      </c>
      <c r="BL23" t="str">
        <f>IF(BK23="g",IF(21&lt;=$BK$1+1,21-1,21-2),"")</f>
        <v/>
      </c>
      <c r="CA23">
        <v>21</v>
      </c>
      <c r="CB23">
        <f>IF(Tính!B59="",0,IF(OR($AZ$1=0,Tính!D59=$AZ$1),1,0))</f>
        <v>0</v>
      </c>
      <c r="CC23">
        <f>IF(CB23=1,Tính!M59+1+(45-21)/1000000,-1)</f>
        <v>-1</v>
      </c>
      <c r="CD23" t="str">
        <f>IF(LARGE($CC$3:$CC$47,21)&lt;0,"",MATCH(LARGE($CC$3:$CC$47,21),$CC$3:$CC$47,0))</f>
        <v/>
      </c>
    </row>
    <row r="24" spans="1:82" x14ac:dyDescent="0.3">
      <c r="A24" s="54" t="str">
        <f>IF($BK$17="C","NHÓM CHÍNH",IF($BK$17="V","NHÓM VƯỢT TRỘI",IF($BL$17="","",INDEX($BA$3:$BA$22,INDEX($BJ$3:$BJ$22,$BL$17)))))</f>
        <v/>
      </c>
      <c r="B24" s="52"/>
      <c r="C24" s="26" t="str">
        <f>IF($BL$17="","",INDEX($BC$3:$BC$22,INDEX($BJ$3:$BJ$22,$BL$17)))</f>
        <v/>
      </c>
      <c r="D24" s="26" t="str">
        <f>IF($BL$17="","",INDEX($BD$3:$BD$22,INDEX($BJ$3:$BJ$22,$BL$17)))</f>
        <v/>
      </c>
      <c r="E24" s="27" t="str">
        <f>IF($BL$17="","",IF(C24&gt;0,D24/C24,1))</f>
        <v/>
      </c>
      <c r="F24" s="27" t="str">
        <f>IF($BK$17="C",COUNTIFS($BB$3:$BB$22,"Chính",$BG$3:$BG$22,"&gt;=0.995")&amp;"/"&amp;$BK$1,IF($BK$17="V",COUNTIFS($BB$3:$BB$22,"Vượt trội",$BG$3:$BG$22,"&gt;=0.995")&amp;"/"&amp;$BL$1,IF($BL$17="","",INDEX($BG$3:$BG$22,INDEX($BJ$3:$BJ$22,$BL$17)))))</f>
        <v/>
      </c>
      <c r="H24" s="29" t="str">
        <f t="shared" si="2"/>
        <v/>
      </c>
      <c r="I24" s="12" t="str">
        <f>IF($AX24=0,"Nhân viên",IF($AX24=1,INDEX(Tính!$F$39:$F$83,INDEX($CD$3:$CD$47,$AY24))&amp;" · "&amp;INDEX(Tính!$O$39:$O$83,INDEX($CD$3:$CD$47,$AY24)),IF($AX24=3,"Nhóm hàng",IF($AX24=4,INDEX($BA$3:$BA$22,INDEX($BJ$3:$BJ$22,$AY24)),IF($AX24=5,"Số nhóm đạt",IF($AX24=7,"NHÓM CHÍNH",IF($AX24=8,"NHÓM VƯỢT TRỘI","")))))))</f>
        <v/>
      </c>
      <c r="J24" s="30" t="str">
        <f>IF($AX24=0,"Mục tiêu",IF($AX24=1,FIXED(INDEX(Tính!$J$39:$J$83,INDEX($CD$3:$CD$47,$AY24)),0),IF($AX24=3,"Cả shop",IF($AX24=4,INDEX($BG$3:$BG$22,INDEX($BJ$3:$BJ$22,$AY24)),IF($AX24=5,COUNTIF($BG$3:$BG$22,"&gt;=0.995")&amp;"/"&amp;COUNTIF($BA$3:$BA$22,"?*"),IF($AX24=7,COUNTIFS($BB$3:$BB$22,"Chính",$BG$3:$BG$22,"&gt;=0.995")&amp;"/"&amp;$BK$1,IF($AX24=8,COUNTIFS($BB$3:$BB$22,"Vượt trội",$BG$3:$BG$22,"&gt;=0.995")&amp;"/"&amp;$BL$1,"")))))))</f>
        <v/>
      </c>
      <c r="K24" s="30" t="str">
        <f>IF($AX24=0,"DT QĐ",IF($AX24=1,FIXED(INDEX(Tính!$K$39:$K$83,INDEX($CD$3:$CD$47,$AY24)),1),IF($AX24=3,IF($CD$3="","",INDEX(Tính!$F$39:$F$83,$CD$3)),IF($AX24=4,IF($CD$3="","",INDEX(Tính!$C$182:$V$226,$CD$3,INDEX($BJ$3:$BJ$22,$AY24))),IF($AX24=5,IF($CD$3="","",INDEX(Tính!$P$39:$P$83,$CD$3)&amp;"/"&amp;COUNTIF($BA$3:$BA$22,"?*")),IF($AX24=7,IF($CD$3="","",INDEX(Tính!$Q$39:$Q$83,$CD$3)&amp;"/"&amp;$BK$1),IF($AX24=8,IF($CD$3="","",INDEX(Tính!$R$39:$R$83,$CD$3)&amp;"/"&amp;$BL$1),"")))))))</f>
        <v/>
      </c>
      <c r="L24" s="31" t="str">
        <f>IF($AX24=0,"% HT",IF($AX24=1,INDEX(Tính!$N$39:$N$83,INDEX($CD$3:$CD$47,$AY24)),IF($AX24=3,IF($CD$4="","",INDEX(Tính!$F$39:$F$83,$CD$4)),IF($AX24=4,IF($CD$4="","",INDEX(Tính!$C$182:$V$226,$CD$4,INDEX($BJ$3:$BJ$22,$AY24))),IF($AX24=5,IF($CD$4="","",INDEX(Tính!$P$39:$P$83,$CD$4)&amp;"/"&amp;COUNTIF($BA$3:$BA$22,"?*")),IF($AX24=7,IF($CD$4="","",INDEX(Tính!$Q$39:$Q$83,$CD$4)&amp;"/"&amp;$BK$1),IF($AX24=8,IF($CD$4="","",INDEX(Tính!$R$39:$R$83,$CD$4)&amp;"/"&amp;$BL$1),"")))))))</f>
        <v/>
      </c>
      <c r="M24" s="31" t="str">
        <f>IF($AX24=0,"Dự kiến",IF($AX24=1,INDEX(Tính!$M$39:$M$83,INDEX($CD$3:$CD$47,$AY24)),IF($AX24=3,IF($CD$5="","",INDEX(Tính!$F$39:$F$83,$CD$5)),IF($AX24=4,IF($CD$5="","",INDEX(Tính!$C$182:$V$226,$CD$5,INDEX($BJ$3:$BJ$22,$AY24))),IF($AX24=5,IF($CD$5="","",INDEX(Tính!$P$39:$P$83,$CD$5)&amp;"/"&amp;COUNTIF($BA$3:$BA$22,"?*")),IF($AX24=7,IF($CD$5="","",INDEX(Tính!$Q$39:$Q$83,$CD$5)&amp;"/"&amp;$BK$1),IF($AX24=8,IF($CD$5="","",INDEX(Tính!$R$39:$R$83,$CD$5)&amp;"/"&amp;$BL$1),"")))))))</f>
        <v/>
      </c>
      <c r="N24" s="31" t="str">
        <f>IF($AX24=0,"NH đạt",IF($AX24=1,INDEX(Tính!$P$39:$P$83,INDEX($CD$3:$CD$47,$AY24))&amp;"/"&amp;COUNTIF($BA$3:$BA$22,"?*"),IF($AX24=3,IF($CD$6="","",INDEX(Tính!$F$39:$F$83,$CD$6)),IF($AX24=4,IF($CD$6="","",INDEX(Tính!$C$182:$V$226,$CD$6,INDEX($BJ$3:$BJ$22,$AY24))),IF($AX24=5,IF($CD$6="","",INDEX(Tính!$P$39:$P$83,$CD$6)&amp;"/"&amp;COUNTIF($BA$3:$BA$22,"?*")),IF($AX24=7,IF($CD$6="","",INDEX(Tính!$Q$39:$Q$83,$CD$6)&amp;"/"&amp;$BK$1),IF($AX24=8,IF($CD$6="","",INDEX(Tính!$R$39:$R$83,$CD$6)&amp;"/"&amp;$BL$1),"")))))))</f>
        <v/>
      </c>
      <c r="O24" s="31" t="str">
        <f>IF($AX24=3,IF($CD$7="","",INDEX(Tính!$F$39:$F$83,$CD$7)),IF($AX24=4,IF($CD$7="","",INDEX(Tính!$C$182:$V$226,$CD$7,INDEX($BJ$3:$BJ$22,$AY24))),IF($AX24=5,IF($CD$7="","",INDEX(Tính!$P$39:$P$83,$CD$7)&amp;"/"&amp;COUNTIF($BA$3:$BA$22,"?*")),IF($AX24=7,IF($CD$7="","",INDEX(Tính!$Q$39:$Q$83,$CD$7)&amp;"/"&amp;$BK$1),IF($AX24=8,IF($CD$7="","",INDEX(Tính!$R$39:$R$83,$CD$7)&amp;"/"&amp;$BL$1),"")))))</f>
        <v/>
      </c>
      <c r="P24" s="31" t="str">
        <f>IF($AX24=3,IF($CD$8="","",INDEX(Tính!$F$39:$F$83,$CD$8)),IF($AX24=4,IF($CD$8="","",INDEX(Tính!$C$182:$V$226,$CD$8,INDEX($BJ$3:$BJ$22,$AY24))),IF($AX24=5,IF($CD$8="","",INDEX(Tính!$P$39:$P$83,$CD$8)&amp;"/"&amp;COUNTIF($BA$3:$BA$22,"?*")),IF($AX24=7,IF($CD$8="","",INDEX(Tính!$Q$39:$Q$83,$CD$8)&amp;"/"&amp;$BK$1),IF($AX24=8,IF($CD$8="","",INDEX(Tính!$R$39:$R$83,$CD$8)&amp;"/"&amp;$BL$1),"")))))</f>
        <v/>
      </c>
      <c r="Q24" s="31" t="str">
        <f>IF($AX24=3,IF($CD$9="","",INDEX(Tính!$F$39:$F$83,$CD$9)),IF($AX24=4,IF($CD$9="","",INDEX(Tính!$C$182:$V$226,$CD$9,INDEX($BJ$3:$BJ$22,$AY24))),IF($AX24=5,IF($CD$9="","",INDEX(Tính!$P$39:$P$83,$CD$9)&amp;"/"&amp;COUNTIF($BA$3:$BA$22,"?*")),IF($AX24=7,IF($CD$9="","",INDEX(Tính!$Q$39:$Q$83,$CD$9)&amp;"/"&amp;$BK$1),IF($AX24=8,IF($CD$9="","",INDEX(Tính!$R$39:$R$83,$CD$9)&amp;"/"&amp;$BL$1),"")))))</f>
        <v/>
      </c>
      <c r="R24" s="31" t="str">
        <f>IF($AX24=3,IF($CD$10="","",INDEX(Tính!$F$39:$F$83,$CD$10)),IF($AX24=4,IF($CD$10="","",INDEX(Tính!$C$182:$V$226,$CD$10,INDEX($BJ$3:$BJ$22,$AY24))),IF($AX24=5,IF($CD$10="","",INDEX(Tính!$P$39:$P$83,$CD$10)&amp;"/"&amp;COUNTIF($BA$3:$BA$22,"?*")),IF($AX24=7,IF($CD$10="","",INDEX(Tính!$Q$39:$Q$83,$CD$10)&amp;"/"&amp;$BK$1),IF($AX24=8,IF($CD$10="","",INDEX(Tính!$R$39:$R$83,$CD$10)&amp;"/"&amp;$BL$1),"")))))</f>
        <v/>
      </c>
      <c r="S24" s="31" t="str">
        <f>IF($AX24=3,IF($CD$11="","",INDEX(Tính!$F$39:$F$83,$CD$11)),IF($AX24=4,IF($CD$11="","",INDEX(Tính!$C$182:$V$226,$CD$11,INDEX($BJ$3:$BJ$22,$AY24))),IF($AX24=5,IF($CD$11="","",INDEX(Tính!$P$39:$P$83,$CD$11)&amp;"/"&amp;COUNTIF($BA$3:$BA$22,"?*")),IF($AX24=7,IF($CD$11="","",INDEX(Tính!$Q$39:$Q$83,$CD$11)&amp;"/"&amp;$BK$1),IF($AX24=8,IF($CD$11="","",INDEX(Tính!$R$39:$R$83,$CD$11)&amp;"/"&amp;$BL$1),"")))))</f>
        <v/>
      </c>
      <c r="T24" s="31" t="str">
        <f>IF($AX24=3,IF($CD$12="","",INDEX(Tính!$F$39:$F$83,$CD$12)),IF($AX24=4,IF($CD$12="","",INDEX(Tính!$C$182:$V$226,$CD$12,INDEX($BJ$3:$BJ$22,$AY24))),IF($AX24=5,IF($CD$12="","",INDEX(Tính!$P$39:$P$83,$CD$12)&amp;"/"&amp;COUNTIF($BA$3:$BA$22,"?*")),IF($AX24=7,IF($CD$12="","",INDEX(Tính!$Q$39:$Q$83,$CD$12)&amp;"/"&amp;$BK$1),IF($AX24=8,IF($CD$12="","",INDEX(Tính!$R$39:$R$83,$CD$12)&amp;"/"&amp;$BL$1),"")))))</f>
        <v/>
      </c>
      <c r="U24" s="31" t="str">
        <f>IF($AX24=3,IF($CD$13="","",INDEX(Tính!$F$39:$F$83,$CD$13)),IF($AX24=4,IF($CD$13="","",INDEX(Tính!$C$182:$V$226,$CD$13,INDEX($BJ$3:$BJ$22,$AY24))),IF($AX24=5,IF($CD$13="","",INDEX(Tính!$P$39:$P$83,$CD$13)&amp;"/"&amp;COUNTIF($BA$3:$BA$22,"?*")),IF($AX24=7,IF($CD$13="","",INDEX(Tính!$Q$39:$Q$83,$CD$13)&amp;"/"&amp;$BK$1),IF($AX24=8,IF($CD$13="","",INDEX(Tính!$R$39:$R$83,$CD$13)&amp;"/"&amp;$BL$1),"")))))</f>
        <v/>
      </c>
      <c r="V24" s="31" t="str">
        <f>IF($AX24=3,IF($CD$14="","",INDEX(Tính!$F$39:$F$83,$CD$14)),IF($AX24=4,IF($CD$14="","",INDEX(Tính!$C$182:$V$226,$CD$14,INDEX($BJ$3:$BJ$22,$AY24))),IF($AX24=5,IF($CD$14="","",INDEX(Tính!$P$39:$P$83,$CD$14)&amp;"/"&amp;COUNTIF($BA$3:$BA$22,"?*")),IF($AX24=7,IF($CD$14="","",INDEX(Tính!$Q$39:$Q$83,$CD$14)&amp;"/"&amp;$BK$1),IF($AX24=8,IF($CD$14="","",INDEX(Tính!$R$39:$R$83,$CD$14)&amp;"/"&amp;$BL$1),"")))))</f>
        <v/>
      </c>
      <c r="W24" s="31" t="str">
        <f>IF($AX24=3,IF($CD$15="","",INDEX(Tính!$F$39:$F$83,$CD$15)),IF($AX24=4,IF($CD$15="","",INDEX(Tính!$C$182:$V$226,$CD$15,INDEX($BJ$3:$BJ$22,$AY24))),IF($AX24=5,IF($CD$15="","",INDEX(Tính!$P$39:$P$83,$CD$15)&amp;"/"&amp;COUNTIF($BA$3:$BA$22,"?*")),IF($AX24=7,IF($CD$15="","",INDEX(Tính!$Q$39:$Q$83,$CD$15)&amp;"/"&amp;$BK$1),IF($AX24=8,IF($CD$15="","",INDEX(Tính!$R$39:$R$83,$CD$15)&amp;"/"&amp;$BL$1),"")))))</f>
        <v/>
      </c>
      <c r="X24" s="31" t="str">
        <f>IF($AX24=3,IF($CD$16="","",INDEX(Tính!$F$39:$F$83,$CD$16)),IF($AX24=4,IF($CD$16="","",INDEX(Tính!$C$182:$V$226,$CD$16,INDEX($BJ$3:$BJ$22,$AY24))),IF($AX24=5,IF($CD$16="","",INDEX(Tính!$P$39:$P$83,$CD$16)&amp;"/"&amp;COUNTIF($BA$3:$BA$22,"?*")),IF($AX24=7,IF($CD$16="","",INDEX(Tính!$Q$39:$Q$83,$CD$16)&amp;"/"&amp;$BK$1),IF($AX24=8,IF($CD$16="","",INDEX(Tính!$R$39:$R$83,$CD$16)&amp;"/"&amp;$BL$1),"")))))</f>
        <v/>
      </c>
      <c r="Y24" s="31" t="str">
        <f>IF($AX24=3,IF($CD$17="","",INDEX(Tính!$F$39:$F$83,$CD$17)),IF($AX24=4,IF($CD$17="","",INDEX(Tính!$C$182:$V$226,$CD$17,INDEX($BJ$3:$BJ$22,$AY24))),IF($AX24=5,IF($CD$17="","",INDEX(Tính!$P$39:$P$83,$CD$17)&amp;"/"&amp;COUNTIF($BA$3:$BA$22,"?*")),IF($AX24=7,IF($CD$17="","",INDEX(Tính!$Q$39:$Q$83,$CD$17)&amp;"/"&amp;$BK$1),IF($AX24=8,IF($CD$17="","",INDEX(Tính!$R$39:$R$83,$CD$17)&amp;"/"&amp;$BL$1),"")))))</f>
        <v/>
      </c>
      <c r="Z24" s="31" t="str">
        <f>IF($AX24=3,IF($CD$18="","",INDEX(Tính!$F$39:$F$83,$CD$18)),IF($AX24=4,IF($CD$18="","",INDEX(Tính!$C$182:$V$226,$CD$18,INDEX($BJ$3:$BJ$22,$AY24))),IF($AX24=5,IF($CD$18="","",INDEX(Tính!$P$39:$P$83,$CD$18)&amp;"/"&amp;COUNTIF($BA$3:$BA$22,"?*")),IF($AX24=7,IF($CD$18="","",INDEX(Tính!$Q$39:$Q$83,$CD$18)&amp;"/"&amp;$BK$1),IF($AX24=8,IF($CD$18="","",INDEX(Tính!$R$39:$R$83,$CD$18)&amp;"/"&amp;$BL$1),"")))))</f>
        <v/>
      </c>
      <c r="AA24" s="31" t="str">
        <f>IF($AX24=3,IF($CD$19="","",INDEX(Tính!$F$39:$F$83,$CD$19)),IF($AX24=4,IF($CD$19="","",INDEX(Tính!$C$182:$V$226,$CD$19,INDEX($BJ$3:$BJ$22,$AY24))),IF($AX24=5,IF($CD$19="","",INDEX(Tính!$P$39:$P$83,$CD$19)&amp;"/"&amp;COUNTIF($BA$3:$BA$22,"?*")),IF($AX24=7,IF($CD$19="","",INDEX(Tính!$Q$39:$Q$83,$CD$19)&amp;"/"&amp;$BK$1),IF($AX24=8,IF($CD$19="","",INDEX(Tính!$R$39:$R$83,$CD$19)&amp;"/"&amp;$BL$1),"")))))</f>
        <v/>
      </c>
      <c r="AB24" s="31" t="str">
        <f>IF($AX24=3,IF($CD$20="","",INDEX(Tính!$F$39:$F$83,$CD$20)),IF($AX24=4,IF($CD$20="","",INDEX(Tính!$C$182:$V$226,$CD$20,INDEX($BJ$3:$BJ$22,$AY24))),IF($AX24=5,IF($CD$20="","",INDEX(Tính!$P$39:$P$83,$CD$20)&amp;"/"&amp;COUNTIF($BA$3:$BA$22,"?*")),IF($AX24=7,IF($CD$20="","",INDEX(Tính!$Q$39:$Q$83,$CD$20)&amp;"/"&amp;$BK$1),IF($AX24=8,IF($CD$20="","",INDEX(Tính!$R$39:$R$83,$CD$20)&amp;"/"&amp;$BL$1),"")))))</f>
        <v/>
      </c>
      <c r="AC24" s="31" t="str">
        <f>IF($AX24=3,IF($CD$21="","",INDEX(Tính!$F$39:$F$83,$CD$21)),IF($AX24=4,IF($CD$21="","",INDEX(Tính!$C$182:$V$226,$CD$21,INDEX($BJ$3:$BJ$22,$AY24))),IF($AX24=5,IF($CD$21="","",INDEX(Tính!$P$39:$P$83,$CD$21)&amp;"/"&amp;COUNTIF($BA$3:$BA$22,"?*")),IF($AX24=7,IF($CD$21="","",INDEX(Tính!$Q$39:$Q$83,$CD$21)&amp;"/"&amp;$BK$1),IF($AX24=8,IF($CD$21="","",INDEX(Tính!$R$39:$R$83,$CD$21)&amp;"/"&amp;$BL$1),"")))))</f>
        <v/>
      </c>
      <c r="AD24" s="31" t="str">
        <f>IF($AX24=3,IF($CD$22="","",INDEX(Tính!$F$39:$F$83,$CD$22)),IF($AX24=4,IF($CD$22="","",INDEX(Tính!$C$182:$V$226,$CD$22,INDEX($BJ$3:$BJ$22,$AY24))),IF($AX24=5,IF($CD$22="","",INDEX(Tính!$P$39:$P$83,$CD$22)&amp;"/"&amp;COUNTIF($BA$3:$BA$22,"?*")),IF($AX24=7,IF($CD$22="","",INDEX(Tính!$Q$39:$Q$83,$CD$22)&amp;"/"&amp;$BK$1),IF($AX24=8,IF($CD$22="","",INDEX(Tính!$R$39:$R$83,$CD$22)&amp;"/"&amp;$BL$1),"")))))</f>
        <v/>
      </c>
      <c r="AW24" t="str">
        <f>$BK$17</f>
        <v/>
      </c>
      <c r="AX24">
        <f>IF(20=0,0,IF(20&lt;=$AX$1,1,IF(20=$AX$1+1,2,IF(20=$AX$1+2,3,IF((20-$AX$1-2)&lt;=$AX$3,IF(INDEX($BK$3:$BK$24,(20-$AX$1-2))="C",7,IF(INDEX($BK$3:$BK$24,(20-$AX$1-2))="V",8,4)),IF((20-$AX$1-2)=$AX$3+1,5,6))))))</f>
        <v>6</v>
      </c>
      <c r="AY24">
        <f>IF(AX24=1,20,IF(AX24=4,INDEX($BL$3:$BL$24,(20-$AX$1-2)),0))</f>
        <v>0</v>
      </c>
      <c r="BK24" t="str">
        <f>IF(22=1,IF($BK$1&gt;0,"C",""),IF(22&lt;=$BK$1+1,"g",IF(22=$BK$1+2,IF($BL$1&gt;0,"V",""),IF(22&lt;=$BK$1+2+$BL$1,"g",""))))</f>
        <v/>
      </c>
      <c r="BL24" t="str">
        <f>IF(BK24="g",IF(22&lt;=$BK$1+1,22-1,22-2),"")</f>
        <v/>
      </c>
      <c r="CA24">
        <v>22</v>
      </c>
      <c r="CB24">
        <f>IF(Tính!B60="",0,IF(OR($AZ$1=0,Tính!D60=$AZ$1),1,0))</f>
        <v>0</v>
      </c>
      <c r="CC24">
        <f>IF(CB24=1,Tính!M60+1+(45-22)/1000000,-1)</f>
        <v>-1</v>
      </c>
      <c r="CD24" t="str">
        <f>IF(LARGE($CC$3:$CC$47,22)&lt;0,"",MATCH(LARGE($CC$3:$CC$47,22),$CC$3:$CC$47,0))</f>
        <v/>
      </c>
    </row>
    <row r="25" spans="1:82" x14ac:dyDescent="0.3">
      <c r="A25" s="54" t="str">
        <f>IF($BK$18="C","NHÓM CHÍNH",IF($BK$18="V","NHÓM VƯỢT TRỘI",IF($BL$18="","",INDEX($BA$3:$BA$22,INDEX($BJ$3:$BJ$22,$BL$18)))))</f>
        <v/>
      </c>
      <c r="B25" s="52"/>
      <c r="C25" s="26" t="str">
        <f>IF($BL$18="","",INDEX($BC$3:$BC$22,INDEX($BJ$3:$BJ$22,$BL$18)))</f>
        <v/>
      </c>
      <c r="D25" s="26" t="str">
        <f>IF($BL$18="","",INDEX($BD$3:$BD$22,INDEX($BJ$3:$BJ$22,$BL$18)))</f>
        <v/>
      </c>
      <c r="E25" s="27" t="str">
        <f>IF($BL$18="","",IF(C25&gt;0,D25/C25,1))</f>
        <v/>
      </c>
      <c r="F25" s="27" t="str">
        <f>IF($BK$18="C",COUNTIFS($BB$3:$BB$22,"Chính",$BG$3:$BG$22,"&gt;=0.995")&amp;"/"&amp;$BK$1,IF($BK$18="V",COUNTIFS($BB$3:$BB$22,"Vượt trội",$BG$3:$BG$22,"&gt;=0.995")&amp;"/"&amp;$BL$1,IF($BL$18="","",INDEX($BG$3:$BG$22,INDEX($BJ$3:$BJ$22,$BL$18)))))</f>
        <v/>
      </c>
      <c r="H25" s="29" t="str">
        <f t="shared" si="2"/>
        <v/>
      </c>
      <c r="I25" s="12" t="str">
        <f>IF($AX25=0,"Nhân viên",IF($AX25=1,INDEX(Tính!$F$39:$F$83,INDEX($CD$3:$CD$47,$AY25))&amp;" · "&amp;INDEX(Tính!$O$39:$O$83,INDEX($CD$3:$CD$47,$AY25)),IF($AX25=3,"Nhóm hàng",IF($AX25=4,INDEX($BA$3:$BA$22,INDEX($BJ$3:$BJ$22,$AY25)),IF($AX25=5,"Số nhóm đạt",IF($AX25=7,"NHÓM CHÍNH",IF($AX25=8,"NHÓM VƯỢT TRỘI","")))))))</f>
        <v/>
      </c>
      <c r="J25" s="30" t="str">
        <f>IF($AX25=0,"Mục tiêu",IF($AX25=1,FIXED(INDEX(Tính!$J$39:$J$83,INDEX($CD$3:$CD$47,$AY25)),0),IF($AX25=3,"Cả shop",IF($AX25=4,INDEX($BG$3:$BG$22,INDEX($BJ$3:$BJ$22,$AY25)),IF($AX25=5,COUNTIF($BG$3:$BG$22,"&gt;=0.995")&amp;"/"&amp;COUNTIF($BA$3:$BA$22,"?*"),IF($AX25=7,COUNTIFS($BB$3:$BB$22,"Chính",$BG$3:$BG$22,"&gt;=0.995")&amp;"/"&amp;$BK$1,IF($AX25=8,COUNTIFS($BB$3:$BB$22,"Vượt trội",$BG$3:$BG$22,"&gt;=0.995")&amp;"/"&amp;$BL$1,"")))))))</f>
        <v/>
      </c>
      <c r="K25" s="30" t="str">
        <f>IF($AX25=0,"DT QĐ",IF($AX25=1,FIXED(INDEX(Tính!$K$39:$K$83,INDEX($CD$3:$CD$47,$AY25)),1),IF($AX25=3,IF($CD$3="","",INDEX(Tính!$F$39:$F$83,$CD$3)),IF($AX25=4,IF($CD$3="","",INDEX(Tính!$C$182:$V$226,$CD$3,INDEX($BJ$3:$BJ$22,$AY25))),IF($AX25=5,IF($CD$3="","",INDEX(Tính!$P$39:$P$83,$CD$3)&amp;"/"&amp;COUNTIF($BA$3:$BA$22,"?*")),IF($AX25=7,IF($CD$3="","",INDEX(Tính!$Q$39:$Q$83,$CD$3)&amp;"/"&amp;$BK$1),IF($AX25=8,IF($CD$3="","",INDEX(Tính!$R$39:$R$83,$CD$3)&amp;"/"&amp;$BL$1),"")))))))</f>
        <v/>
      </c>
      <c r="L25" s="31" t="str">
        <f>IF($AX25=0,"% HT",IF($AX25=1,INDEX(Tính!$N$39:$N$83,INDEX($CD$3:$CD$47,$AY25)),IF($AX25=3,IF($CD$4="","",INDEX(Tính!$F$39:$F$83,$CD$4)),IF($AX25=4,IF($CD$4="","",INDEX(Tính!$C$182:$V$226,$CD$4,INDEX($BJ$3:$BJ$22,$AY25))),IF($AX25=5,IF($CD$4="","",INDEX(Tính!$P$39:$P$83,$CD$4)&amp;"/"&amp;COUNTIF($BA$3:$BA$22,"?*")),IF($AX25=7,IF($CD$4="","",INDEX(Tính!$Q$39:$Q$83,$CD$4)&amp;"/"&amp;$BK$1),IF($AX25=8,IF($CD$4="","",INDEX(Tính!$R$39:$R$83,$CD$4)&amp;"/"&amp;$BL$1),"")))))))</f>
        <v/>
      </c>
      <c r="M25" s="31" t="str">
        <f>IF($AX25=0,"Dự kiến",IF($AX25=1,INDEX(Tính!$M$39:$M$83,INDEX($CD$3:$CD$47,$AY25)),IF($AX25=3,IF($CD$5="","",INDEX(Tính!$F$39:$F$83,$CD$5)),IF($AX25=4,IF($CD$5="","",INDEX(Tính!$C$182:$V$226,$CD$5,INDEX($BJ$3:$BJ$22,$AY25))),IF($AX25=5,IF($CD$5="","",INDEX(Tính!$P$39:$P$83,$CD$5)&amp;"/"&amp;COUNTIF($BA$3:$BA$22,"?*")),IF($AX25=7,IF($CD$5="","",INDEX(Tính!$Q$39:$Q$83,$CD$5)&amp;"/"&amp;$BK$1),IF($AX25=8,IF($CD$5="","",INDEX(Tính!$R$39:$R$83,$CD$5)&amp;"/"&amp;$BL$1),"")))))))</f>
        <v/>
      </c>
      <c r="N25" s="31" t="str">
        <f>IF($AX25=0,"NH đạt",IF($AX25=1,INDEX(Tính!$P$39:$P$83,INDEX($CD$3:$CD$47,$AY25))&amp;"/"&amp;COUNTIF($BA$3:$BA$22,"?*"),IF($AX25=3,IF($CD$6="","",INDEX(Tính!$F$39:$F$83,$CD$6)),IF($AX25=4,IF($CD$6="","",INDEX(Tính!$C$182:$V$226,$CD$6,INDEX($BJ$3:$BJ$22,$AY25))),IF($AX25=5,IF($CD$6="","",INDEX(Tính!$P$39:$P$83,$CD$6)&amp;"/"&amp;COUNTIF($BA$3:$BA$22,"?*")),IF($AX25=7,IF($CD$6="","",INDEX(Tính!$Q$39:$Q$83,$CD$6)&amp;"/"&amp;$BK$1),IF($AX25=8,IF($CD$6="","",INDEX(Tính!$R$39:$R$83,$CD$6)&amp;"/"&amp;$BL$1),"")))))))</f>
        <v/>
      </c>
      <c r="O25" s="31" t="str">
        <f>IF($AX25=3,IF($CD$7="","",INDEX(Tính!$F$39:$F$83,$CD$7)),IF($AX25=4,IF($CD$7="","",INDEX(Tính!$C$182:$V$226,$CD$7,INDEX($BJ$3:$BJ$22,$AY25))),IF($AX25=5,IF($CD$7="","",INDEX(Tính!$P$39:$P$83,$CD$7)&amp;"/"&amp;COUNTIF($BA$3:$BA$22,"?*")),IF($AX25=7,IF($CD$7="","",INDEX(Tính!$Q$39:$Q$83,$CD$7)&amp;"/"&amp;$BK$1),IF($AX25=8,IF($CD$7="","",INDEX(Tính!$R$39:$R$83,$CD$7)&amp;"/"&amp;$BL$1),"")))))</f>
        <v/>
      </c>
      <c r="P25" s="31" t="str">
        <f>IF($AX25=3,IF($CD$8="","",INDEX(Tính!$F$39:$F$83,$CD$8)),IF($AX25=4,IF($CD$8="","",INDEX(Tính!$C$182:$V$226,$CD$8,INDEX($BJ$3:$BJ$22,$AY25))),IF($AX25=5,IF($CD$8="","",INDEX(Tính!$P$39:$P$83,$CD$8)&amp;"/"&amp;COUNTIF($BA$3:$BA$22,"?*")),IF($AX25=7,IF($CD$8="","",INDEX(Tính!$Q$39:$Q$83,$CD$8)&amp;"/"&amp;$BK$1),IF($AX25=8,IF($CD$8="","",INDEX(Tính!$R$39:$R$83,$CD$8)&amp;"/"&amp;$BL$1),"")))))</f>
        <v/>
      </c>
      <c r="Q25" s="31" t="str">
        <f>IF($AX25=3,IF($CD$9="","",INDEX(Tính!$F$39:$F$83,$CD$9)),IF($AX25=4,IF($CD$9="","",INDEX(Tính!$C$182:$V$226,$CD$9,INDEX($BJ$3:$BJ$22,$AY25))),IF($AX25=5,IF($CD$9="","",INDEX(Tính!$P$39:$P$83,$CD$9)&amp;"/"&amp;COUNTIF($BA$3:$BA$22,"?*")),IF($AX25=7,IF($CD$9="","",INDEX(Tính!$Q$39:$Q$83,$CD$9)&amp;"/"&amp;$BK$1),IF($AX25=8,IF($CD$9="","",INDEX(Tính!$R$39:$R$83,$CD$9)&amp;"/"&amp;$BL$1),"")))))</f>
        <v/>
      </c>
      <c r="R25" s="31" t="str">
        <f>IF($AX25=3,IF($CD$10="","",INDEX(Tính!$F$39:$F$83,$CD$10)),IF($AX25=4,IF($CD$10="","",INDEX(Tính!$C$182:$V$226,$CD$10,INDEX($BJ$3:$BJ$22,$AY25))),IF($AX25=5,IF($CD$10="","",INDEX(Tính!$P$39:$P$83,$CD$10)&amp;"/"&amp;COUNTIF($BA$3:$BA$22,"?*")),IF($AX25=7,IF($CD$10="","",INDEX(Tính!$Q$39:$Q$83,$CD$10)&amp;"/"&amp;$BK$1),IF($AX25=8,IF($CD$10="","",INDEX(Tính!$R$39:$R$83,$CD$10)&amp;"/"&amp;$BL$1),"")))))</f>
        <v/>
      </c>
      <c r="S25" s="31" t="str">
        <f>IF($AX25=3,IF($CD$11="","",INDEX(Tính!$F$39:$F$83,$CD$11)),IF($AX25=4,IF($CD$11="","",INDEX(Tính!$C$182:$V$226,$CD$11,INDEX($BJ$3:$BJ$22,$AY25))),IF($AX25=5,IF($CD$11="","",INDEX(Tính!$P$39:$P$83,$CD$11)&amp;"/"&amp;COUNTIF($BA$3:$BA$22,"?*")),IF($AX25=7,IF($CD$11="","",INDEX(Tính!$Q$39:$Q$83,$CD$11)&amp;"/"&amp;$BK$1),IF($AX25=8,IF($CD$11="","",INDEX(Tính!$R$39:$R$83,$CD$11)&amp;"/"&amp;$BL$1),"")))))</f>
        <v/>
      </c>
      <c r="T25" s="31" t="str">
        <f>IF($AX25=3,IF($CD$12="","",INDEX(Tính!$F$39:$F$83,$CD$12)),IF($AX25=4,IF($CD$12="","",INDEX(Tính!$C$182:$V$226,$CD$12,INDEX($BJ$3:$BJ$22,$AY25))),IF($AX25=5,IF($CD$12="","",INDEX(Tính!$P$39:$P$83,$CD$12)&amp;"/"&amp;COUNTIF($BA$3:$BA$22,"?*")),IF($AX25=7,IF($CD$12="","",INDEX(Tính!$Q$39:$Q$83,$CD$12)&amp;"/"&amp;$BK$1),IF($AX25=8,IF($CD$12="","",INDEX(Tính!$R$39:$R$83,$CD$12)&amp;"/"&amp;$BL$1),"")))))</f>
        <v/>
      </c>
      <c r="U25" s="31" t="str">
        <f>IF($AX25=3,IF($CD$13="","",INDEX(Tính!$F$39:$F$83,$CD$13)),IF($AX25=4,IF($CD$13="","",INDEX(Tính!$C$182:$V$226,$CD$13,INDEX($BJ$3:$BJ$22,$AY25))),IF($AX25=5,IF($CD$13="","",INDEX(Tính!$P$39:$P$83,$CD$13)&amp;"/"&amp;COUNTIF($BA$3:$BA$22,"?*")),IF($AX25=7,IF($CD$13="","",INDEX(Tính!$Q$39:$Q$83,$CD$13)&amp;"/"&amp;$BK$1),IF($AX25=8,IF($CD$13="","",INDEX(Tính!$R$39:$R$83,$CD$13)&amp;"/"&amp;$BL$1),"")))))</f>
        <v/>
      </c>
      <c r="V25" s="31" t="str">
        <f>IF($AX25=3,IF($CD$14="","",INDEX(Tính!$F$39:$F$83,$CD$14)),IF($AX25=4,IF($CD$14="","",INDEX(Tính!$C$182:$V$226,$CD$14,INDEX($BJ$3:$BJ$22,$AY25))),IF($AX25=5,IF($CD$14="","",INDEX(Tính!$P$39:$P$83,$CD$14)&amp;"/"&amp;COUNTIF($BA$3:$BA$22,"?*")),IF($AX25=7,IF($CD$14="","",INDEX(Tính!$Q$39:$Q$83,$CD$14)&amp;"/"&amp;$BK$1),IF($AX25=8,IF($CD$14="","",INDEX(Tính!$R$39:$R$83,$CD$14)&amp;"/"&amp;$BL$1),"")))))</f>
        <v/>
      </c>
      <c r="W25" s="31" t="str">
        <f>IF($AX25=3,IF($CD$15="","",INDEX(Tính!$F$39:$F$83,$CD$15)),IF($AX25=4,IF($CD$15="","",INDEX(Tính!$C$182:$V$226,$CD$15,INDEX($BJ$3:$BJ$22,$AY25))),IF($AX25=5,IF($CD$15="","",INDEX(Tính!$P$39:$P$83,$CD$15)&amp;"/"&amp;COUNTIF($BA$3:$BA$22,"?*")),IF($AX25=7,IF($CD$15="","",INDEX(Tính!$Q$39:$Q$83,$CD$15)&amp;"/"&amp;$BK$1),IF($AX25=8,IF($CD$15="","",INDEX(Tính!$R$39:$R$83,$CD$15)&amp;"/"&amp;$BL$1),"")))))</f>
        <v/>
      </c>
      <c r="X25" s="31" t="str">
        <f>IF($AX25=3,IF($CD$16="","",INDEX(Tính!$F$39:$F$83,$CD$16)),IF($AX25=4,IF($CD$16="","",INDEX(Tính!$C$182:$V$226,$CD$16,INDEX($BJ$3:$BJ$22,$AY25))),IF($AX25=5,IF($CD$16="","",INDEX(Tính!$P$39:$P$83,$CD$16)&amp;"/"&amp;COUNTIF($BA$3:$BA$22,"?*")),IF($AX25=7,IF($CD$16="","",INDEX(Tính!$Q$39:$Q$83,$CD$16)&amp;"/"&amp;$BK$1),IF($AX25=8,IF($CD$16="","",INDEX(Tính!$R$39:$R$83,$CD$16)&amp;"/"&amp;$BL$1),"")))))</f>
        <v/>
      </c>
      <c r="Y25" s="31" t="str">
        <f>IF($AX25=3,IF($CD$17="","",INDEX(Tính!$F$39:$F$83,$CD$17)),IF($AX25=4,IF($CD$17="","",INDEX(Tính!$C$182:$V$226,$CD$17,INDEX($BJ$3:$BJ$22,$AY25))),IF($AX25=5,IF($CD$17="","",INDEX(Tính!$P$39:$P$83,$CD$17)&amp;"/"&amp;COUNTIF($BA$3:$BA$22,"?*")),IF($AX25=7,IF($CD$17="","",INDEX(Tính!$Q$39:$Q$83,$CD$17)&amp;"/"&amp;$BK$1),IF($AX25=8,IF($CD$17="","",INDEX(Tính!$R$39:$R$83,$CD$17)&amp;"/"&amp;$BL$1),"")))))</f>
        <v/>
      </c>
      <c r="Z25" s="31" t="str">
        <f>IF($AX25=3,IF($CD$18="","",INDEX(Tính!$F$39:$F$83,$CD$18)),IF($AX25=4,IF($CD$18="","",INDEX(Tính!$C$182:$V$226,$CD$18,INDEX($BJ$3:$BJ$22,$AY25))),IF($AX25=5,IF($CD$18="","",INDEX(Tính!$P$39:$P$83,$CD$18)&amp;"/"&amp;COUNTIF($BA$3:$BA$22,"?*")),IF($AX25=7,IF($CD$18="","",INDEX(Tính!$Q$39:$Q$83,$CD$18)&amp;"/"&amp;$BK$1),IF($AX25=8,IF($CD$18="","",INDEX(Tính!$R$39:$R$83,$CD$18)&amp;"/"&amp;$BL$1),"")))))</f>
        <v/>
      </c>
      <c r="AA25" s="31" t="str">
        <f>IF($AX25=3,IF($CD$19="","",INDEX(Tính!$F$39:$F$83,$CD$19)),IF($AX25=4,IF($CD$19="","",INDEX(Tính!$C$182:$V$226,$CD$19,INDEX($BJ$3:$BJ$22,$AY25))),IF($AX25=5,IF($CD$19="","",INDEX(Tính!$P$39:$P$83,$CD$19)&amp;"/"&amp;COUNTIF($BA$3:$BA$22,"?*")),IF($AX25=7,IF($CD$19="","",INDEX(Tính!$Q$39:$Q$83,$CD$19)&amp;"/"&amp;$BK$1),IF($AX25=8,IF($CD$19="","",INDEX(Tính!$R$39:$R$83,$CD$19)&amp;"/"&amp;$BL$1),"")))))</f>
        <v/>
      </c>
      <c r="AB25" s="31" t="str">
        <f>IF($AX25=3,IF($CD$20="","",INDEX(Tính!$F$39:$F$83,$CD$20)),IF($AX25=4,IF($CD$20="","",INDEX(Tính!$C$182:$V$226,$CD$20,INDEX($BJ$3:$BJ$22,$AY25))),IF($AX25=5,IF($CD$20="","",INDEX(Tính!$P$39:$P$83,$CD$20)&amp;"/"&amp;COUNTIF($BA$3:$BA$22,"?*")),IF($AX25=7,IF($CD$20="","",INDEX(Tính!$Q$39:$Q$83,$CD$20)&amp;"/"&amp;$BK$1),IF($AX25=8,IF($CD$20="","",INDEX(Tính!$R$39:$R$83,$CD$20)&amp;"/"&amp;$BL$1),"")))))</f>
        <v/>
      </c>
      <c r="AC25" s="31" t="str">
        <f>IF($AX25=3,IF($CD$21="","",INDEX(Tính!$F$39:$F$83,$CD$21)),IF($AX25=4,IF($CD$21="","",INDEX(Tính!$C$182:$V$226,$CD$21,INDEX($BJ$3:$BJ$22,$AY25))),IF($AX25=5,IF($CD$21="","",INDEX(Tính!$P$39:$P$83,$CD$21)&amp;"/"&amp;COUNTIF($BA$3:$BA$22,"?*")),IF($AX25=7,IF($CD$21="","",INDEX(Tính!$Q$39:$Q$83,$CD$21)&amp;"/"&amp;$BK$1),IF($AX25=8,IF($CD$21="","",INDEX(Tính!$R$39:$R$83,$CD$21)&amp;"/"&amp;$BL$1),"")))))</f>
        <v/>
      </c>
      <c r="AD25" s="31" t="str">
        <f>IF($AX25=3,IF($CD$22="","",INDEX(Tính!$F$39:$F$83,$CD$22)),IF($AX25=4,IF($CD$22="","",INDEX(Tính!$C$182:$V$226,$CD$22,INDEX($BJ$3:$BJ$22,$AY25))),IF($AX25=5,IF($CD$22="","",INDEX(Tính!$P$39:$P$83,$CD$22)&amp;"/"&amp;COUNTIF($BA$3:$BA$22,"?*")),IF($AX25=7,IF($CD$22="","",INDEX(Tính!$Q$39:$Q$83,$CD$22)&amp;"/"&amp;$BK$1),IF($AX25=8,IF($CD$22="","",INDEX(Tính!$R$39:$R$83,$CD$22)&amp;"/"&amp;$BL$1),"")))))</f>
        <v/>
      </c>
      <c r="AW25" t="str">
        <f>$BK$18</f>
        <v/>
      </c>
      <c r="AX25">
        <f>IF(21=0,0,IF(21&lt;=$AX$1,1,IF(21=$AX$1+1,2,IF(21=$AX$1+2,3,IF((21-$AX$1-2)&lt;=$AX$3,IF(INDEX($BK$3:$BK$24,(21-$AX$1-2))="C",7,IF(INDEX($BK$3:$BK$24,(21-$AX$1-2))="V",8,4)),IF((21-$AX$1-2)=$AX$3+1,5,6))))))</f>
        <v>6</v>
      </c>
      <c r="AY25">
        <f>IF(AX25=1,21,IF(AX25=4,INDEX($BL$3:$BL$24,(21-$AX$1-2)),0))</f>
        <v>0</v>
      </c>
      <c r="CA25">
        <v>23</v>
      </c>
      <c r="CB25">
        <f>IF(Tính!B61="",0,IF(OR($AZ$1=0,Tính!D61=$AZ$1),1,0))</f>
        <v>0</v>
      </c>
      <c r="CC25">
        <f>IF(CB25=1,Tính!M61+1+(45-23)/1000000,-1)</f>
        <v>-1</v>
      </c>
      <c r="CD25" t="str">
        <f>IF(LARGE($CC$3:$CC$47,23)&lt;0,"",MATCH(LARGE($CC$3:$CC$47,23),$CC$3:$CC$47,0))</f>
        <v/>
      </c>
    </row>
    <row r="26" spans="1:82" x14ac:dyDescent="0.3">
      <c r="A26" s="54" t="str">
        <f>IF($BK$19="C","NHÓM CHÍNH",IF($BK$19="V","NHÓM VƯỢT TRỘI",IF($BL$19="","",INDEX($BA$3:$BA$22,INDEX($BJ$3:$BJ$22,$BL$19)))))</f>
        <v/>
      </c>
      <c r="B26" s="52"/>
      <c r="C26" s="26" t="str">
        <f>IF($BL$19="","",INDEX($BC$3:$BC$22,INDEX($BJ$3:$BJ$22,$BL$19)))</f>
        <v/>
      </c>
      <c r="D26" s="26" t="str">
        <f>IF($BL$19="","",INDEX($BD$3:$BD$22,INDEX($BJ$3:$BJ$22,$BL$19)))</f>
        <v/>
      </c>
      <c r="E26" s="27" t="str">
        <f>IF($BL$19="","",IF(C26&gt;0,D26/C26,1))</f>
        <v/>
      </c>
      <c r="F26" s="27" t="str">
        <f>IF($BK$19="C",COUNTIFS($BB$3:$BB$22,"Chính",$BG$3:$BG$22,"&gt;=0.995")&amp;"/"&amp;$BK$1,IF($BK$19="V",COUNTIFS($BB$3:$BB$22,"Vượt trội",$BG$3:$BG$22,"&gt;=0.995")&amp;"/"&amp;$BL$1,IF($BL$19="","",INDEX($BG$3:$BG$22,INDEX($BJ$3:$BJ$22,$BL$19)))))</f>
        <v/>
      </c>
      <c r="H26" s="29" t="str">
        <f t="shared" si="2"/>
        <v/>
      </c>
      <c r="I26" s="12" t="str">
        <f>IF($AX26=0,"Nhân viên",IF($AX26=1,INDEX(Tính!$F$39:$F$83,INDEX($CD$3:$CD$47,$AY26))&amp;" · "&amp;INDEX(Tính!$O$39:$O$83,INDEX($CD$3:$CD$47,$AY26)),IF($AX26=3,"Nhóm hàng",IF($AX26=4,INDEX($BA$3:$BA$22,INDEX($BJ$3:$BJ$22,$AY26)),IF($AX26=5,"Số nhóm đạt",IF($AX26=7,"NHÓM CHÍNH",IF($AX26=8,"NHÓM VƯỢT TRỘI","")))))))</f>
        <v/>
      </c>
      <c r="J26" s="30" t="str">
        <f>IF($AX26=0,"Mục tiêu",IF($AX26=1,FIXED(INDEX(Tính!$J$39:$J$83,INDEX($CD$3:$CD$47,$AY26)),0),IF($AX26=3,"Cả shop",IF($AX26=4,INDEX($BG$3:$BG$22,INDEX($BJ$3:$BJ$22,$AY26)),IF($AX26=5,COUNTIF($BG$3:$BG$22,"&gt;=0.995")&amp;"/"&amp;COUNTIF($BA$3:$BA$22,"?*"),IF($AX26=7,COUNTIFS($BB$3:$BB$22,"Chính",$BG$3:$BG$22,"&gt;=0.995")&amp;"/"&amp;$BK$1,IF($AX26=8,COUNTIFS($BB$3:$BB$22,"Vượt trội",$BG$3:$BG$22,"&gt;=0.995")&amp;"/"&amp;$BL$1,"")))))))</f>
        <v/>
      </c>
      <c r="K26" s="30" t="str">
        <f>IF($AX26=0,"DT QĐ",IF($AX26=1,FIXED(INDEX(Tính!$K$39:$K$83,INDEX($CD$3:$CD$47,$AY26)),1),IF($AX26=3,IF($CD$3="","",INDEX(Tính!$F$39:$F$83,$CD$3)),IF($AX26=4,IF($CD$3="","",INDEX(Tính!$C$182:$V$226,$CD$3,INDEX($BJ$3:$BJ$22,$AY26))),IF($AX26=5,IF($CD$3="","",INDEX(Tính!$P$39:$P$83,$CD$3)&amp;"/"&amp;COUNTIF($BA$3:$BA$22,"?*")),IF($AX26=7,IF($CD$3="","",INDEX(Tính!$Q$39:$Q$83,$CD$3)&amp;"/"&amp;$BK$1),IF($AX26=8,IF($CD$3="","",INDEX(Tính!$R$39:$R$83,$CD$3)&amp;"/"&amp;$BL$1),"")))))))</f>
        <v/>
      </c>
      <c r="L26" s="31" t="str">
        <f>IF($AX26=0,"% HT",IF($AX26=1,INDEX(Tính!$N$39:$N$83,INDEX($CD$3:$CD$47,$AY26)),IF($AX26=3,IF($CD$4="","",INDEX(Tính!$F$39:$F$83,$CD$4)),IF($AX26=4,IF($CD$4="","",INDEX(Tính!$C$182:$V$226,$CD$4,INDEX($BJ$3:$BJ$22,$AY26))),IF($AX26=5,IF($CD$4="","",INDEX(Tính!$P$39:$P$83,$CD$4)&amp;"/"&amp;COUNTIF($BA$3:$BA$22,"?*")),IF($AX26=7,IF($CD$4="","",INDEX(Tính!$Q$39:$Q$83,$CD$4)&amp;"/"&amp;$BK$1),IF($AX26=8,IF($CD$4="","",INDEX(Tính!$R$39:$R$83,$CD$4)&amp;"/"&amp;$BL$1),"")))))))</f>
        <v/>
      </c>
      <c r="M26" s="31" t="str">
        <f>IF($AX26=0,"Dự kiến",IF($AX26=1,INDEX(Tính!$M$39:$M$83,INDEX($CD$3:$CD$47,$AY26)),IF($AX26=3,IF($CD$5="","",INDEX(Tính!$F$39:$F$83,$CD$5)),IF($AX26=4,IF($CD$5="","",INDEX(Tính!$C$182:$V$226,$CD$5,INDEX($BJ$3:$BJ$22,$AY26))),IF($AX26=5,IF($CD$5="","",INDEX(Tính!$P$39:$P$83,$CD$5)&amp;"/"&amp;COUNTIF($BA$3:$BA$22,"?*")),IF($AX26=7,IF($CD$5="","",INDEX(Tính!$Q$39:$Q$83,$CD$5)&amp;"/"&amp;$BK$1),IF($AX26=8,IF($CD$5="","",INDEX(Tính!$R$39:$R$83,$CD$5)&amp;"/"&amp;$BL$1),"")))))))</f>
        <v/>
      </c>
      <c r="N26" s="31" t="str">
        <f>IF($AX26=0,"NH đạt",IF($AX26=1,INDEX(Tính!$P$39:$P$83,INDEX($CD$3:$CD$47,$AY26))&amp;"/"&amp;COUNTIF($BA$3:$BA$22,"?*"),IF($AX26=3,IF($CD$6="","",INDEX(Tính!$F$39:$F$83,$CD$6)),IF($AX26=4,IF($CD$6="","",INDEX(Tính!$C$182:$V$226,$CD$6,INDEX($BJ$3:$BJ$22,$AY26))),IF($AX26=5,IF($CD$6="","",INDEX(Tính!$P$39:$P$83,$CD$6)&amp;"/"&amp;COUNTIF($BA$3:$BA$22,"?*")),IF($AX26=7,IF($CD$6="","",INDEX(Tính!$Q$39:$Q$83,$CD$6)&amp;"/"&amp;$BK$1),IF($AX26=8,IF($CD$6="","",INDEX(Tính!$R$39:$R$83,$CD$6)&amp;"/"&amp;$BL$1),"")))))))</f>
        <v/>
      </c>
      <c r="O26" s="31" t="str">
        <f>IF($AX26=3,IF($CD$7="","",INDEX(Tính!$F$39:$F$83,$CD$7)),IF($AX26=4,IF($CD$7="","",INDEX(Tính!$C$182:$V$226,$CD$7,INDEX($BJ$3:$BJ$22,$AY26))),IF($AX26=5,IF($CD$7="","",INDEX(Tính!$P$39:$P$83,$CD$7)&amp;"/"&amp;COUNTIF($BA$3:$BA$22,"?*")),IF($AX26=7,IF($CD$7="","",INDEX(Tính!$Q$39:$Q$83,$CD$7)&amp;"/"&amp;$BK$1),IF($AX26=8,IF($CD$7="","",INDEX(Tính!$R$39:$R$83,$CD$7)&amp;"/"&amp;$BL$1),"")))))</f>
        <v/>
      </c>
      <c r="P26" s="31" t="str">
        <f>IF($AX26=3,IF($CD$8="","",INDEX(Tính!$F$39:$F$83,$CD$8)),IF($AX26=4,IF($CD$8="","",INDEX(Tính!$C$182:$V$226,$CD$8,INDEX($BJ$3:$BJ$22,$AY26))),IF($AX26=5,IF($CD$8="","",INDEX(Tính!$P$39:$P$83,$CD$8)&amp;"/"&amp;COUNTIF($BA$3:$BA$22,"?*")),IF($AX26=7,IF($CD$8="","",INDEX(Tính!$Q$39:$Q$83,$CD$8)&amp;"/"&amp;$BK$1),IF($AX26=8,IF($CD$8="","",INDEX(Tính!$R$39:$R$83,$CD$8)&amp;"/"&amp;$BL$1),"")))))</f>
        <v/>
      </c>
      <c r="Q26" s="31" t="str">
        <f>IF($AX26=3,IF($CD$9="","",INDEX(Tính!$F$39:$F$83,$CD$9)),IF($AX26=4,IF($CD$9="","",INDEX(Tính!$C$182:$V$226,$CD$9,INDEX($BJ$3:$BJ$22,$AY26))),IF($AX26=5,IF($CD$9="","",INDEX(Tính!$P$39:$P$83,$CD$9)&amp;"/"&amp;COUNTIF($BA$3:$BA$22,"?*")),IF($AX26=7,IF($CD$9="","",INDEX(Tính!$Q$39:$Q$83,$CD$9)&amp;"/"&amp;$BK$1),IF($AX26=8,IF($CD$9="","",INDEX(Tính!$R$39:$R$83,$CD$9)&amp;"/"&amp;$BL$1),"")))))</f>
        <v/>
      </c>
      <c r="R26" s="31" t="str">
        <f>IF($AX26=3,IF($CD$10="","",INDEX(Tính!$F$39:$F$83,$CD$10)),IF($AX26=4,IF($CD$10="","",INDEX(Tính!$C$182:$V$226,$CD$10,INDEX($BJ$3:$BJ$22,$AY26))),IF($AX26=5,IF($CD$10="","",INDEX(Tính!$P$39:$P$83,$CD$10)&amp;"/"&amp;COUNTIF($BA$3:$BA$22,"?*")),IF($AX26=7,IF($CD$10="","",INDEX(Tính!$Q$39:$Q$83,$CD$10)&amp;"/"&amp;$BK$1),IF($AX26=8,IF($CD$10="","",INDEX(Tính!$R$39:$R$83,$CD$10)&amp;"/"&amp;$BL$1),"")))))</f>
        <v/>
      </c>
      <c r="S26" s="31" t="str">
        <f>IF($AX26=3,IF($CD$11="","",INDEX(Tính!$F$39:$F$83,$CD$11)),IF($AX26=4,IF($CD$11="","",INDEX(Tính!$C$182:$V$226,$CD$11,INDEX($BJ$3:$BJ$22,$AY26))),IF($AX26=5,IF($CD$11="","",INDEX(Tính!$P$39:$P$83,$CD$11)&amp;"/"&amp;COUNTIF($BA$3:$BA$22,"?*")),IF($AX26=7,IF($CD$11="","",INDEX(Tính!$Q$39:$Q$83,$CD$11)&amp;"/"&amp;$BK$1),IF($AX26=8,IF($CD$11="","",INDEX(Tính!$R$39:$R$83,$CD$11)&amp;"/"&amp;$BL$1),"")))))</f>
        <v/>
      </c>
      <c r="T26" s="31" t="str">
        <f>IF($AX26=3,IF($CD$12="","",INDEX(Tính!$F$39:$F$83,$CD$12)),IF($AX26=4,IF($CD$12="","",INDEX(Tính!$C$182:$V$226,$CD$12,INDEX($BJ$3:$BJ$22,$AY26))),IF($AX26=5,IF($CD$12="","",INDEX(Tính!$P$39:$P$83,$CD$12)&amp;"/"&amp;COUNTIF($BA$3:$BA$22,"?*")),IF($AX26=7,IF($CD$12="","",INDEX(Tính!$Q$39:$Q$83,$CD$12)&amp;"/"&amp;$BK$1),IF($AX26=8,IF($CD$12="","",INDEX(Tính!$R$39:$R$83,$CD$12)&amp;"/"&amp;$BL$1),"")))))</f>
        <v/>
      </c>
      <c r="U26" s="31" t="str">
        <f>IF($AX26=3,IF($CD$13="","",INDEX(Tính!$F$39:$F$83,$CD$13)),IF($AX26=4,IF($CD$13="","",INDEX(Tính!$C$182:$V$226,$CD$13,INDEX($BJ$3:$BJ$22,$AY26))),IF($AX26=5,IF($CD$13="","",INDEX(Tính!$P$39:$P$83,$CD$13)&amp;"/"&amp;COUNTIF($BA$3:$BA$22,"?*")),IF($AX26=7,IF($CD$13="","",INDEX(Tính!$Q$39:$Q$83,$CD$13)&amp;"/"&amp;$BK$1),IF($AX26=8,IF($CD$13="","",INDEX(Tính!$R$39:$R$83,$CD$13)&amp;"/"&amp;$BL$1),"")))))</f>
        <v/>
      </c>
      <c r="V26" s="31" t="str">
        <f>IF($AX26=3,IF($CD$14="","",INDEX(Tính!$F$39:$F$83,$CD$14)),IF($AX26=4,IF($CD$14="","",INDEX(Tính!$C$182:$V$226,$CD$14,INDEX($BJ$3:$BJ$22,$AY26))),IF($AX26=5,IF($CD$14="","",INDEX(Tính!$P$39:$P$83,$CD$14)&amp;"/"&amp;COUNTIF($BA$3:$BA$22,"?*")),IF($AX26=7,IF($CD$14="","",INDEX(Tính!$Q$39:$Q$83,$CD$14)&amp;"/"&amp;$BK$1),IF($AX26=8,IF($CD$14="","",INDEX(Tính!$R$39:$R$83,$CD$14)&amp;"/"&amp;$BL$1),"")))))</f>
        <v/>
      </c>
      <c r="W26" s="31" t="str">
        <f>IF($AX26=3,IF($CD$15="","",INDEX(Tính!$F$39:$F$83,$CD$15)),IF($AX26=4,IF($CD$15="","",INDEX(Tính!$C$182:$V$226,$CD$15,INDEX($BJ$3:$BJ$22,$AY26))),IF($AX26=5,IF($CD$15="","",INDEX(Tính!$P$39:$P$83,$CD$15)&amp;"/"&amp;COUNTIF($BA$3:$BA$22,"?*")),IF($AX26=7,IF($CD$15="","",INDEX(Tính!$Q$39:$Q$83,$CD$15)&amp;"/"&amp;$BK$1),IF($AX26=8,IF($CD$15="","",INDEX(Tính!$R$39:$R$83,$CD$15)&amp;"/"&amp;$BL$1),"")))))</f>
        <v/>
      </c>
      <c r="X26" s="31" t="str">
        <f>IF($AX26=3,IF($CD$16="","",INDEX(Tính!$F$39:$F$83,$CD$16)),IF($AX26=4,IF($CD$16="","",INDEX(Tính!$C$182:$V$226,$CD$16,INDEX($BJ$3:$BJ$22,$AY26))),IF($AX26=5,IF($CD$16="","",INDEX(Tính!$P$39:$P$83,$CD$16)&amp;"/"&amp;COUNTIF($BA$3:$BA$22,"?*")),IF($AX26=7,IF($CD$16="","",INDEX(Tính!$Q$39:$Q$83,$CD$16)&amp;"/"&amp;$BK$1),IF($AX26=8,IF($CD$16="","",INDEX(Tính!$R$39:$R$83,$CD$16)&amp;"/"&amp;$BL$1),"")))))</f>
        <v/>
      </c>
      <c r="Y26" s="31" t="str">
        <f>IF($AX26=3,IF($CD$17="","",INDEX(Tính!$F$39:$F$83,$CD$17)),IF($AX26=4,IF($CD$17="","",INDEX(Tính!$C$182:$V$226,$CD$17,INDEX($BJ$3:$BJ$22,$AY26))),IF($AX26=5,IF($CD$17="","",INDEX(Tính!$P$39:$P$83,$CD$17)&amp;"/"&amp;COUNTIF($BA$3:$BA$22,"?*")),IF($AX26=7,IF($CD$17="","",INDEX(Tính!$Q$39:$Q$83,$CD$17)&amp;"/"&amp;$BK$1),IF($AX26=8,IF($CD$17="","",INDEX(Tính!$R$39:$R$83,$CD$17)&amp;"/"&amp;$BL$1),"")))))</f>
        <v/>
      </c>
      <c r="Z26" s="31" t="str">
        <f>IF($AX26=3,IF($CD$18="","",INDEX(Tính!$F$39:$F$83,$CD$18)),IF($AX26=4,IF($CD$18="","",INDEX(Tính!$C$182:$V$226,$CD$18,INDEX($BJ$3:$BJ$22,$AY26))),IF($AX26=5,IF($CD$18="","",INDEX(Tính!$P$39:$P$83,$CD$18)&amp;"/"&amp;COUNTIF($BA$3:$BA$22,"?*")),IF($AX26=7,IF($CD$18="","",INDEX(Tính!$Q$39:$Q$83,$CD$18)&amp;"/"&amp;$BK$1),IF($AX26=8,IF($CD$18="","",INDEX(Tính!$R$39:$R$83,$CD$18)&amp;"/"&amp;$BL$1),"")))))</f>
        <v/>
      </c>
      <c r="AA26" s="31" t="str">
        <f>IF($AX26=3,IF($CD$19="","",INDEX(Tính!$F$39:$F$83,$CD$19)),IF($AX26=4,IF($CD$19="","",INDEX(Tính!$C$182:$V$226,$CD$19,INDEX($BJ$3:$BJ$22,$AY26))),IF($AX26=5,IF($CD$19="","",INDEX(Tính!$P$39:$P$83,$CD$19)&amp;"/"&amp;COUNTIF($BA$3:$BA$22,"?*")),IF($AX26=7,IF($CD$19="","",INDEX(Tính!$Q$39:$Q$83,$CD$19)&amp;"/"&amp;$BK$1),IF($AX26=8,IF($CD$19="","",INDEX(Tính!$R$39:$R$83,$CD$19)&amp;"/"&amp;$BL$1),"")))))</f>
        <v/>
      </c>
      <c r="AB26" s="31" t="str">
        <f>IF($AX26=3,IF($CD$20="","",INDEX(Tính!$F$39:$F$83,$CD$20)),IF($AX26=4,IF($CD$20="","",INDEX(Tính!$C$182:$V$226,$CD$20,INDEX($BJ$3:$BJ$22,$AY26))),IF($AX26=5,IF($CD$20="","",INDEX(Tính!$P$39:$P$83,$CD$20)&amp;"/"&amp;COUNTIF($BA$3:$BA$22,"?*")),IF($AX26=7,IF($CD$20="","",INDEX(Tính!$Q$39:$Q$83,$CD$20)&amp;"/"&amp;$BK$1),IF($AX26=8,IF($CD$20="","",INDEX(Tính!$R$39:$R$83,$CD$20)&amp;"/"&amp;$BL$1),"")))))</f>
        <v/>
      </c>
      <c r="AC26" s="31" t="str">
        <f>IF($AX26=3,IF($CD$21="","",INDEX(Tính!$F$39:$F$83,$CD$21)),IF($AX26=4,IF($CD$21="","",INDEX(Tính!$C$182:$V$226,$CD$21,INDEX($BJ$3:$BJ$22,$AY26))),IF($AX26=5,IF($CD$21="","",INDEX(Tính!$P$39:$P$83,$CD$21)&amp;"/"&amp;COUNTIF($BA$3:$BA$22,"?*")),IF($AX26=7,IF($CD$21="","",INDEX(Tính!$Q$39:$Q$83,$CD$21)&amp;"/"&amp;$BK$1),IF($AX26=8,IF($CD$21="","",INDEX(Tính!$R$39:$R$83,$CD$21)&amp;"/"&amp;$BL$1),"")))))</f>
        <v/>
      </c>
      <c r="AD26" s="31" t="str">
        <f>IF($AX26=3,IF($CD$22="","",INDEX(Tính!$F$39:$F$83,$CD$22)),IF($AX26=4,IF($CD$22="","",INDEX(Tính!$C$182:$V$226,$CD$22,INDEX($BJ$3:$BJ$22,$AY26))),IF($AX26=5,IF($CD$22="","",INDEX(Tính!$P$39:$P$83,$CD$22)&amp;"/"&amp;COUNTIF($BA$3:$BA$22,"?*")),IF($AX26=7,IF($CD$22="","",INDEX(Tính!$Q$39:$Q$83,$CD$22)&amp;"/"&amp;$BK$1),IF($AX26=8,IF($CD$22="","",INDEX(Tính!$R$39:$R$83,$CD$22)&amp;"/"&amp;$BL$1),"")))))</f>
        <v/>
      </c>
      <c r="AW26" t="str">
        <f>$BK$19</f>
        <v/>
      </c>
      <c r="AX26">
        <f>IF(22=0,0,IF(22&lt;=$AX$1,1,IF(22=$AX$1+1,2,IF(22=$AX$1+2,3,IF((22-$AX$1-2)&lt;=$AX$3,IF(INDEX($BK$3:$BK$24,(22-$AX$1-2))="C",7,IF(INDEX($BK$3:$BK$24,(22-$AX$1-2))="V",8,4)),IF((22-$AX$1-2)=$AX$3+1,5,6))))))</f>
        <v>6</v>
      </c>
      <c r="AY26">
        <f>IF(AX26=1,22,IF(AX26=4,INDEX($BL$3:$BL$24,(22-$AX$1-2)),0))</f>
        <v>0</v>
      </c>
      <c r="CA26">
        <v>24</v>
      </c>
      <c r="CB26">
        <f>IF(Tính!B62="",0,IF(OR($AZ$1=0,Tính!D62=$AZ$1),1,0))</f>
        <v>0</v>
      </c>
      <c r="CC26">
        <f>IF(CB26=1,Tính!M62+1+(45-24)/1000000,-1)</f>
        <v>-1</v>
      </c>
      <c r="CD26" t="str">
        <f>IF(LARGE($CC$3:$CC$47,24)&lt;0,"",MATCH(LARGE($CC$3:$CC$47,24),$CC$3:$CC$47,0))</f>
        <v/>
      </c>
    </row>
    <row r="27" spans="1:82" x14ac:dyDescent="0.3">
      <c r="A27" s="54" t="str">
        <f>IF($BK$20="C","NHÓM CHÍNH",IF($BK$20="V","NHÓM VƯỢT TRỘI",IF($BL$20="","",INDEX($BA$3:$BA$22,INDEX($BJ$3:$BJ$22,$BL$20)))))</f>
        <v/>
      </c>
      <c r="B27" s="52"/>
      <c r="C27" s="26" t="str">
        <f>IF($BL$20="","",INDEX($BC$3:$BC$22,INDEX($BJ$3:$BJ$22,$BL$20)))</f>
        <v/>
      </c>
      <c r="D27" s="26" t="str">
        <f>IF($BL$20="","",INDEX($BD$3:$BD$22,INDEX($BJ$3:$BJ$22,$BL$20)))</f>
        <v/>
      </c>
      <c r="E27" s="27" t="str">
        <f>IF($BL$20="","",IF(C27&gt;0,D27/C27,1))</f>
        <v/>
      </c>
      <c r="F27" s="27" t="str">
        <f>IF($BK$20="C",COUNTIFS($BB$3:$BB$22,"Chính",$BG$3:$BG$22,"&gt;=0.995")&amp;"/"&amp;$BK$1,IF($BK$20="V",COUNTIFS($BB$3:$BB$22,"Vượt trội",$BG$3:$BG$22,"&gt;=0.995")&amp;"/"&amp;$BL$1,IF($BL$20="","",INDEX($BG$3:$BG$22,INDEX($BJ$3:$BJ$22,$BL$20)))))</f>
        <v/>
      </c>
      <c r="H27" s="29" t="str">
        <f t="shared" si="2"/>
        <v/>
      </c>
      <c r="I27" s="12" t="str">
        <f>IF($AX27=0,"Nhân viên",IF($AX27=1,INDEX(Tính!$F$39:$F$83,INDEX($CD$3:$CD$47,$AY27))&amp;" · "&amp;INDEX(Tính!$O$39:$O$83,INDEX($CD$3:$CD$47,$AY27)),IF($AX27=3,"Nhóm hàng",IF($AX27=4,INDEX($BA$3:$BA$22,INDEX($BJ$3:$BJ$22,$AY27)),IF($AX27=5,"Số nhóm đạt",IF($AX27=7,"NHÓM CHÍNH",IF($AX27=8,"NHÓM VƯỢT TRỘI","")))))))</f>
        <v/>
      </c>
      <c r="J27" s="30" t="str">
        <f>IF($AX27=0,"Mục tiêu",IF($AX27=1,FIXED(INDEX(Tính!$J$39:$J$83,INDEX($CD$3:$CD$47,$AY27)),0),IF($AX27=3,"Cả shop",IF($AX27=4,INDEX($BG$3:$BG$22,INDEX($BJ$3:$BJ$22,$AY27)),IF($AX27=5,COUNTIF($BG$3:$BG$22,"&gt;=0.995")&amp;"/"&amp;COUNTIF($BA$3:$BA$22,"?*"),IF($AX27=7,COUNTIFS($BB$3:$BB$22,"Chính",$BG$3:$BG$22,"&gt;=0.995")&amp;"/"&amp;$BK$1,IF($AX27=8,COUNTIFS($BB$3:$BB$22,"Vượt trội",$BG$3:$BG$22,"&gt;=0.995")&amp;"/"&amp;$BL$1,"")))))))</f>
        <v/>
      </c>
      <c r="K27" s="30" t="str">
        <f>IF($AX27=0,"DT QĐ",IF($AX27=1,FIXED(INDEX(Tính!$K$39:$K$83,INDEX($CD$3:$CD$47,$AY27)),1),IF($AX27=3,IF($CD$3="","",INDEX(Tính!$F$39:$F$83,$CD$3)),IF($AX27=4,IF($CD$3="","",INDEX(Tính!$C$182:$V$226,$CD$3,INDEX($BJ$3:$BJ$22,$AY27))),IF($AX27=5,IF($CD$3="","",INDEX(Tính!$P$39:$P$83,$CD$3)&amp;"/"&amp;COUNTIF($BA$3:$BA$22,"?*")),IF($AX27=7,IF($CD$3="","",INDEX(Tính!$Q$39:$Q$83,$CD$3)&amp;"/"&amp;$BK$1),IF($AX27=8,IF($CD$3="","",INDEX(Tính!$R$39:$R$83,$CD$3)&amp;"/"&amp;$BL$1),"")))))))</f>
        <v/>
      </c>
      <c r="L27" s="31" t="str">
        <f>IF($AX27=0,"% HT",IF($AX27=1,INDEX(Tính!$N$39:$N$83,INDEX($CD$3:$CD$47,$AY27)),IF($AX27=3,IF($CD$4="","",INDEX(Tính!$F$39:$F$83,$CD$4)),IF($AX27=4,IF($CD$4="","",INDEX(Tính!$C$182:$V$226,$CD$4,INDEX($BJ$3:$BJ$22,$AY27))),IF($AX27=5,IF($CD$4="","",INDEX(Tính!$P$39:$P$83,$CD$4)&amp;"/"&amp;COUNTIF($BA$3:$BA$22,"?*")),IF($AX27=7,IF($CD$4="","",INDEX(Tính!$Q$39:$Q$83,$CD$4)&amp;"/"&amp;$BK$1),IF($AX27=8,IF($CD$4="","",INDEX(Tính!$R$39:$R$83,$CD$4)&amp;"/"&amp;$BL$1),"")))))))</f>
        <v/>
      </c>
      <c r="M27" s="31" t="str">
        <f>IF($AX27=0,"Dự kiến",IF($AX27=1,INDEX(Tính!$M$39:$M$83,INDEX($CD$3:$CD$47,$AY27)),IF($AX27=3,IF($CD$5="","",INDEX(Tính!$F$39:$F$83,$CD$5)),IF($AX27=4,IF($CD$5="","",INDEX(Tính!$C$182:$V$226,$CD$5,INDEX($BJ$3:$BJ$22,$AY27))),IF($AX27=5,IF($CD$5="","",INDEX(Tính!$P$39:$P$83,$CD$5)&amp;"/"&amp;COUNTIF($BA$3:$BA$22,"?*")),IF($AX27=7,IF($CD$5="","",INDEX(Tính!$Q$39:$Q$83,$CD$5)&amp;"/"&amp;$BK$1),IF($AX27=8,IF($CD$5="","",INDEX(Tính!$R$39:$R$83,$CD$5)&amp;"/"&amp;$BL$1),"")))))))</f>
        <v/>
      </c>
      <c r="N27" s="31" t="str">
        <f>IF($AX27=0,"NH đạt",IF($AX27=1,INDEX(Tính!$P$39:$P$83,INDEX($CD$3:$CD$47,$AY27))&amp;"/"&amp;COUNTIF($BA$3:$BA$22,"?*"),IF($AX27=3,IF($CD$6="","",INDEX(Tính!$F$39:$F$83,$CD$6)),IF($AX27=4,IF($CD$6="","",INDEX(Tính!$C$182:$V$226,$CD$6,INDEX($BJ$3:$BJ$22,$AY27))),IF($AX27=5,IF($CD$6="","",INDEX(Tính!$P$39:$P$83,$CD$6)&amp;"/"&amp;COUNTIF($BA$3:$BA$22,"?*")),IF($AX27=7,IF($CD$6="","",INDEX(Tính!$Q$39:$Q$83,$CD$6)&amp;"/"&amp;$BK$1),IF($AX27=8,IF($CD$6="","",INDEX(Tính!$R$39:$R$83,$CD$6)&amp;"/"&amp;$BL$1),"")))))))</f>
        <v/>
      </c>
      <c r="O27" s="31" t="str">
        <f>IF($AX27=3,IF($CD$7="","",INDEX(Tính!$F$39:$F$83,$CD$7)),IF($AX27=4,IF($CD$7="","",INDEX(Tính!$C$182:$V$226,$CD$7,INDEX($BJ$3:$BJ$22,$AY27))),IF($AX27=5,IF($CD$7="","",INDEX(Tính!$P$39:$P$83,$CD$7)&amp;"/"&amp;COUNTIF($BA$3:$BA$22,"?*")),IF($AX27=7,IF($CD$7="","",INDEX(Tính!$Q$39:$Q$83,$CD$7)&amp;"/"&amp;$BK$1),IF($AX27=8,IF($CD$7="","",INDEX(Tính!$R$39:$R$83,$CD$7)&amp;"/"&amp;$BL$1),"")))))</f>
        <v/>
      </c>
      <c r="P27" s="31" t="str">
        <f>IF($AX27=3,IF($CD$8="","",INDEX(Tính!$F$39:$F$83,$CD$8)),IF($AX27=4,IF($CD$8="","",INDEX(Tính!$C$182:$V$226,$CD$8,INDEX($BJ$3:$BJ$22,$AY27))),IF($AX27=5,IF($CD$8="","",INDEX(Tính!$P$39:$P$83,$CD$8)&amp;"/"&amp;COUNTIF($BA$3:$BA$22,"?*")),IF($AX27=7,IF($CD$8="","",INDEX(Tính!$Q$39:$Q$83,$CD$8)&amp;"/"&amp;$BK$1),IF($AX27=8,IF($CD$8="","",INDEX(Tính!$R$39:$R$83,$CD$8)&amp;"/"&amp;$BL$1),"")))))</f>
        <v/>
      </c>
      <c r="Q27" s="31" t="str">
        <f>IF($AX27=3,IF($CD$9="","",INDEX(Tính!$F$39:$F$83,$CD$9)),IF($AX27=4,IF($CD$9="","",INDEX(Tính!$C$182:$V$226,$CD$9,INDEX($BJ$3:$BJ$22,$AY27))),IF($AX27=5,IF($CD$9="","",INDEX(Tính!$P$39:$P$83,$CD$9)&amp;"/"&amp;COUNTIF($BA$3:$BA$22,"?*")),IF($AX27=7,IF($CD$9="","",INDEX(Tính!$Q$39:$Q$83,$CD$9)&amp;"/"&amp;$BK$1),IF($AX27=8,IF($CD$9="","",INDEX(Tính!$R$39:$R$83,$CD$9)&amp;"/"&amp;$BL$1),"")))))</f>
        <v/>
      </c>
      <c r="R27" s="31" t="str">
        <f>IF($AX27=3,IF($CD$10="","",INDEX(Tính!$F$39:$F$83,$CD$10)),IF($AX27=4,IF($CD$10="","",INDEX(Tính!$C$182:$V$226,$CD$10,INDEX($BJ$3:$BJ$22,$AY27))),IF($AX27=5,IF($CD$10="","",INDEX(Tính!$P$39:$P$83,$CD$10)&amp;"/"&amp;COUNTIF($BA$3:$BA$22,"?*")),IF($AX27=7,IF($CD$10="","",INDEX(Tính!$Q$39:$Q$83,$CD$10)&amp;"/"&amp;$BK$1),IF($AX27=8,IF($CD$10="","",INDEX(Tính!$R$39:$R$83,$CD$10)&amp;"/"&amp;$BL$1),"")))))</f>
        <v/>
      </c>
      <c r="S27" s="31" t="str">
        <f>IF($AX27=3,IF($CD$11="","",INDEX(Tính!$F$39:$F$83,$CD$11)),IF($AX27=4,IF($CD$11="","",INDEX(Tính!$C$182:$V$226,$CD$11,INDEX($BJ$3:$BJ$22,$AY27))),IF($AX27=5,IF($CD$11="","",INDEX(Tính!$P$39:$P$83,$CD$11)&amp;"/"&amp;COUNTIF($BA$3:$BA$22,"?*")),IF($AX27=7,IF($CD$11="","",INDEX(Tính!$Q$39:$Q$83,$CD$11)&amp;"/"&amp;$BK$1),IF($AX27=8,IF($CD$11="","",INDEX(Tính!$R$39:$R$83,$CD$11)&amp;"/"&amp;$BL$1),"")))))</f>
        <v/>
      </c>
      <c r="T27" s="31" t="str">
        <f>IF($AX27=3,IF($CD$12="","",INDEX(Tính!$F$39:$F$83,$CD$12)),IF($AX27=4,IF($CD$12="","",INDEX(Tính!$C$182:$V$226,$CD$12,INDEX($BJ$3:$BJ$22,$AY27))),IF($AX27=5,IF($CD$12="","",INDEX(Tính!$P$39:$P$83,$CD$12)&amp;"/"&amp;COUNTIF($BA$3:$BA$22,"?*")),IF($AX27=7,IF($CD$12="","",INDEX(Tính!$Q$39:$Q$83,$CD$12)&amp;"/"&amp;$BK$1),IF($AX27=8,IF($CD$12="","",INDEX(Tính!$R$39:$R$83,$CD$12)&amp;"/"&amp;$BL$1),"")))))</f>
        <v/>
      </c>
      <c r="U27" s="31" t="str">
        <f>IF($AX27=3,IF($CD$13="","",INDEX(Tính!$F$39:$F$83,$CD$13)),IF($AX27=4,IF($CD$13="","",INDEX(Tính!$C$182:$V$226,$CD$13,INDEX($BJ$3:$BJ$22,$AY27))),IF($AX27=5,IF($CD$13="","",INDEX(Tính!$P$39:$P$83,$CD$13)&amp;"/"&amp;COUNTIF($BA$3:$BA$22,"?*")),IF($AX27=7,IF($CD$13="","",INDEX(Tính!$Q$39:$Q$83,$CD$13)&amp;"/"&amp;$BK$1),IF($AX27=8,IF($CD$13="","",INDEX(Tính!$R$39:$R$83,$CD$13)&amp;"/"&amp;$BL$1),"")))))</f>
        <v/>
      </c>
      <c r="V27" s="31" t="str">
        <f>IF($AX27=3,IF($CD$14="","",INDEX(Tính!$F$39:$F$83,$CD$14)),IF($AX27=4,IF($CD$14="","",INDEX(Tính!$C$182:$V$226,$CD$14,INDEX($BJ$3:$BJ$22,$AY27))),IF($AX27=5,IF($CD$14="","",INDEX(Tính!$P$39:$P$83,$CD$14)&amp;"/"&amp;COUNTIF($BA$3:$BA$22,"?*")),IF($AX27=7,IF($CD$14="","",INDEX(Tính!$Q$39:$Q$83,$CD$14)&amp;"/"&amp;$BK$1),IF($AX27=8,IF($CD$14="","",INDEX(Tính!$R$39:$R$83,$CD$14)&amp;"/"&amp;$BL$1),"")))))</f>
        <v/>
      </c>
      <c r="W27" s="31" t="str">
        <f>IF($AX27=3,IF($CD$15="","",INDEX(Tính!$F$39:$F$83,$CD$15)),IF($AX27=4,IF($CD$15="","",INDEX(Tính!$C$182:$V$226,$CD$15,INDEX($BJ$3:$BJ$22,$AY27))),IF($AX27=5,IF($CD$15="","",INDEX(Tính!$P$39:$P$83,$CD$15)&amp;"/"&amp;COUNTIF($BA$3:$BA$22,"?*")),IF($AX27=7,IF($CD$15="","",INDEX(Tính!$Q$39:$Q$83,$CD$15)&amp;"/"&amp;$BK$1),IF($AX27=8,IF($CD$15="","",INDEX(Tính!$R$39:$R$83,$CD$15)&amp;"/"&amp;$BL$1),"")))))</f>
        <v/>
      </c>
      <c r="X27" s="31" t="str">
        <f>IF($AX27=3,IF($CD$16="","",INDEX(Tính!$F$39:$F$83,$CD$16)),IF($AX27=4,IF($CD$16="","",INDEX(Tính!$C$182:$V$226,$CD$16,INDEX($BJ$3:$BJ$22,$AY27))),IF($AX27=5,IF($CD$16="","",INDEX(Tính!$P$39:$P$83,$CD$16)&amp;"/"&amp;COUNTIF($BA$3:$BA$22,"?*")),IF($AX27=7,IF($CD$16="","",INDEX(Tính!$Q$39:$Q$83,$CD$16)&amp;"/"&amp;$BK$1),IF($AX27=8,IF($CD$16="","",INDEX(Tính!$R$39:$R$83,$CD$16)&amp;"/"&amp;$BL$1),"")))))</f>
        <v/>
      </c>
      <c r="Y27" s="31" t="str">
        <f>IF($AX27=3,IF($CD$17="","",INDEX(Tính!$F$39:$F$83,$CD$17)),IF($AX27=4,IF($CD$17="","",INDEX(Tính!$C$182:$V$226,$CD$17,INDEX($BJ$3:$BJ$22,$AY27))),IF($AX27=5,IF($CD$17="","",INDEX(Tính!$P$39:$P$83,$CD$17)&amp;"/"&amp;COUNTIF($BA$3:$BA$22,"?*")),IF($AX27=7,IF($CD$17="","",INDEX(Tính!$Q$39:$Q$83,$CD$17)&amp;"/"&amp;$BK$1),IF($AX27=8,IF($CD$17="","",INDEX(Tính!$R$39:$R$83,$CD$17)&amp;"/"&amp;$BL$1),"")))))</f>
        <v/>
      </c>
      <c r="Z27" s="31" t="str">
        <f>IF($AX27=3,IF($CD$18="","",INDEX(Tính!$F$39:$F$83,$CD$18)),IF($AX27=4,IF($CD$18="","",INDEX(Tính!$C$182:$V$226,$CD$18,INDEX($BJ$3:$BJ$22,$AY27))),IF($AX27=5,IF($CD$18="","",INDEX(Tính!$P$39:$P$83,$CD$18)&amp;"/"&amp;COUNTIF($BA$3:$BA$22,"?*")),IF($AX27=7,IF($CD$18="","",INDEX(Tính!$Q$39:$Q$83,$CD$18)&amp;"/"&amp;$BK$1),IF($AX27=8,IF($CD$18="","",INDEX(Tính!$R$39:$R$83,$CD$18)&amp;"/"&amp;$BL$1),"")))))</f>
        <v/>
      </c>
      <c r="AA27" s="31" t="str">
        <f>IF($AX27=3,IF($CD$19="","",INDEX(Tính!$F$39:$F$83,$CD$19)),IF($AX27=4,IF($CD$19="","",INDEX(Tính!$C$182:$V$226,$CD$19,INDEX($BJ$3:$BJ$22,$AY27))),IF($AX27=5,IF($CD$19="","",INDEX(Tính!$P$39:$P$83,$CD$19)&amp;"/"&amp;COUNTIF($BA$3:$BA$22,"?*")),IF($AX27=7,IF($CD$19="","",INDEX(Tính!$Q$39:$Q$83,$CD$19)&amp;"/"&amp;$BK$1),IF($AX27=8,IF($CD$19="","",INDEX(Tính!$R$39:$R$83,$CD$19)&amp;"/"&amp;$BL$1),"")))))</f>
        <v/>
      </c>
      <c r="AB27" s="31" t="str">
        <f>IF($AX27=3,IF($CD$20="","",INDEX(Tính!$F$39:$F$83,$CD$20)),IF($AX27=4,IF($CD$20="","",INDEX(Tính!$C$182:$V$226,$CD$20,INDEX($BJ$3:$BJ$22,$AY27))),IF($AX27=5,IF($CD$20="","",INDEX(Tính!$P$39:$P$83,$CD$20)&amp;"/"&amp;COUNTIF($BA$3:$BA$22,"?*")),IF($AX27=7,IF($CD$20="","",INDEX(Tính!$Q$39:$Q$83,$CD$20)&amp;"/"&amp;$BK$1),IF($AX27=8,IF($CD$20="","",INDEX(Tính!$R$39:$R$83,$CD$20)&amp;"/"&amp;$BL$1),"")))))</f>
        <v/>
      </c>
      <c r="AC27" s="31" t="str">
        <f>IF($AX27=3,IF($CD$21="","",INDEX(Tính!$F$39:$F$83,$CD$21)),IF($AX27=4,IF($CD$21="","",INDEX(Tính!$C$182:$V$226,$CD$21,INDEX($BJ$3:$BJ$22,$AY27))),IF($AX27=5,IF($CD$21="","",INDEX(Tính!$P$39:$P$83,$CD$21)&amp;"/"&amp;COUNTIF($BA$3:$BA$22,"?*")),IF($AX27=7,IF($CD$21="","",INDEX(Tính!$Q$39:$Q$83,$CD$21)&amp;"/"&amp;$BK$1),IF($AX27=8,IF($CD$21="","",INDEX(Tính!$R$39:$R$83,$CD$21)&amp;"/"&amp;$BL$1),"")))))</f>
        <v/>
      </c>
      <c r="AD27" s="31" t="str">
        <f>IF($AX27=3,IF($CD$22="","",INDEX(Tính!$F$39:$F$83,$CD$22)),IF($AX27=4,IF($CD$22="","",INDEX(Tính!$C$182:$V$226,$CD$22,INDEX($BJ$3:$BJ$22,$AY27))),IF($AX27=5,IF($CD$22="","",INDEX(Tính!$P$39:$P$83,$CD$22)&amp;"/"&amp;COUNTIF($BA$3:$BA$22,"?*")),IF($AX27=7,IF($CD$22="","",INDEX(Tính!$Q$39:$Q$83,$CD$22)&amp;"/"&amp;$BK$1),IF($AX27=8,IF($CD$22="","",INDEX(Tính!$R$39:$R$83,$CD$22)&amp;"/"&amp;$BL$1),"")))))</f>
        <v/>
      </c>
      <c r="AW27" t="str">
        <f>$BK$20</f>
        <v/>
      </c>
      <c r="AX27">
        <f>IF(23=0,0,IF(23&lt;=$AX$1,1,IF(23=$AX$1+1,2,IF(23=$AX$1+2,3,IF((23-$AX$1-2)&lt;=$AX$3,IF(INDEX($BK$3:$BK$24,(23-$AX$1-2))="C",7,IF(INDEX($BK$3:$BK$24,(23-$AX$1-2))="V",8,4)),IF((23-$AX$1-2)=$AX$3+1,5,6))))))</f>
        <v>6</v>
      </c>
      <c r="AY27">
        <f>IF(AX27=1,23,IF(AX27=4,INDEX($BL$3:$BL$24,(23-$AX$1-2)),0))</f>
        <v>0</v>
      </c>
      <c r="CA27">
        <v>25</v>
      </c>
      <c r="CB27">
        <f>IF(Tính!B63="",0,IF(OR($AZ$1=0,Tính!D63=$AZ$1),1,0))</f>
        <v>0</v>
      </c>
      <c r="CC27">
        <f>IF(CB27=1,Tính!M63+1+(45-25)/1000000,-1)</f>
        <v>-1</v>
      </c>
      <c r="CD27" t="str">
        <f>IF(LARGE($CC$3:$CC$47,25)&lt;0,"",MATCH(LARGE($CC$3:$CC$47,25),$CC$3:$CC$47,0))</f>
        <v/>
      </c>
    </row>
    <row r="28" spans="1:82" x14ac:dyDescent="0.3">
      <c r="A28" s="54" t="str">
        <f>IF($BK$21="C","NHÓM CHÍNH",IF($BK$21="V","NHÓM VƯỢT TRỘI",IF($BL$21="","",INDEX($BA$3:$BA$22,INDEX($BJ$3:$BJ$22,$BL$21)))))</f>
        <v/>
      </c>
      <c r="B28" s="52"/>
      <c r="C28" s="26" t="str">
        <f>IF($BL$21="","",INDEX($BC$3:$BC$22,INDEX($BJ$3:$BJ$22,$BL$21)))</f>
        <v/>
      </c>
      <c r="D28" s="26" t="str">
        <f>IF($BL$21="","",INDEX($BD$3:$BD$22,INDEX($BJ$3:$BJ$22,$BL$21)))</f>
        <v/>
      </c>
      <c r="E28" s="27" t="str">
        <f>IF($BL$21="","",IF(C28&gt;0,D28/C28,1))</f>
        <v/>
      </c>
      <c r="F28" s="27" t="str">
        <f>IF($BK$21="C",COUNTIFS($BB$3:$BB$22,"Chính",$BG$3:$BG$22,"&gt;=0.995")&amp;"/"&amp;$BK$1,IF($BK$21="V",COUNTIFS($BB$3:$BB$22,"Vượt trội",$BG$3:$BG$22,"&gt;=0.995")&amp;"/"&amp;$BL$1,IF($BL$21="","",INDEX($BG$3:$BG$22,INDEX($BJ$3:$BJ$22,$BL$21)))))</f>
        <v/>
      </c>
      <c r="H28" s="29" t="str">
        <f t="shared" si="2"/>
        <v/>
      </c>
      <c r="I28" s="12" t="str">
        <f>IF($AX28=0,"Nhân viên",IF($AX28=1,INDEX(Tính!$F$39:$F$83,INDEX($CD$3:$CD$47,$AY28))&amp;" · "&amp;INDEX(Tính!$O$39:$O$83,INDEX($CD$3:$CD$47,$AY28)),IF($AX28=3,"Nhóm hàng",IF($AX28=4,INDEX($BA$3:$BA$22,INDEX($BJ$3:$BJ$22,$AY28)),IF($AX28=5,"Số nhóm đạt",IF($AX28=7,"NHÓM CHÍNH",IF($AX28=8,"NHÓM VƯỢT TRỘI","")))))))</f>
        <v/>
      </c>
      <c r="J28" s="30" t="str">
        <f>IF($AX28=0,"Mục tiêu",IF($AX28=1,FIXED(INDEX(Tính!$J$39:$J$83,INDEX($CD$3:$CD$47,$AY28)),0),IF($AX28=3,"Cả shop",IF($AX28=4,INDEX($BG$3:$BG$22,INDEX($BJ$3:$BJ$22,$AY28)),IF($AX28=5,COUNTIF($BG$3:$BG$22,"&gt;=0.995")&amp;"/"&amp;COUNTIF($BA$3:$BA$22,"?*"),IF($AX28=7,COUNTIFS($BB$3:$BB$22,"Chính",$BG$3:$BG$22,"&gt;=0.995")&amp;"/"&amp;$BK$1,IF($AX28=8,COUNTIFS($BB$3:$BB$22,"Vượt trội",$BG$3:$BG$22,"&gt;=0.995")&amp;"/"&amp;$BL$1,"")))))))</f>
        <v/>
      </c>
      <c r="K28" s="30" t="str">
        <f>IF($AX28=0,"DT QĐ",IF($AX28=1,FIXED(INDEX(Tính!$K$39:$K$83,INDEX($CD$3:$CD$47,$AY28)),1),IF($AX28=3,IF($CD$3="","",INDEX(Tính!$F$39:$F$83,$CD$3)),IF($AX28=4,IF($CD$3="","",INDEX(Tính!$C$182:$V$226,$CD$3,INDEX($BJ$3:$BJ$22,$AY28))),IF($AX28=5,IF($CD$3="","",INDEX(Tính!$P$39:$P$83,$CD$3)&amp;"/"&amp;COUNTIF($BA$3:$BA$22,"?*")),IF($AX28=7,IF($CD$3="","",INDEX(Tính!$Q$39:$Q$83,$CD$3)&amp;"/"&amp;$BK$1),IF($AX28=8,IF($CD$3="","",INDEX(Tính!$R$39:$R$83,$CD$3)&amp;"/"&amp;$BL$1),"")))))))</f>
        <v/>
      </c>
      <c r="L28" s="31" t="str">
        <f>IF($AX28=0,"% HT",IF($AX28=1,INDEX(Tính!$N$39:$N$83,INDEX($CD$3:$CD$47,$AY28)),IF($AX28=3,IF($CD$4="","",INDEX(Tính!$F$39:$F$83,$CD$4)),IF($AX28=4,IF($CD$4="","",INDEX(Tính!$C$182:$V$226,$CD$4,INDEX($BJ$3:$BJ$22,$AY28))),IF($AX28=5,IF($CD$4="","",INDEX(Tính!$P$39:$P$83,$CD$4)&amp;"/"&amp;COUNTIF($BA$3:$BA$22,"?*")),IF($AX28=7,IF($CD$4="","",INDEX(Tính!$Q$39:$Q$83,$CD$4)&amp;"/"&amp;$BK$1),IF($AX28=8,IF($CD$4="","",INDEX(Tính!$R$39:$R$83,$CD$4)&amp;"/"&amp;$BL$1),"")))))))</f>
        <v/>
      </c>
      <c r="M28" s="31" t="str">
        <f>IF($AX28=0,"Dự kiến",IF($AX28=1,INDEX(Tính!$M$39:$M$83,INDEX($CD$3:$CD$47,$AY28)),IF($AX28=3,IF($CD$5="","",INDEX(Tính!$F$39:$F$83,$CD$5)),IF($AX28=4,IF($CD$5="","",INDEX(Tính!$C$182:$V$226,$CD$5,INDEX($BJ$3:$BJ$22,$AY28))),IF($AX28=5,IF($CD$5="","",INDEX(Tính!$P$39:$P$83,$CD$5)&amp;"/"&amp;COUNTIF($BA$3:$BA$22,"?*")),IF($AX28=7,IF($CD$5="","",INDEX(Tính!$Q$39:$Q$83,$CD$5)&amp;"/"&amp;$BK$1),IF($AX28=8,IF($CD$5="","",INDEX(Tính!$R$39:$R$83,$CD$5)&amp;"/"&amp;$BL$1),"")))))))</f>
        <v/>
      </c>
      <c r="N28" s="31" t="str">
        <f>IF($AX28=0,"NH đạt",IF($AX28=1,INDEX(Tính!$P$39:$P$83,INDEX($CD$3:$CD$47,$AY28))&amp;"/"&amp;COUNTIF($BA$3:$BA$22,"?*"),IF($AX28=3,IF($CD$6="","",INDEX(Tính!$F$39:$F$83,$CD$6)),IF($AX28=4,IF($CD$6="","",INDEX(Tính!$C$182:$V$226,$CD$6,INDEX($BJ$3:$BJ$22,$AY28))),IF($AX28=5,IF($CD$6="","",INDEX(Tính!$P$39:$P$83,$CD$6)&amp;"/"&amp;COUNTIF($BA$3:$BA$22,"?*")),IF($AX28=7,IF($CD$6="","",INDEX(Tính!$Q$39:$Q$83,$CD$6)&amp;"/"&amp;$BK$1),IF($AX28=8,IF($CD$6="","",INDEX(Tính!$R$39:$R$83,$CD$6)&amp;"/"&amp;$BL$1),"")))))))</f>
        <v/>
      </c>
      <c r="O28" s="31" t="str">
        <f>IF($AX28=3,IF($CD$7="","",INDEX(Tính!$F$39:$F$83,$CD$7)),IF($AX28=4,IF($CD$7="","",INDEX(Tính!$C$182:$V$226,$CD$7,INDEX($BJ$3:$BJ$22,$AY28))),IF($AX28=5,IF($CD$7="","",INDEX(Tính!$P$39:$P$83,$CD$7)&amp;"/"&amp;COUNTIF($BA$3:$BA$22,"?*")),IF($AX28=7,IF($CD$7="","",INDEX(Tính!$Q$39:$Q$83,$CD$7)&amp;"/"&amp;$BK$1),IF($AX28=8,IF($CD$7="","",INDEX(Tính!$R$39:$R$83,$CD$7)&amp;"/"&amp;$BL$1),"")))))</f>
        <v/>
      </c>
      <c r="P28" s="31" t="str">
        <f>IF($AX28=3,IF($CD$8="","",INDEX(Tính!$F$39:$F$83,$CD$8)),IF($AX28=4,IF($CD$8="","",INDEX(Tính!$C$182:$V$226,$CD$8,INDEX($BJ$3:$BJ$22,$AY28))),IF($AX28=5,IF($CD$8="","",INDEX(Tính!$P$39:$P$83,$CD$8)&amp;"/"&amp;COUNTIF($BA$3:$BA$22,"?*")),IF($AX28=7,IF($CD$8="","",INDEX(Tính!$Q$39:$Q$83,$CD$8)&amp;"/"&amp;$BK$1),IF($AX28=8,IF($CD$8="","",INDEX(Tính!$R$39:$R$83,$CD$8)&amp;"/"&amp;$BL$1),"")))))</f>
        <v/>
      </c>
      <c r="Q28" s="31" t="str">
        <f>IF($AX28=3,IF($CD$9="","",INDEX(Tính!$F$39:$F$83,$CD$9)),IF($AX28=4,IF($CD$9="","",INDEX(Tính!$C$182:$V$226,$CD$9,INDEX($BJ$3:$BJ$22,$AY28))),IF($AX28=5,IF($CD$9="","",INDEX(Tính!$P$39:$P$83,$CD$9)&amp;"/"&amp;COUNTIF($BA$3:$BA$22,"?*")),IF($AX28=7,IF($CD$9="","",INDEX(Tính!$Q$39:$Q$83,$CD$9)&amp;"/"&amp;$BK$1),IF($AX28=8,IF($CD$9="","",INDEX(Tính!$R$39:$R$83,$CD$9)&amp;"/"&amp;$BL$1),"")))))</f>
        <v/>
      </c>
      <c r="R28" s="31" t="str">
        <f>IF($AX28=3,IF($CD$10="","",INDEX(Tính!$F$39:$F$83,$CD$10)),IF($AX28=4,IF($CD$10="","",INDEX(Tính!$C$182:$V$226,$CD$10,INDEX($BJ$3:$BJ$22,$AY28))),IF($AX28=5,IF($CD$10="","",INDEX(Tính!$P$39:$P$83,$CD$10)&amp;"/"&amp;COUNTIF($BA$3:$BA$22,"?*")),IF($AX28=7,IF($CD$10="","",INDEX(Tính!$Q$39:$Q$83,$CD$10)&amp;"/"&amp;$BK$1),IF($AX28=8,IF($CD$10="","",INDEX(Tính!$R$39:$R$83,$CD$10)&amp;"/"&amp;$BL$1),"")))))</f>
        <v/>
      </c>
      <c r="S28" s="31" t="str">
        <f>IF($AX28=3,IF($CD$11="","",INDEX(Tính!$F$39:$F$83,$CD$11)),IF($AX28=4,IF($CD$11="","",INDEX(Tính!$C$182:$V$226,$CD$11,INDEX($BJ$3:$BJ$22,$AY28))),IF($AX28=5,IF($CD$11="","",INDEX(Tính!$P$39:$P$83,$CD$11)&amp;"/"&amp;COUNTIF($BA$3:$BA$22,"?*")),IF($AX28=7,IF($CD$11="","",INDEX(Tính!$Q$39:$Q$83,$CD$11)&amp;"/"&amp;$BK$1),IF($AX28=8,IF($CD$11="","",INDEX(Tính!$R$39:$R$83,$CD$11)&amp;"/"&amp;$BL$1),"")))))</f>
        <v/>
      </c>
      <c r="T28" s="31" t="str">
        <f>IF($AX28=3,IF($CD$12="","",INDEX(Tính!$F$39:$F$83,$CD$12)),IF($AX28=4,IF($CD$12="","",INDEX(Tính!$C$182:$V$226,$CD$12,INDEX($BJ$3:$BJ$22,$AY28))),IF($AX28=5,IF($CD$12="","",INDEX(Tính!$P$39:$P$83,$CD$12)&amp;"/"&amp;COUNTIF($BA$3:$BA$22,"?*")),IF($AX28=7,IF($CD$12="","",INDEX(Tính!$Q$39:$Q$83,$CD$12)&amp;"/"&amp;$BK$1),IF($AX28=8,IF($CD$12="","",INDEX(Tính!$R$39:$R$83,$CD$12)&amp;"/"&amp;$BL$1),"")))))</f>
        <v/>
      </c>
      <c r="U28" s="31" t="str">
        <f>IF($AX28=3,IF($CD$13="","",INDEX(Tính!$F$39:$F$83,$CD$13)),IF($AX28=4,IF($CD$13="","",INDEX(Tính!$C$182:$V$226,$CD$13,INDEX($BJ$3:$BJ$22,$AY28))),IF($AX28=5,IF($CD$13="","",INDEX(Tính!$P$39:$P$83,$CD$13)&amp;"/"&amp;COUNTIF($BA$3:$BA$22,"?*")),IF($AX28=7,IF($CD$13="","",INDEX(Tính!$Q$39:$Q$83,$CD$13)&amp;"/"&amp;$BK$1),IF($AX28=8,IF($CD$13="","",INDEX(Tính!$R$39:$R$83,$CD$13)&amp;"/"&amp;$BL$1),"")))))</f>
        <v/>
      </c>
      <c r="V28" s="31" t="str">
        <f>IF($AX28=3,IF($CD$14="","",INDEX(Tính!$F$39:$F$83,$CD$14)),IF($AX28=4,IF($CD$14="","",INDEX(Tính!$C$182:$V$226,$CD$14,INDEX($BJ$3:$BJ$22,$AY28))),IF($AX28=5,IF($CD$14="","",INDEX(Tính!$P$39:$P$83,$CD$14)&amp;"/"&amp;COUNTIF($BA$3:$BA$22,"?*")),IF($AX28=7,IF($CD$14="","",INDEX(Tính!$Q$39:$Q$83,$CD$14)&amp;"/"&amp;$BK$1),IF($AX28=8,IF($CD$14="","",INDEX(Tính!$R$39:$R$83,$CD$14)&amp;"/"&amp;$BL$1),"")))))</f>
        <v/>
      </c>
      <c r="W28" s="31" t="str">
        <f>IF($AX28=3,IF($CD$15="","",INDEX(Tính!$F$39:$F$83,$CD$15)),IF($AX28=4,IF($CD$15="","",INDEX(Tính!$C$182:$V$226,$CD$15,INDEX($BJ$3:$BJ$22,$AY28))),IF($AX28=5,IF($CD$15="","",INDEX(Tính!$P$39:$P$83,$CD$15)&amp;"/"&amp;COUNTIF($BA$3:$BA$22,"?*")),IF($AX28=7,IF($CD$15="","",INDEX(Tính!$Q$39:$Q$83,$CD$15)&amp;"/"&amp;$BK$1),IF($AX28=8,IF($CD$15="","",INDEX(Tính!$R$39:$R$83,$CD$15)&amp;"/"&amp;$BL$1),"")))))</f>
        <v/>
      </c>
      <c r="X28" s="31" t="str">
        <f>IF($AX28=3,IF($CD$16="","",INDEX(Tính!$F$39:$F$83,$CD$16)),IF($AX28=4,IF($CD$16="","",INDEX(Tính!$C$182:$V$226,$CD$16,INDEX($BJ$3:$BJ$22,$AY28))),IF($AX28=5,IF($CD$16="","",INDEX(Tính!$P$39:$P$83,$CD$16)&amp;"/"&amp;COUNTIF($BA$3:$BA$22,"?*")),IF($AX28=7,IF($CD$16="","",INDEX(Tính!$Q$39:$Q$83,$CD$16)&amp;"/"&amp;$BK$1),IF($AX28=8,IF($CD$16="","",INDEX(Tính!$R$39:$R$83,$CD$16)&amp;"/"&amp;$BL$1),"")))))</f>
        <v/>
      </c>
      <c r="Y28" s="31" t="str">
        <f>IF($AX28=3,IF($CD$17="","",INDEX(Tính!$F$39:$F$83,$CD$17)),IF($AX28=4,IF($CD$17="","",INDEX(Tính!$C$182:$V$226,$CD$17,INDEX($BJ$3:$BJ$22,$AY28))),IF($AX28=5,IF($CD$17="","",INDEX(Tính!$P$39:$P$83,$CD$17)&amp;"/"&amp;COUNTIF($BA$3:$BA$22,"?*")),IF($AX28=7,IF($CD$17="","",INDEX(Tính!$Q$39:$Q$83,$CD$17)&amp;"/"&amp;$BK$1),IF($AX28=8,IF($CD$17="","",INDEX(Tính!$R$39:$R$83,$CD$17)&amp;"/"&amp;$BL$1),"")))))</f>
        <v/>
      </c>
      <c r="Z28" s="31" t="str">
        <f>IF($AX28=3,IF($CD$18="","",INDEX(Tính!$F$39:$F$83,$CD$18)),IF($AX28=4,IF($CD$18="","",INDEX(Tính!$C$182:$V$226,$CD$18,INDEX($BJ$3:$BJ$22,$AY28))),IF($AX28=5,IF($CD$18="","",INDEX(Tính!$P$39:$P$83,$CD$18)&amp;"/"&amp;COUNTIF($BA$3:$BA$22,"?*")),IF($AX28=7,IF($CD$18="","",INDEX(Tính!$Q$39:$Q$83,$CD$18)&amp;"/"&amp;$BK$1),IF($AX28=8,IF($CD$18="","",INDEX(Tính!$R$39:$R$83,$CD$18)&amp;"/"&amp;$BL$1),"")))))</f>
        <v/>
      </c>
      <c r="AA28" s="31" t="str">
        <f>IF($AX28=3,IF($CD$19="","",INDEX(Tính!$F$39:$F$83,$CD$19)),IF($AX28=4,IF($CD$19="","",INDEX(Tính!$C$182:$V$226,$CD$19,INDEX($BJ$3:$BJ$22,$AY28))),IF($AX28=5,IF($CD$19="","",INDEX(Tính!$P$39:$P$83,$CD$19)&amp;"/"&amp;COUNTIF($BA$3:$BA$22,"?*")),IF($AX28=7,IF($CD$19="","",INDEX(Tính!$Q$39:$Q$83,$CD$19)&amp;"/"&amp;$BK$1),IF($AX28=8,IF($CD$19="","",INDEX(Tính!$R$39:$R$83,$CD$19)&amp;"/"&amp;$BL$1),"")))))</f>
        <v/>
      </c>
      <c r="AB28" s="31" t="str">
        <f>IF($AX28=3,IF($CD$20="","",INDEX(Tính!$F$39:$F$83,$CD$20)),IF($AX28=4,IF($CD$20="","",INDEX(Tính!$C$182:$V$226,$CD$20,INDEX($BJ$3:$BJ$22,$AY28))),IF($AX28=5,IF($CD$20="","",INDEX(Tính!$P$39:$P$83,$CD$20)&amp;"/"&amp;COUNTIF($BA$3:$BA$22,"?*")),IF($AX28=7,IF($CD$20="","",INDEX(Tính!$Q$39:$Q$83,$CD$20)&amp;"/"&amp;$BK$1),IF($AX28=8,IF($CD$20="","",INDEX(Tính!$R$39:$R$83,$CD$20)&amp;"/"&amp;$BL$1),"")))))</f>
        <v/>
      </c>
      <c r="AC28" s="31" t="str">
        <f>IF($AX28=3,IF($CD$21="","",INDEX(Tính!$F$39:$F$83,$CD$21)),IF($AX28=4,IF($CD$21="","",INDEX(Tính!$C$182:$V$226,$CD$21,INDEX($BJ$3:$BJ$22,$AY28))),IF($AX28=5,IF($CD$21="","",INDEX(Tính!$P$39:$P$83,$CD$21)&amp;"/"&amp;COUNTIF($BA$3:$BA$22,"?*")),IF($AX28=7,IF($CD$21="","",INDEX(Tính!$Q$39:$Q$83,$CD$21)&amp;"/"&amp;$BK$1),IF($AX28=8,IF($CD$21="","",INDEX(Tính!$R$39:$R$83,$CD$21)&amp;"/"&amp;$BL$1),"")))))</f>
        <v/>
      </c>
      <c r="AD28" s="31" t="str">
        <f>IF($AX28=3,IF($CD$22="","",INDEX(Tính!$F$39:$F$83,$CD$22)),IF($AX28=4,IF($CD$22="","",INDEX(Tính!$C$182:$V$226,$CD$22,INDEX($BJ$3:$BJ$22,$AY28))),IF($AX28=5,IF($CD$22="","",INDEX(Tính!$P$39:$P$83,$CD$22)&amp;"/"&amp;COUNTIF($BA$3:$BA$22,"?*")),IF($AX28=7,IF($CD$22="","",INDEX(Tính!$Q$39:$Q$83,$CD$22)&amp;"/"&amp;$BK$1),IF($AX28=8,IF($CD$22="","",INDEX(Tính!$R$39:$R$83,$CD$22)&amp;"/"&amp;$BL$1),"")))))</f>
        <v/>
      </c>
      <c r="AW28" t="str">
        <f>$BK$21</f>
        <v/>
      </c>
      <c r="AX28">
        <f>IF(24=0,0,IF(24&lt;=$AX$1,1,IF(24=$AX$1+1,2,IF(24=$AX$1+2,3,IF((24-$AX$1-2)&lt;=$AX$3,IF(INDEX($BK$3:$BK$24,(24-$AX$1-2))="C",7,IF(INDEX($BK$3:$BK$24,(24-$AX$1-2))="V",8,4)),IF((24-$AX$1-2)=$AX$3+1,5,6))))))</f>
        <v>6</v>
      </c>
      <c r="AY28">
        <f>IF(AX28=1,24,IF(AX28=4,INDEX($BL$3:$BL$24,(24-$AX$1-2)),0))</f>
        <v>0</v>
      </c>
      <c r="CA28">
        <v>26</v>
      </c>
      <c r="CB28">
        <f>IF(Tính!B64="",0,IF(OR($AZ$1=0,Tính!D64=$AZ$1),1,0))</f>
        <v>0</v>
      </c>
      <c r="CC28">
        <f>IF(CB28=1,Tính!M64+1+(45-26)/1000000,-1)</f>
        <v>-1</v>
      </c>
      <c r="CD28" t="str">
        <f>IF(LARGE($CC$3:$CC$47,26)&lt;0,"",MATCH(LARGE($CC$3:$CC$47,26),$CC$3:$CC$47,0))</f>
        <v/>
      </c>
    </row>
    <row r="29" spans="1:82" x14ac:dyDescent="0.3">
      <c r="A29" s="54" t="str">
        <f>IF($BK$22="C","NHÓM CHÍNH",IF($BK$22="V","NHÓM VƯỢT TRỘI",IF($BL$22="","",INDEX($BA$3:$BA$22,INDEX($BJ$3:$BJ$22,$BL$22)))))</f>
        <v/>
      </c>
      <c r="B29" s="52"/>
      <c r="C29" s="26" t="str">
        <f>IF($BL$22="","",INDEX($BC$3:$BC$22,INDEX($BJ$3:$BJ$22,$BL$22)))</f>
        <v/>
      </c>
      <c r="D29" s="26" t="str">
        <f>IF($BL$22="","",INDEX($BD$3:$BD$22,INDEX($BJ$3:$BJ$22,$BL$22)))</f>
        <v/>
      </c>
      <c r="E29" s="27" t="str">
        <f>IF($BL$22="","",IF(C29&gt;0,D29/C29,1))</f>
        <v/>
      </c>
      <c r="F29" s="27" t="str">
        <f>IF($BK$22="C",COUNTIFS($BB$3:$BB$22,"Chính",$BG$3:$BG$22,"&gt;=0.995")&amp;"/"&amp;$BK$1,IF($BK$22="V",COUNTIFS($BB$3:$BB$22,"Vượt trội",$BG$3:$BG$22,"&gt;=0.995")&amp;"/"&amp;$BL$1,IF($BL$22="","",INDEX($BG$3:$BG$22,INDEX($BJ$3:$BJ$22,$BL$22)))))</f>
        <v/>
      </c>
      <c r="H29" s="29" t="str">
        <f t="shared" si="2"/>
        <v/>
      </c>
      <c r="I29" s="12" t="str">
        <f>IF($AX29=0,"Nhân viên",IF($AX29=1,INDEX(Tính!$F$39:$F$83,INDEX($CD$3:$CD$47,$AY29))&amp;" · "&amp;INDEX(Tính!$O$39:$O$83,INDEX($CD$3:$CD$47,$AY29)),IF($AX29=3,"Nhóm hàng",IF($AX29=4,INDEX($BA$3:$BA$22,INDEX($BJ$3:$BJ$22,$AY29)),IF($AX29=5,"Số nhóm đạt",IF($AX29=7,"NHÓM CHÍNH",IF($AX29=8,"NHÓM VƯỢT TRỘI","")))))))</f>
        <v/>
      </c>
      <c r="J29" s="30" t="str">
        <f>IF($AX29=0,"Mục tiêu",IF($AX29=1,FIXED(INDEX(Tính!$J$39:$J$83,INDEX($CD$3:$CD$47,$AY29)),0),IF($AX29=3,"Cả shop",IF($AX29=4,INDEX($BG$3:$BG$22,INDEX($BJ$3:$BJ$22,$AY29)),IF($AX29=5,COUNTIF($BG$3:$BG$22,"&gt;=0.995")&amp;"/"&amp;COUNTIF($BA$3:$BA$22,"?*"),IF($AX29=7,COUNTIFS($BB$3:$BB$22,"Chính",$BG$3:$BG$22,"&gt;=0.995")&amp;"/"&amp;$BK$1,IF($AX29=8,COUNTIFS($BB$3:$BB$22,"Vượt trội",$BG$3:$BG$22,"&gt;=0.995")&amp;"/"&amp;$BL$1,"")))))))</f>
        <v/>
      </c>
      <c r="K29" s="30" t="str">
        <f>IF($AX29=0,"DT QĐ",IF($AX29=1,FIXED(INDEX(Tính!$K$39:$K$83,INDEX($CD$3:$CD$47,$AY29)),1),IF($AX29=3,IF($CD$3="","",INDEX(Tính!$F$39:$F$83,$CD$3)),IF($AX29=4,IF($CD$3="","",INDEX(Tính!$C$182:$V$226,$CD$3,INDEX($BJ$3:$BJ$22,$AY29))),IF($AX29=5,IF($CD$3="","",INDEX(Tính!$P$39:$P$83,$CD$3)&amp;"/"&amp;COUNTIF($BA$3:$BA$22,"?*")),IF($AX29=7,IF($CD$3="","",INDEX(Tính!$Q$39:$Q$83,$CD$3)&amp;"/"&amp;$BK$1),IF($AX29=8,IF($CD$3="","",INDEX(Tính!$R$39:$R$83,$CD$3)&amp;"/"&amp;$BL$1),"")))))))</f>
        <v/>
      </c>
      <c r="L29" s="31" t="str">
        <f>IF($AX29=0,"% HT",IF($AX29=1,INDEX(Tính!$N$39:$N$83,INDEX($CD$3:$CD$47,$AY29)),IF($AX29=3,IF($CD$4="","",INDEX(Tính!$F$39:$F$83,$CD$4)),IF($AX29=4,IF($CD$4="","",INDEX(Tính!$C$182:$V$226,$CD$4,INDEX($BJ$3:$BJ$22,$AY29))),IF($AX29=5,IF($CD$4="","",INDEX(Tính!$P$39:$P$83,$CD$4)&amp;"/"&amp;COUNTIF($BA$3:$BA$22,"?*")),IF($AX29=7,IF($CD$4="","",INDEX(Tính!$Q$39:$Q$83,$CD$4)&amp;"/"&amp;$BK$1),IF($AX29=8,IF($CD$4="","",INDEX(Tính!$R$39:$R$83,$CD$4)&amp;"/"&amp;$BL$1),"")))))))</f>
        <v/>
      </c>
      <c r="M29" s="31" t="str">
        <f>IF($AX29=0,"Dự kiến",IF($AX29=1,INDEX(Tính!$M$39:$M$83,INDEX($CD$3:$CD$47,$AY29)),IF($AX29=3,IF($CD$5="","",INDEX(Tính!$F$39:$F$83,$CD$5)),IF($AX29=4,IF($CD$5="","",INDEX(Tính!$C$182:$V$226,$CD$5,INDEX($BJ$3:$BJ$22,$AY29))),IF($AX29=5,IF($CD$5="","",INDEX(Tính!$P$39:$P$83,$CD$5)&amp;"/"&amp;COUNTIF($BA$3:$BA$22,"?*")),IF($AX29=7,IF($CD$5="","",INDEX(Tính!$Q$39:$Q$83,$CD$5)&amp;"/"&amp;$BK$1),IF($AX29=8,IF($CD$5="","",INDEX(Tính!$R$39:$R$83,$CD$5)&amp;"/"&amp;$BL$1),"")))))))</f>
        <v/>
      </c>
      <c r="N29" s="31" t="str">
        <f>IF($AX29=0,"NH đạt",IF($AX29=1,INDEX(Tính!$P$39:$P$83,INDEX($CD$3:$CD$47,$AY29))&amp;"/"&amp;COUNTIF($BA$3:$BA$22,"?*"),IF($AX29=3,IF($CD$6="","",INDEX(Tính!$F$39:$F$83,$CD$6)),IF($AX29=4,IF($CD$6="","",INDEX(Tính!$C$182:$V$226,$CD$6,INDEX($BJ$3:$BJ$22,$AY29))),IF($AX29=5,IF($CD$6="","",INDEX(Tính!$P$39:$P$83,$CD$6)&amp;"/"&amp;COUNTIF($BA$3:$BA$22,"?*")),IF($AX29=7,IF($CD$6="","",INDEX(Tính!$Q$39:$Q$83,$CD$6)&amp;"/"&amp;$BK$1),IF($AX29=8,IF($CD$6="","",INDEX(Tính!$R$39:$R$83,$CD$6)&amp;"/"&amp;$BL$1),"")))))))</f>
        <v/>
      </c>
      <c r="O29" s="31" t="str">
        <f>IF($AX29=3,IF($CD$7="","",INDEX(Tính!$F$39:$F$83,$CD$7)),IF($AX29=4,IF($CD$7="","",INDEX(Tính!$C$182:$V$226,$CD$7,INDEX($BJ$3:$BJ$22,$AY29))),IF($AX29=5,IF($CD$7="","",INDEX(Tính!$P$39:$P$83,$CD$7)&amp;"/"&amp;COUNTIF($BA$3:$BA$22,"?*")),IF($AX29=7,IF($CD$7="","",INDEX(Tính!$Q$39:$Q$83,$CD$7)&amp;"/"&amp;$BK$1),IF($AX29=8,IF($CD$7="","",INDEX(Tính!$R$39:$R$83,$CD$7)&amp;"/"&amp;$BL$1),"")))))</f>
        <v/>
      </c>
      <c r="P29" s="31" t="str">
        <f>IF($AX29=3,IF($CD$8="","",INDEX(Tính!$F$39:$F$83,$CD$8)),IF($AX29=4,IF($CD$8="","",INDEX(Tính!$C$182:$V$226,$CD$8,INDEX($BJ$3:$BJ$22,$AY29))),IF($AX29=5,IF($CD$8="","",INDEX(Tính!$P$39:$P$83,$CD$8)&amp;"/"&amp;COUNTIF($BA$3:$BA$22,"?*")),IF($AX29=7,IF($CD$8="","",INDEX(Tính!$Q$39:$Q$83,$CD$8)&amp;"/"&amp;$BK$1),IF($AX29=8,IF($CD$8="","",INDEX(Tính!$R$39:$R$83,$CD$8)&amp;"/"&amp;$BL$1),"")))))</f>
        <v/>
      </c>
      <c r="Q29" s="31" t="str">
        <f>IF($AX29=3,IF($CD$9="","",INDEX(Tính!$F$39:$F$83,$CD$9)),IF($AX29=4,IF($CD$9="","",INDEX(Tính!$C$182:$V$226,$CD$9,INDEX($BJ$3:$BJ$22,$AY29))),IF($AX29=5,IF($CD$9="","",INDEX(Tính!$P$39:$P$83,$CD$9)&amp;"/"&amp;COUNTIF($BA$3:$BA$22,"?*")),IF($AX29=7,IF($CD$9="","",INDEX(Tính!$Q$39:$Q$83,$CD$9)&amp;"/"&amp;$BK$1),IF($AX29=8,IF($CD$9="","",INDEX(Tính!$R$39:$R$83,$CD$9)&amp;"/"&amp;$BL$1),"")))))</f>
        <v/>
      </c>
      <c r="R29" s="31" t="str">
        <f>IF($AX29=3,IF($CD$10="","",INDEX(Tính!$F$39:$F$83,$CD$10)),IF($AX29=4,IF($CD$10="","",INDEX(Tính!$C$182:$V$226,$CD$10,INDEX($BJ$3:$BJ$22,$AY29))),IF($AX29=5,IF($CD$10="","",INDEX(Tính!$P$39:$P$83,$CD$10)&amp;"/"&amp;COUNTIF($BA$3:$BA$22,"?*")),IF($AX29=7,IF($CD$10="","",INDEX(Tính!$Q$39:$Q$83,$CD$10)&amp;"/"&amp;$BK$1),IF($AX29=8,IF($CD$10="","",INDEX(Tính!$R$39:$R$83,$CD$10)&amp;"/"&amp;$BL$1),"")))))</f>
        <v/>
      </c>
      <c r="S29" s="31" t="str">
        <f>IF($AX29=3,IF($CD$11="","",INDEX(Tính!$F$39:$F$83,$CD$11)),IF($AX29=4,IF($CD$11="","",INDEX(Tính!$C$182:$V$226,$CD$11,INDEX($BJ$3:$BJ$22,$AY29))),IF($AX29=5,IF($CD$11="","",INDEX(Tính!$P$39:$P$83,$CD$11)&amp;"/"&amp;COUNTIF($BA$3:$BA$22,"?*")),IF($AX29=7,IF($CD$11="","",INDEX(Tính!$Q$39:$Q$83,$CD$11)&amp;"/"&amp;$BK$1),IF($AX29=8,IF($CD$11="","",INDEX(Tính!$R$39:$R$83,$CD$11)&amp;"/"&amp;$BL$1),"")))))</f>
        <v/>
      </c>
      <c r="T29" s="31" t="str">
        <f>IF($AX29=3,IF($CD$12="","",INDEX(Tính!$F$39:$F$83,$CD$12)),IF($AX29=4,IF($CD$12="","",INDEX(Tính!$C$182:$V$226,$CD$12,INDEX($BJ$3:$BJ$22,$AY29))),IF($AX29=5,IF($CD$12="","",INDEX(Tính!$P$39:$P$83,$CD$12)&amp;"/"&amp;COUNTIF($BA$3:$BA$22,"?*")),IF($AX29=7,IF($CD$12="","",INDEX(Tính!$Q$39:$Q$83,$CD$12)&amp;"/"&amp;$BK$1),IF($AX29=8,IF($CD$12="","",INDEX(Tính!$R$39:$R$83,$CD$12)&amp;"/"&amp;$BL$1),"")))))</f>
        <v/>
      </c>
      <c r="U29" s="31" t="str">
        <f>IF($AX29=3,IF($CD$13="","",INDEX(Tính!$F$39:$F$83,$CD$13)),IF($AX29=4,IF($CD$13="","",INDEX(Tính!$C$182:$V$226,$CD$13,INDEX($BJ$3:$BJ$22,$AY29))),IF($AX29=5,IF($CD$13="","",INDEX(Tính!$P$39:$P$83,$CD$13)&amp;"/"&amp;COUNTIF($BA$3:$BA$22,"?*")),IF($AX29=7,IF($CD$13="","",INDEX(Tính!$Q$39:$Q$83,$CD$13)&amp;"/"&amp;$BK$1),IF($AX29=8,IF($CD$13="","",INDEX(Tính!$R$39:$R$83,$CD$13)&amp;"/"&amp;$BL$1),"")))))</f>
        <v/>
      </c>
      <c r="V29" s="31" t="str">
        <f>IF($AX29=3,IF($CD$14="","",INDEX(Tính!$F$39:$F$83,$CD$14)),IF($AX29=4,IF($CD$14="","",INDEX(Tính!$C$182:$V$226,$CD$14,INDEX($BJ$3:$BJ$22,$AY29))),IF($AX29=5,IF($CD$14="","",INDEX(Tính!$P$39:$P$83,$CD$14)&amp;"/"&amp;COUNTIF($BA$3:$BA$22,"?*")),IF($AX29=7,IF($CD$14="","",INDEX(Tính!$Q$39:$Q$83,$CD$14)&amp;"/"&amp;$BK$1),IF($AX29=8,IF($CD$14="","",INDEX(Tính!$R$39:$R$83,$CD$14)&amp;"/"&amp;$BL$1),"")))))</f>
        <v/>
      </c>
      <c r="W29" s="31" t="str">
        <f>IF($AX29=3,IF($CD$15="","",INDEX(Tính!$F$39:$F$83,$CD$15)),IF($AX29=4,IF($CD$15="","",INDEX(Tính!$C$182:$V$226,$CD$15,INDEX($BJ$3:$BJ$22,$AY29))),IF($AX29=5,IF($CD$15="","",INDEX(Tính!$P$39:$P$83,$CD$15)&amp;"/"&amp;COUNTIF($BA$3:$BA$22,"?*")),IF($AX29=7,IF($CD$15="","",INDEX(Tính!$Q$39:$Q$83,$CD$15)&amp;"/"&amp;$BK$1),IF($AX29=8,IF($CD$15="","",INDEX(Tính!$R$39:$R$83,$CD$15)&amp;"/"&amp;$BL$1),"")))))</f>
        <v/>
      </c>
      <c r="X29" s="31" t="str">
        <f>IF($AX29=3,IF($CD$16="","",INDEX(Tính!$F$39:$F$83,$CD$16)),IF($AX29=4,IF($CD$16="","",INDEX(Tính!$C$182:$V$226,$CD$16,INDEX($BJ$3:$BJ$22,$AY29))),IF($AX29=5,IF($CD$16="","",INDEX(Tính!$P$39:$P$83,$CD$16)&amp;"/"&amp;COUNTIF($BA$3:$BA$22,"?*")),IF($AX29=7,IF($CD$16="","",INDEX(Tính!$Q$39:$Q$83,$CD$16)&amp;"/"&amp;$BK$1),IF($AX29=8,IF($CD$16="","",INDEX(Tính!$R$39:$R$83,$CD$16)&amp;"/"&amp;$BL$1),"")))))</f>
        <v/>
      </c>
      <c r="Y29" s="31" t="str">
        <f>IF($AX29=3,IF($CD$17="","",INDEX(Tính!$F$39:$F$83,$CD$17)),IF($AX29=4,IF($CD$17="","",INDEX(Tính!$C$182:$V$226,$CD$17,INDEX($BJ$3:$BJ$22,$AY29))),IF($AX29=5,IF($CD$17="","",INDEX(Tính!$P$39:$P$83,$CD$17)&amp;"/"&amp;COUNTIF($BA$3:$BA$22,"?*")),IF($AX29=7,IF($CD$17="","",INDEX(Tính!$Q$39:$Q$83,$CD$17)&amp;"/"&amp;$BK$1),IF($AX29=8,IF($CD$17="","",INDEX(Tính!$R$39:$R$83,$CD$17)&amp;"/"&amp;$BL$1),"")))))</f>
        <v/>
      </c>
      <c r="Z29" s="31" t="str">
        <f>IF($AX29=3,IF($CD$18="","",INDEX(Tính!$F$39:$F$83,$CD$18)),IF($AX29=4,IF($CD$18="","",INDEX(Tính!$C$182:$V$226,$CD$18,INDEX($BJ$3:$BJ$22,$AY29))),IF($AX29=5,IF($CD$18="","",INDEX(Tính!$P$39:$P$83,$CD$18)&amp;"/"&amp;COUNTIF($BA$3:$BA$22,"?*")),IF($AX29=7,IF($CD$18="","",INDEX(Tính!$Q$39:$Q$83,$CD$18)&amp;"/"&amp;$BK$1),IF($AX29=8,IF($CD$18="","",INDEX(Tính!$R$39:$R$83,$CD$18)&amp;"/"&amp;$BL$1),"")))))</f>
        <v/>
      </c>
      <c r="AA29" s="31" t="str">
        <f>IF($AX29=3,IF($CD$19="","",INDEX(Tính!$F$39:$F$83,$CD$19)),IF($AX29=4,IF($CD$19="","",INDEX(Tính!$C$182:$V$226,$CD$19,INDEX($BJ$3:$BJ$22,$AY29))),IF($AX29=5,IF($CD$19="","",INDEX(Tính!$P$39:$P$83,$CD$19)&amp;"/"&amp;COUNTIF($BA$3:$BA$22,"?*")),IF($AX29=7,IF($CD$19="","",INDEX(Tính!$Q$39:$Q$83,$CD$19)&amp;"/"&amp;$BK$1),IF($AX29=8,IF($CD$19="","",INDEX(Tính!$R$39:$R$83,$CD$19)&amp;"/"&amp;$BL$1),"")))))</f>
        <v/>
      </c>
      <c r="AB29" s="31" t="str">
        <f>IF($AX29=3,IF($CD$20="","",INDEX(Tính!$F$39:$F$83,$CD$20)),IF($AX29=4,IF($CD$20="","",INDEX(Tính!$C$182:$V$226,$CD$20,INDEX($BJ$3:$BJ$22,$AY29))),IF($AX29=5,IF($CD$20="","",INDEX(Tính!$P$39:$P$83,$CD$20)&amp;"/"&amp;COUNTIF($BA$3:$BA$22,"?*")),IF($AX29=7,IF($CD$20="","",INDEX(Tính!$Q$39:$Q$83,$CD$20)&amp;"/"&amp;$BK$1),IF($AX29=8,IF($CD$20="","",INDEX(Tính!$R$39:$R$83,$CD$20)&amp;"/"&amp;$BL$1),"")))))</f>
        <v/>
      </c>
      <c r="AC29" s="31" t="str">
        <f>IF($AX29=3,IF($CD$21="","",INDEX(Tính!$F$39:$F$83,$CD$21)),IF($AX29=4,IF($CD$21="","",INDEX(Tính!$C$182:$V$226,$CD$21,INDEX($BJ$3:$BJ$22,$AY29))),IF($AX29=5,IF($CD$21="","",INDEX(Tính!$P$39:$P$83,$CD$21)&amp;"/"&amp;COUNTIF($BA$3:$BA$22,"?*")),IF($AX29=7,IF($CD$21="","",INDEX(Tính!$Q$39:$Q$83,$CD$21)&amp;"/"&amp;$BK$1),IF($AX29=8,IF($CD$21="","",INDEX(Tính!$R$39:$R$83,$CD$21)&amp;"/"&amp;$BL$1),"")))))</f>
        <v/>
      </c>
      <c r="AD29" s="31" t="str">
        <f>IF($AX29=3,IF($CD$22="","",INDEX(Tính!$F$39:$F$83,$CD$22)),IF($AX29=4,IF($CD$22="","",INDEX(Tính!$C$182:$V$226,$CD$22,INDEX($BJ$3:$BJ$22,$AY29))),IF($AX29=5,IF($CD$22="","",INDEX(Tính!$P$39:$P$83,$CD$22)&amp;"/"&amp;COUNTIF($BA$3:$BA$22,"?*")),IF($AX29=7,IF($CD$22="","",INDEX(Tính!$Q$39:$Q$83,$CD$22)&amp;"/"&amp;$BK$1),IF($AX29=8,IF($CD$22="","",INDEX(Tính!$R$39:$R$83,$CD$22)&amp;"/"&amp;$BL$1),"")))))</f>
        <v/>
      </c>
      <c r="AW29" t="str">
        <f>$BK$22</f>
        <v/>
      </c>
      <c r="AX29">
        <f>IF(25=0,0,IF(25&lt;=$AX$1,1,IF(25=$AX$1+1,2,IF(25=$AX$1+2,3,IF((25-$AX$1-2)&lt;=$AX$3,IF(INDEX($BK$3:$BK$24,(25-$AX$1-2))="C",7,IF(INDEX($BK$3:$BK$24,(25-$AX$1-2))="V",8,4)),IF((25-$AX$1-2)=$AX$3+1,5,6))))))</f>
        <v>6</v>
      </c>
      <c r="AY29">
        <f>IF(AX29=1,25,IF(AX29=4,INDEX($BL$3:$BL$24,(25-$AX$1-2)),0))</f>
        <v>0</v>
      </c>
      <c r="CA29">
        <v>27</v>
      </c>
      <c r="CB29">
        <f>IF(Tính!B65="",0,IF(OR($AZ$1=0,Tính!D65=$AZ$1),1,0))</f>
        <v>0</v>
      </c>
      <c r="CC29">
        <f>IF(CB29=1,Tính!M65+1+(45-27)/1000000,-1)</f>
        <v>-1</v>
      </c>
      <c r="CD29" t="str">
        <f>IF(LARGE($CC$3:$CC$47,27)&lt;0,"",MATCH(LARGE($CC$3:$CC$47,27),$CC$3:$CC$47,0))</f>
        <v/>
      </c>
    </row>
    <row r="30" spans="1:82" x14ac:dyDescent="0.3">
      <c r="A30" s="54" t="str">
        <f>IF($BK$23="C","NHÓM CHÍNH",IF($BK$23="V","NHÓM VƯỢT TRỘI",IF($BL$23="","",INDEX($BA$3:$BA$22,INDEX($BJ$3:$BJ$22,$BL$23)))))</f>
        <v/>
      </c>
      <c r="B30" s="52"/>
      <c r="C30" s="26" t="str">
        <f>IF($BL$23="","",INDEX($BC$3:$BC$22,INDEX($BJ$3:$BJ$22,$BL$23)))</f>
        <v/>
      </c>
      <c r="D30" s="26" t="str">
        <f>IF($BL$23="","",INDEX($BD$3:$BD$22,INDEX($BJ$3:$BJ$22,$BL$23)))</f>
        <v/>
      </c>
      <c r="E30" s="27" t="str">
        <f>IF($BL$23="","",IF(C30&gt;0,D30/C30,1))</f>
        <v/>
      </c>
      <c r="F30" s="27" t="str">
        <f>IF($BK$23="C",COUNTIFS($BB$3:$BB$22,"Chính",$BG$3:$BG$22,"&gt;=0.995")&amp;"/"&amp;$BK$1,IF($BK$23="V",COUNTIFS($BB$3:$BB$22,"Vượt trội",$BG$3:$BG$22,"&gt;=0.995")&amp;"/"&amp;$BL$1,IF($BL$23="","",INDEX($BG$3:$BG$22,INDEX($BJ$3:$BJ$22,$BL$23)))))</f>
        <v/>
      </c>
      <c r="H30" s="29" t="str">
        <f t="shared" si="2"/>
        <v/>
      </c>
      <c r="I30" s="12" t="str">
        <f>IF($AX30=0,"Nhân viên",IF($AX30=1,INDEX(Tính!$F$39:$F$83,INDEX($CD$3:$CD$47,$AY30))&amp;" · "&amp;INDEX(Tính!$O$39:$O$83,INDEX($CD$3:$CD$47,$AY30)),IF($AX30=3,"Nhóm hàng",IF($AX30=4,INDEX($BA$3:$BA$22,INDEX($BJ$3:$BJ$22,$AY30)),IF($AX30=5,"Số nhóm đạt",IF($AX30=7,"NHÓM CHÍNH",IF($AX30=8,"NHÓM VƯỢT TRỘI","")))))))</f>
        <v/>
      </c>
      <c r="J30" s="30" t="str">
        <f>IF($AX30=0,"Mục tiêu",IF($AX30=1,FIXED(INDEX(Tính!$J$39:$J$83,INDEX($CD$3:$CD$47,$AY30)),0),IF($AX30=3,"Cả shop",IF($AX30=4,INDEX($BG$3:$BG$22,INDEX($BJ$3:$BJ$22,$AY30)),IF($AX30=5,COUNTIF($BG$3:$BG$22,"&gt;=0.995")&amp;"/"&amp;COUNTIF($BA$3:$BA$22,"?*"),IF($AX30=7,COUNTIFS($BB$3:$BB$22,"Chính",$BG$3:$BG$22,"&gt;=0.995")&amp;"/"&amp;$BK$1,IF($AX30=8,COUNTIFS($BB$3:$BB$22,"Vượt trội",$BG$3:$BG$22,"&gt;=0.995")&amp;"/"&amp;$BL$1,"")))))))</f>
        <v/>
      </c>
      <c r="K30" s="30" t="str">
        <f>IF($AX30=0,"DT QĐ",IF($AX30=1,FIXED(INDEX(Tính!$K$39:$K$83,INDEX($CD$3:$CD$47,$AY30)),1),IF($AX30=3,IF($CD$3="","",INDEX(Tính!$F$39:$F$83,$CD$3)),IF($AX30=4,IF($CD$3="","",INDEX(Tính!$C$182:$V$226,$CD$3,INDEX($BJ$3:$BJ$22,$AY30))),IF($AX30=5,IF($CD$3="","",INDEX(Tính!$P$39:$P$83,$CD$3)&amp;"/"&amp;COUNTIF($BA$3:$BA$22,"?*")),IF($AX30=7,IF($CD$3="","",INDEX(Tính!$Q$39:$Q$83,$CD$3)&amp;"/"&amp;$BK$1),IF($AX30=8,IF($CD$3="","",INDEX(Tính!$R$39:$R$83,$CD$3)&amp;"/"&amp;$BL$1),"")))))))</f>
        <v/>
      </c>
      <c r="L30" s="31" t="str">
        <f>IF($AX30=0,"% HT",IF($AX30=1,INDEX(Tính!$N$39:$N$83,INDEX($CD$3:$CD$47,$AY30)),IF($AX30=3,IF($CD$4="","",INDEX(Tính!$F$39:$F$83,$CD$4)),IF($AX30=4,IF($CD$4="","",INDEX(Tính!$C$182:$V$226,$CD$4,INDEX($BJ$3:$BJ$22,$AY30))),IF($AX30=5,IF($CD$4="","",INDEX(Tính!$P$39:$P$83,$CD$4)&amp;"/"&amp;COUNTIF($BA$3:$BA$22,"?*")),IF($AX30=7,IF($CD$4="","",INDEX(Tính!$Q$39:$Q$83,$CD$4)&amp;"/"&amp;$BK$1),IF($AX30=8,IF($CD$4="","",INDEX(Tính!$R$39:$R$83,$CD$4)&amp;"/"&amp;$BL$1),"")))))))</f>
        <v/>
      </c>
      <c r="M30" s="31" t="str">
        <f>IF($AX30=0,"Dự kiến",IF($AX30=1,INDEX(Tính!$M$39:$M$83,INDEX($CD$3:$CD$47,$AY30)),IF($AX30=3,IF($CD$5="","",INDEX(Tính!$F$39:$F$83,$CD$5)),IF($AX30=4,IF($CD$5="","",INDEX(Tính!$C$182:$V$226,$CD$5,INDEX($BJ$3:$BJ$22,$AY30))),IF($AX30=5,IF($CD$5="","",INDEX(Tính!$P$39:$P$83,$CD$5)&amp;"/"&amp;COUNTIF($BA$3:$BA$22,"?*")),IF($AX30=7,IF($CD$5="","",INDEX(Tính!$Q$39:$Q$83,$CD$5)&amp;"/"&amp;$BK$1),IF($AX30=8,IF($CD$5="","",INDEX(Tính!$R$39:$R$83,$CD$5)&amp;"/"&amp;$BL$1),"")))))))</f>
        <v/>
      </c>
      <c r="N30" s="31" t="str">
        <f>IF($AX30=0,"NH đạt",IF($AX30=1,INDEX(Tính!$P$39:$P$83,INDEX($CD$3:$CD$47,$AY30))&amp;"/"&amp;COUNTIF($BA$3:$BA$22,"?*"),IF($AX30=3,IF($CD$6="","",INDEX(Tính!$F$39:$F$83,$CD$6)),IF($AX30=4,IF($CD$6="","",INDEX(Tính!$C$182:$V$226,$CD$6,INDEX($BJ$3:$BJ$22,$AY30))),IF($AX30=5,IF($CD$6="","",INDEX(Tính!$P$39:$P$83,$CD$6)&amp;"/"&amp;COUNTIF($BA$3:$BA$22,"?*")),IF($AX30=7,IF($CD$6="","",INDEX(Tính!$Q$39:$Q$83,$CD$6)&amp;"/"&amp;$BK$1),IF($AX30=8,IF($CD$6="","",INDEX(Tính!$R$39:$R$83,$CD$6)&amp;"/"&amp;$BL$1),"")))))))</f>
        <v/>
      </c>
      <c r="O30" s="31" t="str">
        <f>IF($AX30=3,IF($CD$7="","",INDEX(Tính!$F$39:$F$83,$CD$7)),IF($AX30=4,IF($CD$7="","",INDEX(Tính!$C$182:$V$226,$CD$7,INDEX($BJ$3:$BJ$22,$AY30))),IF($AX30=5,IF($CD$7="","",INDEX(Tính!$P$39:$P$83,$CD$7)&amp;"/"&amp;COUNTIF($BA$3:$BA$22,"?*")),IF($AX30=7,IF($CD$7="","",INDEX(Tính!$Q$39:$Q$83,$CD$7)&amp;"/"&amp;$BK$1),IF($AX30=8,IF($CD$7="","",INDEX(Tính!$R$39:$R$83,$CD$7)&amp;"/"&amp;$BL$1),"")))))</f>
        <v/>
      </c>
      <c r="P30" s="31" t="str">
        <f>IF($AX30=3,IF($CD$8="","",INDEX(Tính!$F$39:$F$83,$CD$8)),IF($AX30=4,IF($CD$8="","",INDEX(Tính!$C$182:$V$226,$CD$8,INDEX($BJ$3:$BJ$22,$AY30))),IF($AX30=5,IF($CD$8="","",INDEX(Tính!$P$39:$P$83,$CD$8)&amp;"/"&amp;COUNTIF($BA$3:$BA$22,"?*")),IF($AX30=7,IF($CD$8="","",INDEX(Tính!$Q$39:$Q$83,$CD$8)&amp;"/"&amp;$BK$1),IF($AX30=8,IF($CD$8="","",INDEX(Tính!$R$39:$R$83,$CD$8)&amp;"/"&amp;$BL$1),"")))))</f>
        <v/>
      </c>
      <c r="Q30" s="31" t="str">
        <f>IF($AX30=3,IF($CD$9="","",INDEX(Tính!$F$39:$F$83,$CD$9)),IF($AX30=4,IF($CD$9="","",INDEX(Tính!$C$182:$V$226,$CD$9,INDEX($BJ$3:$BJ$22,$AY30))),IF($AX30=5,IF($CD$9="","",INDEX(Tính!$P$39:$P$83,$CD$9)&amp;"/"&amp;COUNTIF($BA$3:$BA$22,"?*")),IF($AX30=7,IF($CD$9="","",INDEX(Tính!$Q$39:$Q$83,$CD$9)&amp;"/"&amp;$BK$1),IF($AX30=8,IF($CD$9="","",INDEX(Tính!$R$39:$R$83,$CD$9)&amp;"/"&amp;$BL$1),"")))))</f>
        <v/>
      </c>
      <c r="R30" s="31" t="str">
        <f>IF($AX30=3,IF($CD$10="","",INDEX(Tính!$F$39:$F$83,$CD$10)),IF($AX30=4,IF($CD$10="","",INDEX(Tính!$C$182:$V$226,$CD$10,INDEX($BJ$3:$BJ$22,$AY30))),IF($AX30=5,IF($CD$10="","",INDEX(Tính!$P$39:$P$83,$CD$10)&amp;"/"&amp;COUNTIF($BA$3:$BA$22,"?*")),IF($AX30=7,IF($CD$10="","",INDEX(Tính!$Q$39:$Q$83,$CD$10)&amp;"/"&amp;$BK$1),IF($AX30=8,IF($CD$10="","",INDEX(Tính!$R$39:$R$83,$CD$10)&amp;"/"&amp;$BL$1),"")))))</f>
        <v/>
      </c>
      <c r="S30" s="31" t="str">
        <f>IF($AX30=3,IF($CD$11="","",INDEX(Tính!$F$39:$F$83,$CD$11)),IF($AX30=4,IF($CD$11="","",INDEX(Tính!$C$182:$V$226,$CD$11,INDEX($BJ$3:$BJ$22,$AY30))),IF($AX30=5,IF($CD$11="","",INDEX(Tính!$P$39:$P$83,$CD$11)&amp;"/"&amp;COUNTIF($BA$3:$BA$22,"?*")),IF($AX30=7,IF($CD$11="","",INDEX(Tính!$Q$39:$Q$83,$CD$11)&amp;"/"&amp;$BK$1),IF($AX30=8,IF($CD$11="","",INDEX(Tính!$R$39:$R$83,$CD$11)&amp;"/"&amp;$BL$1),"")))))</f>
        <v/>
      </c>
      <c r="T30" s="31" t="str">
        <f>IF($AX30=3,IF($CD$12="","",INDEX(Tính!$F$39:$F$83,$CD$12)),IF($AX30=4,IF($CD$12="","",INDEX(Tính!$C$182:$V$226,$CD$12,INDEX($BJ$3:$BJ$22,$AY30))),IF($AX30=5,IF($CD$12="","",INDEX(Tính!$P$39:$P$83,$CD$12)&amp;"/"&amp;COUNTIF($BA$3:$BA$22,"?*")),IF($AX30=7,IF($CD$12="","",INDEX(Tính!$Q$39:$Q$83,$CD$12)&amp;"/"&amp;$BK$1),IF($AX30=8,IF($CD$12="","",INDEX(Tính!$R$39:$R$83,$CD$12)&amp;"/"&amp;$BL$1),"")))))</f>
        <v/>
      </c>
      <c r="U30" s="31" t="str">
        <f>IF($AX30=3,IF($CD$13="","",INDEX(Tính!$F$39:$F$83,$CD$13)),IF($AX30=4,IF($CD$13="","",INDEX(Tính!$C$182:$V$226,$CD$13,INDEX($BJ$3:$BJ$22,$AY30))),IF($AX30=5,IF($CD$13="","",INDEX(Tính!$P$39:$P$83,$CD$13)&amp;"/"&amp;COUNTIF($BA$3:$BA$22,"?*")),IF($AX30=7,IF($CD$13="","",INDEX(Tính!$Q$39:$Q$83,$CD$13)&amp;"/"&amp;$BK$1),IF($AX30=8,IF($CD$13="","",INDEX(Tính!$R$39:$R$83,$CD$13)&amp;"/"&amp;$BL$1),"")))))</f>
        <v/>
      </c>
      <c r="V30" s="31" t="str">
        <f>IF($AX30=3,IF($CD$14="","",INDEX(Tính!$F$39:$F$83,$CD$14)),IF($AX30=4,IF($CD$14="","",INDEX(Tính!$C$182:$V$226,$CD$14,INDEX($BJ$3:$BJ$22,$AY30))),IF($AX30=5,IF($CD$14="","",INDEX(Tính!$P$39:$P$83,$CD$14)&amp;"/"&amp;COUNTIF($BA$3:$BA$22,"?*")),IF($AX30=7,IF($CD$14="","",INDEX(Tính!$Q$39:$Q$83,$CD$14)&amp;"/"&amp;$BK$1),IF($AX30=8,IF($CD$14="","",INDEX(Tính!$R$39:$R$83,$CD$14)&amp;"/"&amp;$BL$1),"")))))</f>
        <v/>
      </c>
      <c r="W30" s="31" t="str">
        <f>IF($AX30=3,IF($CD$15="","",INDEX(Tính!$F$39:$F$83,$CD$15)),IF($AX30=4,IF($CD$15="","",INDEX(Tính!$C$182:$V$226,$CD$15,INDEX($BJ$3:$BJ$22,$AY30))),IF($AX30=5,IF($CD$15="","",INDEX(Tính!$P$39:$P$83,$CD$15)&amp;"/"&amp;COUNTIF($BA$3:$BA$22,"?*")),IF($AX30=7,IF($CD$15="","",INDEX(Tính!$Q$39:$Q$83,$CD$15)&amp;"/"&amp;$BK$1),IF($AX30=8,IF($CD$15="","",INDEX(Tính!$R$39:$R$83,$CD$15)&amp;"/"&amp;$BL$1),"")))))</f>
        <v/>
      </c>
      <c r="X30" s="31" t="str">
        <f>IF($AX30=3,IF($CD$16="","",INDEX(Tính!$F$39:$F$83,$CD$16)),IF($AX30=4,IF($CD$16="","",INDEX(Tính!$C$182:$V$226,$CD$16,INDEX($BJ$3:$BJ$22,$AY30))),IF($AX30=5,IF($CD$16="","",INDEX(Tính!$P$39:$P$83,$CD$16)&amp;"/"&amp;COUNTIF($BA$3:$BA$22,"?*")),IF($AX30=7,IF($CD$16="","",INDEX(Tính!$Q$39:$Q$83,$CD$16)&amp;"/"&amp;$BK$1),IF($AX30=8,IF($CD$16="","",INDEX(Tính!$R$39:$R$83,$CD$16)&amp;"/"&amp;$BL$1),"")))))</f>
        <v/>
      </c>
      <c r="Y30" s="31" t="str">
        <f>IF($AX30=3,IF($CD$17="","",INDEX(Tính!$F$39:$F$83,$CD$17)),IF($AX30=4,IF($CD$17="","",INDEX(Tính!$C$182:$V$226,$CD$17,INDEX($BJ$3:$BJ$22,$AY30))),IF($AX30=5,IF($CD$17="","",INDEX(Tính!$P$39:$P$83,$CD$17)&amp;"/"&amp;COUNTIF($BA$3:$BA$22,"?*")),IF($AX30=7,IF($CD$17="","",INDEX(Tính!$Q$39:$Q$83,$CD$17)&amp;"/"&amp;$BK$1),IF($AX30=8,IF($CD$17="","",INDEX(Tính!$R$39:$R$83,$CD$17)&amp;"/"&amp;$BL$1),"")))))</f>
        <v/>
      </c>
      <c r="Z30" s="31" t="str">
        <f>IF($AX30=3,IF($CD$18="","",INDEX(Tính!$F$39:$F$83,$CD$18)),IF($AX30=4,IF($CD$18="","",INDEX(Tính!$C$182:$V$226,$CD$18,INDEX($BJ$3:$BJ$22,$AY30))),IF($AX30=5,IF($CD$18="","",INDEX(Tính!$P$39:$P$83,$CD$18)&amp;"/"&amp;COUNTIF($BA$3:$BA$22,"?*")),IF($AX30=7,IF($CD$18="","",INDEX(Tính!$Q$39:$Q$83,$CD$18)&amp;"/"&amp;$BK$1),IF($AX30=8,IF($CD$18="","",INDEX(Tính!$R$39:$R$83,$CD$18)&amp;"/"&amp;$BL$1),"")))))</f>
        <v/>
      </c>
      <c r="AA30" s="31" t="str">
        <f>IF($AX30=3,IF($CD$19="","",INDEX(Tính!$F$39:$F$83,$CD$19)),IF($AX30=4,IF($CD$19="","",INDEX(Tính!$C$182:$V$226,$CD$19,INDEX($BJ$3:$BJ$22,$AY30))),IF($AX30=5,IF($CD$19="","",INDEX(Tính!$P$39:$P$83,$CD$19)&amp;"/"&amp;COUNTIF($BA$3:$BA$22,"?*")),IF($AX30=7,IF($CD$19="","",INDEX(Tính!$Q$39:$Q$83,$CD$19)&amp;"/"&amp;$BK$1),IF($AX30=8,IF($CD$19="","",INDEX(Tính!$R$39:$R$83,$CD$19)&amp;"/"&amp;$BL$1),"")))))</f>
        <v/>
      </c>
      <c r="AB30" s="31" t="str">
        <f>IF($AX30=3,IF($CD$20="","",INDEX(Tính!$F$39:$F$83,$CD$20)),IF($AX30=4,IF($CD$20="","",INDEX(Tính!$C$182:$V$226,$CD$20,INDEX($BJ$3:$BJ$22,$AY30))),IF($AX30=5,IF($CD$20="","",INDEX(Tính!$P$39:$P$83,$CD$20)&amp;"/"&amp;COUNTIF($BA$3:$BA$22,"?*")),IF($AX30=7,IF($CD$20="","",INDEX(Tính!$Q$39:$Q$83,$CD$20)&amp;"/"&amp;$BK$1),IF($AX30=8,IF($CD$20="","",INDEX(Tính!$R$39:$R$83,$CD$20)&amp;"/"&amp;$BL$1),"")))))</f>
        <v/>
      </c>
      <c r="AC30" s="31" t="str">
        <f>IF($AX30=3,IF($CD$21="","",INDEX(Tính!$F$39:$F$83,$CD$21)),IF($AX30=4,IF($CD$21="","",INDEX(Tính!$C$182:$V$226,$CD$21,INDEX($BJ$3:$BJ$22,$AY30))),IF($AX30=5,IF($CD$21="","",INDEX(Tính!$P$39:$P$83,$CD$21)&amp;"/"&amp;COUNTIF($BA$3:$BA$22,"?*")),IF($AX30=7,IF($CD$21="","",INDEX(Tính!$Q$39:$Q$83,$CD$21)&amp;"/"&amp;$BK$1),IF($AX30=8,IF($CD$21="","",INDEX(Tính!$R$39:$R$83,$CD$21)&amp;"/"&amp;$BL$1),"")))))</f>
        <v/>
      </c>
      <c r="AD30" s="31" t="str">
        <f>IF($AX30=3,IF($CD$22="","",INDEX(Tính!$F$39:$F$83,$CD$22)),IF($AX30=4,IF($CD$22="","",INDEX(Tính!$C$182:$V$226,$CD$22,INDEX($BJ$3:$BJ$22,$AY30))),IF($AX30=5,IF($CD$22="","",INDEX(Tính!$P$39:$P$83,$CD$22)&amp;"/"&amp;COUNTIF($BA$3:$BA$22,"?*")),IF($AX30=7,IF($CD$22="","",INDEX(Tính!$Q$39:$Q$83,$CD$22)&amp;"/"&amp;$BK$1),IF($AX30=8,IF($CD$22="","",INDEX(Tính!$R$39:$R$83,$CD$22)&amp;"/"&amp;$BL$1),"")))))</f>
        <v/>
      </c>
      <c r="AW30" t="str">
        <f>$BK$23</f>
        <v/>
      </c>
      <c r="AX30">
        <f>IF(26=0,0,IF(26&lt;=$AX$1,1,IF(26=$AX$1+1,2,IF(26=$AX$1+2,3,IF((26-$AX$1-2)&lt;=$AX$3,IF(INDEX($BK$3:$BK$24,(26-$AX$1-2))="C",7,IF(INDEX($BK$3:$BK$24,(26-$AX$1-2))="V",8,4)),IF((26-$AX$1-2)=$AX$3+1,5,6))))))</f>
        <v>6</v>
      </c>
      <c r="AY30">
        <f>IF(AX30=1,26,IF(AX30=4,INDEX($BL$3:$BL$24,(26-$AX$1-2)),0))</f>
        <v>0</v>
      </c>
      <c r="CA30">
        <v>28</v>
      </c>
      <c r="CB30">
        <f>IF(Tính!B66="",0,IF(OR($AZ$1=0,Tính!D66=$AZ$1),1,0))</f>
        <v>0</v>
      </c>
      <c r="CC30">
        <f>IF(CB30=1,Tính!M66+1+(45-28)/1000000,-1)</f>
        <v>-1</v>
      </c>
      <c r="CD30" t="str">
        <f>IF(LARGE($CC$3:$CC$47,28)&lt;0,"",MATCH(LARGE($CC$3:$CC$47,28),$CC$3:$CC$47,0))</f>
        <v/>
      </c>
    </row>
    <row r="31" spans="1:82" x14ac:dyDescent="0.3">
      <c r="A31" s="54" t="str">
        <f>IF($BK$24="C","NHÓM CHÍNH",IF($BK$24="V","NHÓM VƯỢT TRỘI",IF($BL$24="","",INDEX($BA$3:$BA$22,INDEX($BJ$3:$BJ$22,$BL$24)))))</f>
        <v/>
      </c>
      <c r="B31" s="52"/>
      <c r="C31" s="26" t="str">
        <f>IF($BL$24="","",INDEX($BC$3:$BC$22,INDEX($BJ$3:$BJ$22,$BL$24)))</f>
        <v/>
      </c>
      <c r="D31" s="26" t="str">
        <f>IF($BL$24="","",INDEX($BD$3:$BD$22,INDEX($BJ$3:$BJ$22,$BL$24)))</f>
        <v/>
      </c>
      <c r="E31" s="27" t="str">
        <f>IF($BL$24="","",IF(C31&gt;0,D31/C31,1))</f>
        <v/>
      </c>
      <c r="F31" s="27" t="str">
        <f>IF($BK$24="C",COUNTIFS($BB$3:$BB$22,"Chính",$BG$3:$BG$22,"&gt;=0.995")&amp;"/"&amp;$BK$1,IF($BK$24="V",COUNTIFS($BB$3:$BB$22,"Vượt trội",$BG$3:$BG$22,"&gt;=0.995")&amp;"/"&amp;$BL$1,IF($BL$24="","",INDEX($BG$3:$BG$22,INDEX($BJ$3:$BJ$22,$BL$24)))))</f>
        <v/>
      </c>
      <c r="H31" s="29" t="str">
        <f t="shared" si="2"/>
        <v/>
      </c>
      <c r="I31" s="12" t="str">
        <f>IF($AX31=0,"Nhân viên",IF($AX31=1,INDEX(Tính!$F$39:$F$83,INDEX($CD$3:$CD$47,$AY31))&amp;" · "&amp;INDEX(Tính!$O$39:$O$83,INDEX($CD$3:$CD$47,$AY31)),IF($AX31=3,"Nhóm hàng",IF($AX31=4,INDEX($BA$3:$BA$22,INDEX($BJ$3:$BJ$22,$AY31)),IF($AX31=5,"Số nhóm đạt",IF($AX31=7,"NHÓM CHÍNH",IF($AX31=8,"NHÓM VƯỢT TRỘI","")))))))</f>
        <v/>
      </c>
      <c r="J31" s="30" t="str">
        <f>IF($AX31=0,"Mục tiêu",IF($AX31=1,FIXED(INDEX(Tính!$J$39:$J$83,INDEX($CD$3:$CD$47,$AY31)),0),IF($AX31=3,"Cả shop",IF($AX31=4,INDEX($BG$3:$BG$22,INDEX($BJ$3:$BJ$22,$AY31)),IF($AX31=5,COUNTIF($BG$3:$BG$22,"&gt;=0.995")&amp;"/"&amp;COUNTIF($BA$3:$BA$22,"?*"),IF($AX31=7,COUNTIFS($BB$3:$BB$22,"Chính",$BG$3:$BG$22,"&gt;=0.995")&amp;"/"&amp;$BK$1,IF($AX31=8,COUNTIFS($BB$3:$BB$22,"Vượt trội",$BG$3:$BG$22,"&gt;=0.995")&amp;"/"&amp;$BL$1,"")))))))</f>
        <v/>
      </c>
      <c r="K31" s="30" t="str">
        <f>IF($AX31=0,"DT QĐ",IF($AX31=1,FIXED(INDEX(Tính!$K$39:$K$83,INDEX($CD$3:$CD$47,$AY31)),1),IF($AX31=3,IF($CD$3="","",INDEX(Tính!$F$39:$F$83,$CD$3)),IF($AX31=4,IF($CD$3="","",INDEX(Tính!$C$182:$V$226,$CD$3,INDEX($BJ$3:$BJ$22,$AY31))),IF($AX31=5,IF($CD$3="","",INDEX(Tính!$P$39:$P$83,$CD$3)&amp;"/"&amp;COUNTIF($BA$3:$BA$22,"?*")),IF($AX31=7,IF($CD$3="","",INDEX(Tính!$Q$39:$Q$83,$CD$3)&amp;"/"&amp;$BK$1),IF($AX31=8,IF($CD$3="","",INDEX(Tính!$R$39:$R$83,$CD$3)&amp;"/"&amp;$BL$1),"")))))))</f>
        <v/>
      </c>
      <c r="L31" s="31" t="str">
        <f>IF($AX31=0,"% HT",IF($AX31=1,INDEX(Tính!$N$39:$N$83,INDEX($CD$3:$CD$47,$AY31)),IF($AX31=3,IF($CD$4="","",INDEX(Tính!$F$39:$F$83,$CD$4)),IF($AX31=4,IF($CD$4="","",INDEX(Tính!$C$182:$V$226,$CD$4,INDEX($BJ$3:$BJ$22,$AY31))),IF($AX31=5,IF($CD$4="","",INDEX(Tính!$P$39:$P$83,$CD$4)&amp;"/"&amp;COUNTIF($BA$3:$BA$22,"?*")),IF($AX31=7,IF($CD$4="","",INDEX(Tính!$Q$39:$Q$83,$CD$4)&amp;"/"&amp;$BK$1),IF($AX31=8,IF($CD$4="","",INDEX(Tính!$R$39:$R$83,$CD$4)&amp;"/"&amp;$BL$1),"")))))))</f>
        <v/>
      </c>
      <c r="M31" s="31" t="str">
        <f>IF($AX31=0,"Dự kiến",IF($AX31=1,INDEX(Tính!$M$39:$M$83,INDEX($CD$3:$CD$47,$AY31)),IF($AX31=3,IF($CD$5="","",INDEX(Tính!$F$39:$F$83,$CD$5)),IF($AX31=4,IF($CD$5="","",INDEX(Tính!$C$182:$V$226,$CD$5,INDEX($BJ$3:$BJ$22,$AY31))),IF($AX31=5,IF($CD$5="","",INDEX(Tính!$P$39:$P$83,$CD$5)&amp;"/"&amp;COUNTIF($BA$3:$BA$22,"?*")),IF($AX31=7,IF($CD$5="","",INDEX(Tính!$Q$39:$Q$83,$CD$5)&amp;"/"&amp;$BK$1),IF($AX31=8,IF($CD$5="","",INDEX(Tính!$R$39:$R$83,$CD$5)&amp;"/"&amp;$BL$1),"")))))))</f>
        <v/>
      </c>
      <c r="N31" s="31" t="str">
        <f>IF($AX31=0,"NH đạt",IF($AX31=1,INDEX(Tính!$P$39:$P$83,INDEX($CD$3:$CD$47,$AY31))&amp;"/"&amp;COUNTIF($BA$3:$BA$22,"?*"),IF($AX31=3,IF($CD$6="","",INDEX(Tính!$F$39:$F$83,$CD$6)),IF($AX31=4,IF($CD$6="","",INDEX(Tính!$C$182:$V$226,$CD$6,INDEX($BJ$3:$BJ$22,$AY31))),IF($AX31=5,IF($CD$6="","",INDEX(Tính!$P$39:$P$83,$CD$6)&amp;"/"&amp;COUNTIF($BA$3:$BA$22,"?*")),IF($AX31=7,IF($CD$6="","",INDEX(Tính!$Q$39:$Q$83,$CD$6)&amp;"/"&amp;$BK$1),IF($AX31=8,IF($CD$6="","",INDEX(Tính!$R$39:$R$83,$CD$6)&amp;"/"&amp;$BL$1),"")))))))</f>
        <v/>
      </c>
      <c r="O31" s="31" t="str">
        <f>IF($AX31=3,IF($CD$7="","",INDEX(Tính!$F$39:$F$83,$CD$7)),IF($AX31=4,IF($CD$7="","",INDEX(Tính!$C$182:$V$226,$CD$7,INDEX($BJ$3:$BJ$22,$AY31))),IF($AX31=5,IF($CD$7="","",INDEX(Tính!$P$39:$P$83,$CD$7)&amp;"/"&amp;COUNTIF($BA$3:$BA$22,"?*")),IF($AX31=7,IF($CD$7="","",INDEX(Tính!$Q$39:$Q$83,$CD$7)&amp;"/"&amp;$BK$1),IF($AX31=8,IF($CD$7="","",INDEX(Tính!$R$39:$R$83,$CD$7)&amp;"/"&amp;$BL$1),"")))))</f>
        <v/>
      </c>
      <c r="P31" s="31" t="str">
        <f>IF($AX31=3,IF($CD$8="","",INDEX(Tính!$F$39:$F$83,$CD$8)),IF($AX31=4,IF($CD$8="","",INDEX(Tính!$C$182:$V$226,$CD$8,INDEX($BJ$3:$BJ$22,$AY31))),IF($AX31=5,IF($CD$8="","",INDEX(Tính!$P$39:$P$83,$CD$8)&amp;"/"&amp;COUNTIF($BA$3:$BA$22,"?*")),IF($AX31=7,IF($CD$8="","",INDEX(Tính!$Q$39:$Q$83,$CD$8)&amp;"/"&amp;$BK$1),IF($AX31=8,IF($CD$8="","",INDEX(Tính!$R$39:$R$83,$CD$8)&amp;"/"&amp;$BL$1),"")))))</f>
        <v/>
      </c>
      <c r="Q31" s="31" t="str">
        <f>IF($AX31=3,IF($CD$9="","",INDEX(Tính!$F$39:$F$83,$CD$9)),IF($AX31=4,IF($CD$9="","",INDEX(Tính!$C$182:$V$226,$CD$9,INDEX($BJ$3:$BJ$22,$AY31))),IF($AX31=5,IF($CD$9="","",INDEX(Tính!$P$39:$P$83,$CD$9)&amp;"/"&amp;COUNTIF($BA$3:$BA$22,"?*")),IF($AX31=7,IF($CD$9="","",INDEX(Tính!$Q$39:$Q$83,$CD$9)&amp;"/"&amp;$BK$1),IF($AX31=8,IF($CD$9="","",INDEX(Tính!$R$39:$R$83,$CD$9)&amp;"/"&amp;$BL$1),"")))))</f>
        <v/>
      </c>
      <c r="R31" s="31" t="str">
        <f>IF($AX31=3,IF($CD$10="","",INDEX(Tính!$F$39:$F$83,$CD$10)),IF($AX31=4,IF($CD$10="","",INDEX(Tính!$C$182:$V$226,$CD$10,INDEX($BJ$3:$BJ$22,$AY31))),IF($AX31=5,IF($CD$10="","",INDEX(Tính!$P$39:$P$83,$CD$10)&amp;"/"&amp;COUNTIF($BA$3:$BA$22,"?*")),IF($AX31=7,IF($CD$10="","",INDEX(Tính!$Q$39:$Q$83,$CD$10)&amp;"/"&amp;$BK$1),IF($AX31=8,IF($CD$10="","",INDEX(Tính!$R$39:$R$83,$CD$10)&amp;"/"&amp;$BL$1),"")))))</f>
        <v/>
      </c>
      <c r="S31" s="31" t="str">
        <f>IF($AX31=3,IF($CD$11="","",INDEX(Tính!$F$39:$F$83,$CD$11)),IF($AX31=4,IF($CD$11="","",INDEX(Tính!$C$182:$V$226,$CD$11,INDEX($BJ$3:$BJ$22,$AY31))),IF($AX31=5,IF($CD$11="","",INDEX(Tính!$P$39:$P$83,$CD$11)&amp;"/"&amp;COUNTIF($BA$3:$BA$22,"?*")),IF($AX31=7,IF($CD$11="","",INDEX(Tính!$Q$39:$Q$83,$CD$11)&amp;"/"&amp;$BK$1),IF($AX31=8,IF($CD$11="","",INDEX(Tính!$R$39:$R$83,$CD$11)&amp;"/"&amp;$BL$1),"")))))</f>
        <v/>
      </c>
      <c r="T31" s="31" t="str">
        <f>IF($AX31=3,IF($CD$12="","",INDEX(Tính!$F$39:$F$83,$CD$12)),IF($AX31=4,IF($CD$12="","",INDEX(Tính!$C$182:$V$226,$CD$12,INDEX($BJ$3:$BJ$22,$AY31))),IF($AX31=5,IF($CD$12="","",INDEX(Tính!$P$39:$P$83,$CD$12)&amp;"/"&amp;COUNTIF($BA$3:$BA$22,"?*")),IF($AX31=7,IF($CD$12="","",INDEX(Tính!$Q$39:$Q$83,$CD$12)&amp;"/"&amp;$BK$1),IF($AX31=8,IF($CD$12="","",INDEX(Tính!$R$39:$R$83,$CD$12)&amp;"/"&amp;$BL$1),"")))))</f>
        <v/>
      </c>
      <c r="U31" s="31" t="str">
        <f>IF($AX31=3,IF($CD$13="","",INDEX(Tính!$F$39:$F$83,$CD$13)),IF($AX31=4,IF($CD$13="","",INDEX(Tính!$C$182:$V$226,$CD$13,INDEX($BJ$3:$BJ$22,$AY31))),IF($AX31=5,IF($CD$13="","",INDEX(Tính!$P$39:$P$83,$CD$13)&amp;"/"&amp;COUNTIF($BA$3:$BA$22,"?*")),IF($AX31=7,IF($CD$13="","",INDEX(Tính!$Q$39:$Q$83,$CD$13)&amp;"/"&amp;$BK$1),IF($AX31=8,IF($CD$13="","",INDEX(Tính!$R$39:$R$83,$CD$13)&amp;"/"&amp;$BL$1),"")))))</f>
        <v/>
      </c>
      <c r="V31" s="31" t="str">
        <f>IF($AX31=3,IF($CD$14="","",INDEX(Tính!$F$39:$F$83,$CD$14)),IF($AX31=4,IF($CD$14="","",INDEX(Tính!$C$182:$V$226,$CD$14,INDEX($BJ$3:$BJ$22,$AY31))),IF($AX31=5,IF($CD$14="","",INDEX(Tính!$P$39:$P$83,$CD$14)&amp;"/"&amp;COUNTIF($BA$3:$BA$22,"?*")),IF($AX31=7,IF($CD$14="","",INDEX(Tính!$Q$39:$Q$83,$CD$14)&amp;"/"&amp;$BK$1),IF($AX31=8,IF($CD$14="","",INDEX(Tính!$R$39:$R$83,$CD$14)&amp;"/"&amp;$BL$1),"")))))</f>
        <v/>
      </c>
      <c r="W31" s="31" t="str">
        <f>IF($AX31=3,IF($CD$15="","",INDEX(Tính!$F$39:$F$83,$CD$15)),IF($AX31=4,IF($CD$15="","",INDEX(Tính!$C$182:$V$226,$CD$15,INDEX($BJ$3:$BJ$22,$AY31))),IF($AX31=5,IF($CD$15="","",INDEX(Tính!$P$39:$P$83,$CD$15)&amp;"/"&amp;COUNTIF($BA$3:$BA$22,"?*")),IF($AX31=7,IF($CD$15="","",INDEX(Tính!$Q$39:$Q$83,$CD$15)&amp;"/"&amp;$BK$1),IF($AX31=8,IF($CD$15="","",INDEX(Tính!$R$39:$R$83,$CD$15)&amp;"/"&amp;$BL$1),"")))))</f>
        <v/>
      </c>
      <c r="X31" s="31" t="str">
        <f>IF($AX31=3,IF($CD$16="","",INDEX(Tính!$F$39:$F$83,$CD$16)),IF($AX31=4,IF($CD$16="","",INDEX(Tính!$C$182:$V$226,$CD$16,INDEX($BJ$3:$BJ$22,$AY31))),IF($AX31=5,IF($CD$16="","",INDEX(Tính!$P$39:$P$83,$CD$16)&amp;"/"&amp;COUNTIF($BA$3:$BA$22,"?*")),IF($AX31=7,IF($CD$16="","",INDEX(Tính!$Q$39:$Q$83,$CD$16)&amp;"/"&amp;$BK$1),IF($AX31=8,IF($CD$16="","",INDEX(Tính!$R$39:$R$83,$CD$16)&amp;"/"&amp;$BL$1),"")))))</f>
        <v/>
      </c>
      <c r="Y31" s="31" t="str">
        <f>IF($AX31=3,IF($CD$17="","",INDEX(Tính!$F$39:$F$83,$CD$17)),IF($AX31=4,IF($CD$17="","",INDEX(Tính!$C$182:$V$226,$CD$17,INDEX($BJ$3:$BJ$22,$AY31))),IF($AX31=5,IF($CD$17="","",INDEX(Tính!$P$39:$P$83,$CD$17)&amp;"/"&amp;COUNTIF($BA$3:$BA$22,"?*")),IF($AX31=7,IF($CD$17="","",INDEX(Tính!$Q$39:$Q$83,$CD$17)&amp;"/"&amp;$BK$1),IF($AX31=8,IF($CD$17="","",INDEX(Tính!$R$39:$R$83,$CD$17)&amp;"/"&amp;$BL$1),"")))))</f>
        <v/>
      </c>
      <c r="Z31" s="31" t="str">
        <f>IF($AX31=3,IF($CD$18="","",INDEX(Tính!$F$39:$F$83,$CD$18)),IF($AX31=4,IF($CD$18="","",INDEX(Tính!$C$182:$V$226,$CD$18,INDEX($BJ$3:$BJ$22,$AY31))),IF($AX31=5,IF($CD$18="","",INDEX(Tính!$P$39:$P$83,$CD$18)&amp;"/"&amp;COUNTIF($BA$3:$BA$22,"?*")),IF($AX31=7,IF($CD$18="","",INDEX(Tính!$Q$39:$Q$83,$CD$18)&amp;"/"&amp;$BK$1),IF($AX31=8,IF($CD$18="","",INDEX(Tính!$R$39:$R$83,$CD$18)&amp;"/"&amp;$BL$1),"")))))</f>
        <v/>
      </c>
      <c r="AA31" s="31" t="str">
        <f>IF($AX31=3,IF($CD$19="","",INDEX(Tính!$F$39:$F$83,$CD$19)),IF($AX31=4,IF($CD$19="","",INDEX(Tính!$C$182:$V$226,$CD$19,INDEX($BJ$3:$BJ$22,$AY31))),IF($AX31=5,IF($CD$19="","",INDEX(Tính!$P$39:$P$83,$CD$19)&amp;"/"&amp;COUNTIF($BA$3:$BA$22,"?*")),IF($AX31=7,IF($CD$19="","",INDEX(Tính!$Q$39:$Q$83,$CD$19)&amp;"/"&amp;$BK$1),IF($AX31=8,IF($CD$19="","",INDEX(Tính!$R$39:$R$83,$CD$19)&amp;"/"&amp;$BL$1),"")))))</f>
        <v/>
      </c>
      <c r="AB31" s="31" t="str">
        <f>IF($AX31=3,IF($CD$20="","",INDEX(Tính!$F$39:$F$83,$CD$20)),IF($AX31=4,IF($CD$20="","",INDEX(Tính!$C$182:$V$226,$CD$20,INDEX($BJ$3:$BJ$22,$AY31))),IF($AX31=5,IF($CD$20="","",INDEX(Tính!$P$39:$P$83,$CD$20)&amp;"/"&amp;COUNTIF($BA$3:$BA$22,"?*")),IF($AX31=7,IF($CD$20="","",INDEX(Tính!$Q$39:$Q$83,$CD$20)&amp;"/"&amp;$BK$1),IF($AX31=8,IF($CD$20="","",INDEX(Tính!$R$39:$R$83,$CD$20)&amp;"/"&amp;$BL$1),"")))))</f>
        <v/>
      </c>
      <c r="AC31" s="31" t="str">
        <f>IF($AX31=3,IF($CD$21="","",INDEX(Tính!$F$39:$F$83,$CD$21)),IF($AX31=4,IF($CD$21="","",INDEX(Tính!$C$182:$V$226,$CD$21,INDEX($BJ$3:$BJ$22,$AY31))),IF($AX31=5,IF($CD$21="","",INDEX(Tính!$P$39:$P$83,$CD$21)&amp;"/"&amp;COUNTIF($BA$3:$BA$22,"?*")),IF($AX31=7,IF($CD$21="","",INDEX(Tính!$Q$39:$Q$83,$CD$21)&amp;"/"&amp;$BK$1),IF($AX31=8,IF($CD$21="","",INDEX(Tính!$R$39:$R$83,$CD$21)&amp;"/"&amp;$BL$1),"")))))</f>
        <v/>
      </c>
      <c r="AD31" s="31" t="str">
        <f>IF($AX31=3,IF($CD$22="","",INDEX(Tính!$F$39:$F$83,$CD$22)),IF($AX31=4,IF($CD$22="","",INDEX(Tính!$C$182:$V$226,$CD$22,INDEX($BJ$3:$BJ$22,$AY31))),IF($AX31=5,IF($CD$22="","",INDEX(Tính!$P$39:$P$83,$CD$22)&amp;"/"&amp;COUNTIF($BA$3:$BA$22,"?*")),IF($AX31=7,IF($CD$22="","",INDEX(Tính!$Q$39:$Q$83,$CD$22)&amp;"/"&amp;$BK$1),IF($AX31=8,IF($CD$22="","",INDEX(Tính!$R$39:$R$83,$CD$22)&amp;"/"&amp;$BL$1),"")))))</f>
        <v/>
      </c>
      <c r="AW31" t="str">
        <f>$BK$24</f>
        <v/>
      </c>
      <c r="AX31">
        <f>IF(27=0,0,IF(27&lt;=$AX$1,1,IF(27=$AX$1+1,2,IF(27=$AX$1+2,3,IF((27-$AX$1-2)&lt;=$AX$3,IF(INDEX($BK$3:$BK$24,(27-$AX$1-2))="C",7,IF(INDEX($BK$3:$BK$24,(27-$AX$1-2))="V",8,4)),IF((27-$AX$1-2)=$AX$3+1,5,6))))))</f>
        <v>6</v>
      </c>
      <c r="AY31">
        <f>IF(AX31=1,27,IF(AX31=4,INDEX($BL$3:$BL$24,(27-$AX$1-2)),0))</f>
        <v>0</v>
      </c>
      <c r="CA31">
        <v>29</v>
      </c>
      <c r="CB31">
        <f>IF(Tính!B67="",0,IF(OR($AZ$1=0,Tính!D67=$AZ$1),1,0))</f>
        <v>0</v>
      </c>
      <c r="CC31">
        <f>IF(CB31=1,Tính!M67+1+(45-29)/1000000,-1)</f>
        <v>-1</v>
      </c>
      <c r="CD31" t="str">
        <f>IF(LARGE($CC$3:$CC$47,29)&lt;0,"",MATCH(LARGE($CC$3:$CC$47,29),$CC$3:$CC$47,0))</f>
        <v/>
      </c>
    </row>
    <row r="32" spans="1:82" x14ac:dyDescent="0.3">
      <c r="H32" s="29" t="str">
        <f t="shared" si="2"/>
        <v/>
      </c>
      <c r="I32" s="12" t="str">
        <f>IF($AX32=0,"Nhân viên",IF($AX32=1,INDEX(Tính!$F$39:$F$83,INDEX($CD$3:$CD$47,$AY32))&amp;" · "&amp;INDEX(Tính!$O$39:$O$83,INDEX($CD$3:$CD$47,$AY32)),IF($AX32=3,"Nhóm hàng",IF($AX32=4,INDEX($BA$3:$BA$22,INDEX($BJ$3:$BJ$22,$AY32)),IF($AX32=5,"Số nhóm đạt",IF($AX32=7,"NHÓM CHÍNH",IF($AX32=8,"NHÓM VƯỢT TRỘI","")))))))</f>
        <v/>
      </c>
      <c r="J32" s="30" t="str">
        <f>IF($AX32=0,"Mục tiêu",IF($AX32=1,FIXED(INDEX(Tính!$J$39:$J$83,INDEX($CD$3:$CD$47,$AY32)),0),IF($AX32=3,"Cả shop",IF($AX32=4,INDEX($BG$3:$BG$22,INDEX($BJ$3:$BJ$22,$AY32)),IF($AX32=5,COUNTIF($BG$3:$BG$22,"&gt;=0.995")&amp;"/"&amp;COUNTIF($BA$3:$BA$22,"?*"),IF($AX32=7,COUNTIFS($BB$3:$BB$22,"Chính",$BG$3:$BG$22,"&gt;=0.995")&amp;"/"&amp;$BK$1,IF($AX32=8,COUNTIFS($BB$3:$BB$22,"Vượt trội",$BG$3:$BG$22,"&gt;=0.995")&amp;"/"&amp;$BL$1,"")))))))</f>
        <v/>
      </c>
      <c r="K32" s="30" t="str">
        <f>IF($AX32=0,"DT QĐ",IF($AX32=1,FIXED(INDEX(Tính!$K$39:$K$83,INDEX($CD$3:$CD$47,$AY32)),1),IF($AX32=3,IF($CD$3="","",INDEX(Tính!$F$39:$F$83,$CD$3)),IF($AX32=4,IF($CD$3="","",INDEX(Tính!$C$182:$V$226,$CD$3,INDEX($BJ$3:$BJ$22,$AY32))),IF($AX32=5,IF($CD$3="","",INDEX(Tính!$P$39:$P$83,$CD$3)&amp;"/"&amp;COUNTIF($BA$3:$BA$22,"?*")),IF($AX32=7,IF($CD$3="","",INDEX(Tính!$Q$39:$Q$83,$CD$3)&amp;"/"&amp;$BK$1),IF($AX32=8,IF($CD$3="","",INDEX(Tính!$R$39:$R$83,$CD$3)&amp;"/"&amp;$BL$1),"")))))))</f>
        <v/>
      </c>
      <c r="L32" s="31" t="str">
        <f>IF($AX32=0,"% HT",IF($AX32=1,INDEX(Tính!$N$39:$N$83,INDEX($CD$3:$CD$47,$AY32)),IF($AX32=3,IF($CD$4="","",INDEX(Tính!$F$39:$F$83,$CD$4)),IF($AX32=4,IF($CD$4="","",INDEX(Tính!$C$182:$V$226,$CD$4,INDEX($BJ$3:$BJ$22,$AY32))),IF($AX32=5,IF($CD$4="","",INDEX(Tính!$P$39:$P$83,$CD$4)&amp;"/"&amp;COUNTIF($BA$3:$BA$22,"?*")),IF($AX32=7,IF($CD$4="","",INDEX(Tính!$Q$39:$Q$83,$CD$4)&amp;"/"&amp;$BK$1),IF($AX32=8,IF($CD$4="","",INDEX(Tính!$R$39:$R$83,$CD$4)&amp;"/"&amp;$BL$1),"")))))))</f>
        <v/>
      </c>
      <c r="M32" s="31" t="str">
        <f>IF($AX32=0,"Dự kiến",IF($AX32=1,INDEX(Tính!$M$39:$M$83,INDEX($CD$3:$CD$47,$AY32)),IF($AX32=3,IF($CD$5="","",INDEX(Tính!$F$39:$F$83,$CD$5)),IF($AX32=4,IF($CD$5="","",INDEX(Tính!$C$182:$V$226,$CD$5,INDEX($BJ$3:$BJ$22,$AY32))),IF($AX32=5,IF($CD$5="","",INDEX(Tính!$P$39:$P$83,$CD$5)&amp;"/"&amp;COUNTIF($BA$3:$BA$22,"?*")),IF($AX32=7,IF($CD$5="","",INDEX(Tính!$Q$39:$Q$83,$CD$5)&amp;"/"&amp;$BK$1),IF($AX32=8,IF($CD$5="","",INDEX(Tính!$R$39:$R$83,$CD$5)&amp;"/"&amp;$BL$1),"")))))))</f>
        <v/>
      </c>
      <c r="N32" s="31" t="str">
        <f>IF($AX32=0,"NH đạt",IF($AX32=1,INDEX(Tính!$P$39:$P$83,INDEX($CD$3:$CD$47,$AY32))&amp;"/"&amp;COUNTIF($BA$3:$BA$22,"?*"),IF($AX32=3,IF($CD$6="","",INDEX(Tính!$F$39:$F$83,$CD$6)),IF($AX32=4,IF($CD$6="","",INDEX(Tính!$C$182:$V$226,$CD$6,INDEX($BJ$3:$BJ$22,$AY32))),IF($AX32=5,IF($CD$6="","",INDEX(Tính!$P$39:$P$83,$CD$6)&amp;"/"&amp;COUNTIF($BA$3:$BA$22,"?*")),IF($AX32=7,IF($CD$6="","",INDEX(Tính!$Q$39:$Q$83,$CD$6)&amp;"/"&amp;$BK$1),IF($AX32=8,IF($CD$6="","",INDEX(Tính!$R$39:$R$83,$CD$6)&amp;"/"&amp;$BL$1),"")))))))</f>
        <v/>
      </c>
      <c r="O32" s="31" t="str">
        <f>IF($AX32=3,IF($CD$7="","",INDEX(Tính!$F$39:$F$83,$CD$7)),IF($AX32=4,IF($CD$7="","",INDEX(Tính!$C$182:$V$226,$CD$7,INDEX($BJ$3:$BJ$22,$AY32))),IF($AX32=5,IF($CD$7="","",INDEX(Tính!$P$39:$P$83,$CD$7)&amp;"/"&amp;COUNTIF($BA$3:$BA$22,"?*")),IF($AX32=7,IF($CD$7="","",INDEX(Tính!$Q$39:$Q$83,$CD$7)&amp;"/"&amp;$BK$1),IF($AX32=8,IF($CD$7="","",INDEX(Tính!$R$39:$R$83,$CD$7)&amp;"/"&amp;$BL$1),"")))))</f>
        <v/>
      </c>
      <c r="P32" s="31" t="str">
        <f>IF($AX32=3,IF($CD$8="","",INDEX(Tính!$F$39:$F$83,$CD$8)),IF($AX32=4,IF($CD$8="","",INDEX(Tính!$C$182:$V$226,$CD$8,INDEX($BJ$3:$BJ$22,$AY32))),IF($AX32=5,IF($CD$8="","",INDEX(Tính!$P$39:$P$83,$CD$8)&amp;"/"&amp;COUNTIF($BA$3:$BA$22,"?*")),IF($AX32=7,IF($CD$8="","",INDEX(Tính!$Q$39:$Q$83,$CD$8)&amp;"/"&amp;$BK$1),IF($AX32=8,IF($CD$8="","",INDEX(Tính!$R$39:$R$83,$CD$8)&amp;"/"&amp;$BL$1),"")))))</f>
        <v/>
      </c>
      <c r="Q32" s="31" t="str">
        <f>IF($AX32=3,IF($CD$9="","",INDEX(Tính!$F$39:$F$83,$CD$9)),IF($AX32=4,IF($CD$9="","",INDEX(Tính!$C$182:$V$226,$CD$9,INDEX($BJ$3:$BJ$22,$AY32))),IF($AX32=5,IF($CD$9="","",INDEX(Tính!$P$39:$P$83,$CD$9)&amp;"/"&amp;COUNTIF($BA$3:$BA$22,"?*")),IF($AX32=7,IF($CD$9="","",INDEX(Tính!$Q$39:$Q$83,$CD$9)&amp;"/"&amp;$BK$1),IF($AX32=8,IF($CD$9="","",INDEX(Tính!$R$39:$R$83,$CD$9)&amp;"/"&amp;$BL$1),"")))))</f>
        <v/>
      </c>
      <c r="R32" s="31" t="str">
        <f>IF($AX32=3,IF($CD$10="","",INDEX(Tính!$F$39:$F$83,$CD$10)),IF($AX32=4,IF($CD$10="","",INDEX(Tính!$C$182:$V$226,$CD$10,INDEX($BJ$3:$BJ$22,$AY32))),IF($AX32=5,IF($CD$10="","",INDEX(Tính!$P$39:$P$83,$CD$10)&amp;"/"&amp;COUNTIF($BA$3:$BA$22,"?*")),IF($AX32=7,IF($CD$10="","",INDEX(Tính!$Q$39:$Q$83,$CD$10)&amp;"/"&amp;$BK$1),IF($AX32=8,IF($CD$10="","",INDEX(Tính!$R$39:$R$83,$CD$10)&amp;"/"&amp;$BL$1),"")))))</f>
        <v/>
      </c>
      <c r="S32" s="31" t="str">
        <f>IF($AX32=3,IF($CD$11="","",INDEX(Tính!$F$39:$F$83,$CD$11)),IF($AX32=4,IF($CD$11="","",INDEX(Tính!$C$182:$V$226,$CD$11,INDEX($BJ$3:$BJ$22,$AY32))),IF($AX32=5,IF($CD$11="","",INDEX(Tính!$P$39:$P$83,$CD$11)&amp;"/"&amp;COUNTIF($BA$3:$BA$22,"?*")),IF($AX32=7,IF($CD$11="","",INDEX(Tính!$Q$39:$Q$83,$CD$11)&amp;"/"&amp;$BK$1),IF($AX32=8,IF($CD$11="","",INDEX(Tính!$R$39:$R$83,$CD$11)&amp;"/"&amp;$BL$1),"")))))</f>
        <v/>
      </c>
      <c r="T32" s="31" t="str">
        <f>IF($AX32=3,IF($CD$12="","",INDEX(Tính!$F$39:$F$83,$CD$12)),IF($AX32=4,IF($CD$12="","",INDEX(Tính!$C$182:$V$226,$CD$12,INDEX($BJ$3:$BJ$22,$AY32))),IF($AX32=5,IF($CD$12="","",INDEX(Tính!$P$39:$P$83,$CD$12)&amp;"/"&amp;COUNTIF($BA$3:$BA$22,"?*")),IF($AX32=7,IF($CD$12="","",INDEX(Tính!$Q$39:$Q$83,$CD$12)&amp;"/"&amp;$BK$1),IF($AX32=8,IF($CD$12="","",INDEX(Tính!$R$39:$R$83,$CD$12)&amp;"/"&amp;$BL$1),"")))))</f>
        <v/>
      </c>
      <c r="U32" s="31" t="str">
        <f>IF($AX32=3,IF($CD$13="","",INDEX(Tính!$F$39:$F$83,$CD$13)),IF($AX32=4,IF($CD$13="","",INDEX(Tính!$C$182:$V$226,$CD$13,INDEX($BJ$3:$BJ$22,$AY32))),IF($AX32=5,IF($CD$13="","",INDEX(Tính!$P$39:$P$83,$CD$13)&amp;"/"&amp;COUNTIF($BA$3:$BA$22,"?*")),IF($AX32=7,IF($CD$13="","",INDEX(Tính!$Q$39:$Q$83,$CD$13)&amp;"/"&amp;$BK$1),IF($AX32=8,IF($CD$13="","",INDEX(Tính!$R$39:$R$83,$CD$13)&amp;"/"&amp;$BL$1),"")))))</f>
        <v/>
      </c>
      <c r="V32" s="31" t="str">
        <f>IF($AX32=3,IF($CD$14="","",INDEX(Tính!$F$39:$F$83,$CD$14)),IF($AX32=4,IF($CD$14="","",INDEX(Tính!$C$182:$V$226,$CD$14,INDEX($BJ$3:$BJ$22,$AY32))),IF($AX32=5,IF($CD$14="","",INDEX(Tính!$P$39:$P$83,$CD$14)&amp;"/"&amp;COUNTIF($BA$3:$BA$22,"?*")),IF($AX32=7,IF($CD$14="","",INDEX(Tính!$Q$39:$Q$83,$CD$14)&amp;"/"&amp;$BK$1),IF($AX32=8,IF($CD$14="","",INDEX(Tính!$R$39:$R$83,$CD$14)&amp;"/"&amp;$BL$1),"")))))</f>
        <v/>
      </c>
      <c r="W32" s="31" t="str">
        <f>IF($AX32=3,IF($CD$15="","",INDEX(Tính!$F$39:$F$83,$CD$15)),IF($AX32=4,IF($CD$15="","",INDEX(Tính!$C$182:$V$226,$CD$15,INDEX($BJ$3:$BJ$22,$AY32))),IF($AX32=5,IF($CD$15="","",INDEX(Tính!$P$39:$P$83,$CD$15)&amp;"/"&amp;COUNTIF($BA$3:$BA$22,"?*")),IF($AX32=7,IF($CD$15="","",INDEX(Tính!$Q$39:$Q$83,$CD$15)&amp;"/"&amp;$BK$1),IF($AX32=8,IF($CD$15="","",INDEX(Tính!$R$39:$R$83,$CD$15)&amp;"/"&amp;$BL$1),"")))))</f>
        <v/>
      </c>
      <c r="X32" s="31" t="str">
        <f>IF($AX32=3,IF($CD$16="","",INDEX(Tính!$F$39:$F$83,$CD$16)),IF($AX32=4,IF($CD$16="","",INDEX(Tính!$C$182:$V$226,$CD$16,INDEX($BJ$3:$BJ$22,$AY32))),IF($AX32=5,IF($CD$16="","",INDEX(Tính!$P$39:$P$83,$CD$16)&amp;"/"&amp;COUNTIF($BA$3:$BA$22,"?*")),IF($AX32=7,IF($CD$16="","",INDEX(Tính!$Q$39:$Q$83,$CD$16)&amp;"/"&amp;$BK$1),IF($AX32=8,IF($CD$16="","",INDEX(Tính!$R$39:$R$83,$CD$16)&amp;"/"&amp;$BL$1),"")))))</f>
        <v/>
      </c>
      <c r="Y32" s="31" t="str">
        <f>IF($AX32=3,IF($CD$17="","",INDEX(Tính!$F$39:$F$83,$CD$17)),IF($AX32=4,IF($CD$17="","",INDEX(Tính!$C$182:$V$226,$CD$17,INDEX($BJ$3:$BJ$22,$AY32))),IF($AX32=5,IF($CD$17="","",INDEX(Tính!$P$39:$P$83,$CD$17)&amp;"/"&amp;COUNTIF($BA$3:$BA$22,"?*")),IF($AX32=7,IF($CD$17="","",INDEX(Tính!$Q$39:$Q$83,$CD$17)&amp;"/"&amp;$BK$1),IF($AX32=8,IF($CD$17="","",INDEX(Tính!$R$39:$R$83,$CD$17)&amp;"/"&amp;$BL$1),"")))))</f>
        <v/>
      </c>
      <c r="Z32" s="31" t="str">
        <f>IF($AX32=3,IF($CD$18="","",INDEX(Tính!$F$39:$F$83,$CD$18)),IF($AX32=4,IF($CD$18="","",INDEX(Tính!$C$182:$V$226,$CD$18,INDEX($BJ$3:$BJ$22,$AY32))),IF($AX32=5,IF($CD$18="","",INDEX(Tính!$P$39:$P$83,$CD$18)&amp;"/"&amp;COUNTIF($BA$3:$BA$22,"?*")),IF($AX32=7,IF($CD$18="","",INDEX(Tính!$Q$39:$Q$83,$CD$18)&amp;"/"&amp;$BK$1),IF($AX32=8,IF($CD$18="","",INDEX(Tính!$R$39:$R$83,$CD$18)&amp;"/"&amp;$BL$1),"")))))</f>
        <v/>
      </c>
      <c r="AA32" s="31" t="str">
        <f>IF($AX32=3,IF($CD$19="","",INDEX(Tính!$F$39:$F$83,$CD$19)),IF($AX32=4,IF($CD$19="","",INDEX(Tính!$C$182:$V$226,$CD$19,INDEX($BJ$3:$BJ$22,$AY32))),IF($AX32=5,IF($CD$19="","",INDEX(Tính!$P$39:$P$83,$CD$19)&amp;"/"&amp;COUNTIF($BA$3:$BA$22,"?*")),IF($AX32=7,IF($CD$19="","",INDEX(Tính!$Q$39:$Q$83,$CD$19)&amp;"/"&amp;$BK$1),IF($AX32=8,IF($CD$19="","",INDEX(Tính!$R$39:$R$83,$CD$19)&amp;"/"&amp;$BL$1),"")))))</f>
        <v/>
      </c>
      <c r="AB32" s="31" t="str">
        <f>IF($AX32=3,IF($CD$20="","",INDEX(Tính!$F$39:$F$83,$CD$20)),IF($AX32=4,IF($CD$20="","",INDEX(Tính!$C$182:$V$226,$CD$20,INDEX($BJ$3:$BJ$22,$AY32))),IF($AX32=5,IF($CD$20="","",INDEX(Tính!$P$39:$P$83,$CD$20)&amp;"/"&amp;COUNTIF($BA$3:$BA$22,"?*")),IF($AX32=7,IF($CD$20="","",INDEX(Tính!$Q$39:$Q$83,$CD$20)&amp;"/"&amp;$BK$1),IF($AX32=8,IF($CD$20="","",INDEX(Tính!$R$39:$R$83,$CD$20)&amp;"/"&amp;$BL$1),"")))))</f>
        <v/>
      </c>
      <c r="AC32" s="31" t="str">
        <f>IF($AX32=3,IF($CD$21="","",INDEX(Tính!$F$39:$F$83,$CD$21)),IF($AX32=4,IF($CD$21="","",INDEX(Tính!$C$182:$V$226,$CD$21,INDEX($BJ$3:$BJ$22,$AY32))),IF($AX32=5,IF($CD$21="","",INDEX(Tính!$P$39:$P$83,$CD$21)&amp;"/"&amp;COUNTIF($BA$3:$BA$22,"?*")),IF($AX32=7,IF($CD$21="","",INDEX(Tính!$Q$39:$Q$83,$CD$21)&amp;"/"&amp;$BK$1),IF($AX32=8,IF($CD$21="","",INDEX(Tính!$R$39:$R$83,$CD$21)&amp;"/"&amp;$BL$1),"")))))</f>
        <v/>
      </c>
      <c r="AD32" s="31" t="str">
        <f>IF($AX32=3,IF($CD$22="","",INDEX(Tính!$F$39:$F$83,$CD$22)),IF($AX32=4,IF($CD$22="","",INDEX(Tính!$C$182:$V$226,$CD$22,INDEX($BJ$3:$BJ$22,$AY32))),IF($AX32=5,IF($CD$22="","",INDEX(Tính!$P$39:$P$83,$CD$22)&amp;"/"&amp;COUNTIF($BA$3:$BA$22,"?*")),IF($AX32=7,IF($CD$22="","",INDEX(Tính!$Q$39:$Q$83,$CD$22)&amp;"/"&amp;$BK$1),IF($AX32=8,IF($CD$22="","",INDEX(Tính!$R$39:$R$83,$CD$22)&amp;"/"&amp;$BL$1),"")))))</f>
        <v/>
      </c>
      <c r="AX32">
        <f>IF(28=0,0,IF(28&lt;=$AX$1,1,IF(28=$AX$1+1,2,IF(28=$AX$1+2,3,IF((28-$AX$1-2)&lt;=$AX$3,IF(INDEX($BK$3:$BK$24,(28-$AX$1-2))="C",7,IF(INDEX($BK$3:$BK$24,(28-$AX$1-2))="V",8,4)),IF((28-$AX$1-2)=$AX$3+1,5,6))))))</f>
        <v>6</v>
      </c>
      <c r="AY32">
        <f>IF(AX32=1,28,IF(AX32=4,INDEX($BL$3:$BL$24,(28-$AX$1-2)),0))</f>
        <v>0</v>
      </c>
      <c r="CA32">
        <v>30</v>
      </c>
      <c r="CB32">
        <f>IF(Tính!B68="",0,IF(OR($AZ$1=0,Tính!D68=$AZ$1),1,0))</f>
        <v>0</v>
      </c>
      <c r="CC32">
        <f>IF(CB32=1,Tính!M68+1+(45-30)/1000000,-1)</f>
        <v>-1</v>
      </c>
      <c r="CD32" t="str">
        <f>IF(LARGE($CC$3:$CC$47,30)&lt;0,"",MATCH(LARGE($CC$3:$CC$47,30),$CC$3:$CC$47,0))</f>
        <v/>
      </c>
    </row>
    <row r="33" spans="8:82" x14ac:dyDescent="0.3">
      <c r="H33" s="29" t="str">
        <f t="shared" si="2"/>
        <v/>
      </c>
      <c r="I33" s="12" t="str">
        <f>IF($AX33=0,"Nhân viên",IF($AX33=1,INDEX(Tính!$F$39:$F$83,INDEX($CD$3:$CD$47,$AY33))&amp;" · "&amp;INDEX(Tính!$O$39:$O$83,INDEX($CD$3:$CD$47,$AY33)),IF($AX33=3,"Nhóm hàng",IF($AX33=4,INDEX($BA$3:$BA$22,INDEX($BJ$3:$BJ$22,$AY33)),IF($AX33=5,"Số nhóm đạt",IF($AX33=7,"NHÓM CHÍNH",IF($AX33=8,"NHÓM VƯỢT TRỘI","")))))))</f>
        <v/>
      </c>
      <c r="J33" s="30" t="str">
        <f>IF($AX33=0,"Mục tiêu",IF($AX33=1,FIXED(INDEX(Tính!$J$39:$J$83,INDEX($CD$3:$CD$47,$AY33)),0),IF($AX33=3,"Cả shop",IF($AX33=4,INDEX($BG$3:$BG$22,INDEX($BJ$3:$BJ$22,$AY33)),IF($AX33=5,COUNTIF($BG$3:$BG$22,"&gt;=0.995")&amp;"/"&amp;COUNTIF($BA$3:$BA$22,"?*"),IF($AX33=7,COUNTIFS($BB$3:$BB$22,"Chính",$BG$3:$BG$22,"&gt;=0.995")&amp;"/"&amp;$BK$1,IF($AX33=8,COUNTIFS($BB$3:$BB$22,"Vượt trội",$BG$3:$BG$22,"&gt;=0.995")&amp;"/"&amp;$BL$1,"")))))))</f>
        <v/>
      </c>
      <c r="K33" s="30" t="str">
        <f>IF($AX33=0,"DT QĐ",IF($AX33=1,FIXED(INDEX(Tính!$K$39:$K$83,INDEX($CD$3:$CD$47,$AY33)),1),IF($AX33=3,IF($CD$3="","",INDEX(Tính!$F$39:$F$83,$CD$3)),IF($AX33=4,IF($CD$3="","",INDEX(Tính!$C$182:$V$226,$CD$3,INDEX($BJ$3:$BJ$22,$AY33))),IF($AX33=5,IF($CD$3="","",INDEX(Tính!$P$39:$P$83,$CD$3)&amp;"/"&amp;COUNTIF($BA$3:$BA$22,"?*")),IF($AX33=7,IF($CD$3="","",INDEX(Tính!$Q$39:$Q$83,$CD$3)&amp;"/"&amp;$BK$1),IF($AX33=8,IF($CD$3="","",INDEX(Tính!$R$39:$R$83,$CD$3)&amp;"/"&amp;$BL$1),"")))))))</f>
        <v/>
      </c>
      <c r="L33" s="31" t="str">
        <f>IF($AX33=0,"% HT",IF($AX33=1,INDEX(Tính!$N$39:$N$83,INDEX($CD$3:$CD$47,$AY33)),IF($AX33=3,IF($CD$4="","",INDEX(Tính!$F$39:$F$83,$CD$4)),IF($AX33=4,IF($CD$4="","",INDEX(Tính!$C$182:$V$226,$CD$4,INDEX($BJ$3:$BJ$22,$AY33))),IF($AX33=5,IF($CD$4="","",INDEX(Tính!$P$39:$P$83,$CD$4)&amp;"/"&amp;COUNTIF($BA$3:$BA$22,"?*")),IF($AX33=7,IF($CD$4="","",INDEX(Tính!$Q$39:$Q$83,$CD$4)&amp;"/"&amp;$BK$1),IF($AX33=8,IF($CD$4="","",INDEX(Tính!$R$39:$R$83,$CD$4)&amp;"/"&amp;$BL$1),"")))))))</f>
        <v/>
      </c>
      <c r="M33" s="31" t="str">
        <f>IF($AX33=0,"Dự kiến",IF($AX33=1,INDEX(Tính!$M$39:$M$83,INDEX($CD$3:$CD$47,$AY33)),IF($AX33=3,IF($CD$5="","",INDEX(Tính!$F$39:$F$83,$CD$5)),IF($AX33=4,IF($CD$5="","",INDEX(Tính!$C$182:$V$226,$CD$5,INDEX($BJ$3:$BJ$22,$AY33))),IF($AX33=5,IF($CD$5="","",INDEX(Tính!$P$39:$P$83,$CD$5)&amp;"/"&amp;COUNTIF($BA$3:$BA$22,"?*")),IF($AX33=7,IF($CD$5="","",INDEX(Tính!$Q$39:$Q$83,$CD$5)&amp;"/"&amp;$BK$1),IF($AX33=8,IF($CD$5="","",INDEX(Tính!$R$39:$R$83,$CD$5)&amp;"/"&amp;$BL$1),"")))))))</f>
        <v/>
      </c>
      <c r="N33" s="31" t="str">
        <f>IF($AX33=0,"NH đạt",IF($AX33=1,INDEX(Tính!$P$39:$P$83,INDEX($CD$3:$CD$47,$AY33))&amp;"/"&amp;COUNTIF($BA$3:$BA$22,"?*"),IF($AX33=3,IF($CD$6="","",INDEX(Tính!$F$39:$F$83,$CD$6)),IF($AX33=4,IF($CD$6="","",INDEX(Tính!$C$182:$V$226,$CD$6,INDEX($BJ$3:$BJ$22,$AY33))),IF($AX33=5,IF($CD$6="","",INDEX(Tính!$P$39:$P$83,$CD$6)&amp;"/"&amp;COUNTIF($BA$3:$BA$22,"?*")),IF($AX33=7,IF($CD$6="","",INDEX(Tính!$Q$39:$Q$83,$CD$6)&amp;"/"&amp;$BK$1),IF($AX33=8,IF($CD$6="","",INDEX(Tính!$R$39:$R$83,$CD$6)&amp;"/"&amp;$BL$1),"")))))))</f>
        <v/>
      </c>
      <c r="O33" s="31" t="str">
        <f>IF($AX33=3,IF($CD$7="","",INDEX(Tính!$F$39:$F$83,$CD$7)),IF($AX33=4,IF($CD$7="","",INDEX(Tính!$C$182:$V$226,$CD$7,INDEX($BJ$3:$BJ$22,$AY33))),IF($AX33=5,IF($CD$7="","",INDEX(Tính!$P$39:$P$83,$CD$7)&amp;"/"&amp;COUNTIF($BA$3:$BA$22,"?*")),IF($AX33=7,IF($CD$7="","",INDEX(Tính!$Q$39:$Q$83,$CD$7)&amp;"/"&amp;$BK$1),IF($AX33=8,IF($CD$7="","",INDEX(Tính!$R$39:$R$83,$CD$7)&amp;"/"&amp;$BL$1),"")))))</f>
        <v/>
      </c>
      <c r="P33" s="31" t="str">
        <f>IF($AX33=3,IF($CD$8="","",INDEX(Tính!$F$39:$F$83,$CD$8)),IF($AX33=4,IF($CD$8="","",INDEX(Tính!$C$182:$V$226,$CD$8,INDEX($BJ$3:$BJ$22,$AY33))),IF($AX33=5,IF($CD$8="","",INDEX(Tính!$P$39:$P$83,$CD$8)&amp;"/"&amp;COUNTIF($BA$3:$BA$22,"?*")),IF($AX33=7,IF($CD$8="","",INDEX(Tính!$Q$39:$Q$83,$CD$8)&amp;"/"&amp;$BK$1),IF($AX33=8,IF($CD$8="","",INDEX(Tính!$R$39:$R$83,$CD$8)&amp;"/"&amp;$BL$1),"")))))</f>
        <v/>
      </c>
      <c r="Q33" s="31" t="str">
        <f>IF($AX33=3,IF($CD$9="","",INDEX(Tính!$F$39:$F$83,$CD$9)),IF($AX33=4,IF($CD$9="","",INDEX(Tính!$C$182:$V$226,$CD$9,INDEX($BJ$3:$BJ$22,$AY33))),IF($AX33=5,IF($CD$9="","",INDEX(Tính!$P$39:$P$83,$CD$9)&amp;"/"&amp;COUNTIF($BA$3:$BA$22,"?*")),IF($AX33=7,IF($CD$9="","",INDEX(Tính!$Q$39:$Q$83,$CD$9)&amp;"/"&amp;$BK$1),IF($AX33=8,IF($CD$9="","",INDEX(Tính!$R$39:$R$83,$CD$9)&amp;"/"&amp;$BL$1),"")))))</f>
        <v/>
      </c>
      <c r="R33" s="31" t="str">
        <f>IF($AX33=3,IF($CD$10="","",INDEX(Tính!$F$39:$F$83,$CD$10)),IF($AX33=4,IF($CD$10="","",INDEX(Tính!$C$182:$V$226,$CD$10,INDEX($BJ$3:$BJ$22,$AY33))),IF($AX33=5,IF($CD$10="","",INDEX(Tính!$P$39:$P$83,$CD$10)&amp;"/"&amp;COUNTIF($BA$3:$BA$22,"?*")),IF($AX33=7,IF($CD$10="","",INDEX(Tính!$Q$39:$Q$83,$CD$10)&amp;"/"&amp;$BK$1),IF($AX33=8,IF($CD$10="","",INDEX(Tính!$R$39:$R$83,$CD$10)&amp;"/"&amp;$BL$1),"")))))</f>
        <v/>
      </c>
      <c r="S33" s="31" t="str">
        <f>IF($AX33=3,IF($CD$11="","",INDEX(Tính!$F$39:$F$83,$CD$11)),IF($AX33=4,IF($CD$11="","",INDEX(Tính!$C$182:$V$226,$CD$11,INDEX($BJ$3:$BJ$22,$AY33))),IF($AX33=5,IF($CD$11="","",INDEX(Tính!$P$39:$P$83,$CD$11)&amp;"/"&amp;COUNTIF($BA$3:$BA$22,"?*")),IF($AX33=7,IF($CD$11="","",INDEX(Tính!$Q$39:$Q$83,$CD$11)&amp;"/"&amp;$BK$1),IF($AX33=8,IF($CD$11="","",INDEX(Tính!$R$39:$R$83,$CD$11)&amp;"/"&amp;$BL$1),"")))))</f>
        <v/>
      </c>
      <c r="T33" s="31" t="str">
        <f>IF($AX33=3,IF($CD$12="","",INDEX(Tính!$F$39:$F$83,$CD$12)),IF($AX33=4,IF($CD$12="","",INDEX(Tính!$C$182:$V$226,$CD$12,INDEX($BJ$3:$BJ$22,$AY33))),IF($AX33=5,IF($CD$12="","",INDEX(Tính!$P$39:$P$83,$CD$12)&amp;"/"&amp;COUNTIF($BA$3:$BA$22,"?*")),IF($AX33=7,IF($CD$12="","",INDEX(Tính!$Q$39:$Q$83,$CD$12)&amp;"/"&amp;$BK$1),IF($AX33=8,IF($CD$12="","",INDEX(Tính!$R$39:$R$83,$CD$12)&amp;"/"&amp;$BL$1),"")))))</f>
        <v/>
      </c>
      <c r="U33" s="31" t="str">
        <f>IF($AX33=3,IF($CD$13="","",INDEX(Tính!$F$39:$F$83,$CD$13)),IF($AX33=4,IF($CD$13="","",INDEX(Tính!$C$182:$V$226,$CD$13,INDEX($BJ$3:$BJ$22,$AY33))),IF($AX33=5,IF($CD$13="","",INDEX(Tính!$P$39:$P$83,$CD$13)&amp;"/"&amp;COUNTIF($BA$3:$BA$22,"?*")),IF($AX33=7,IF($CD$13="","",INDEX(Tính!$Q$39:$Q$83,$CD$13)&amp;"/"&amp;$BK$1),IF($AX33=8,IF($CD$13="","",INDEX(Tính!$R$39:$R$83,$CD$13)&amp;"/"&amp;$BL$1),"")))))</f>
        <v/>
      </c>
      <c r="V33" s="31" t="str">
        <f>IF($AX33=3,IF($CD$14="","",INDEX(Tính!$F$39:$F$83,$CD$14)),IF($AX33=4,IF($CD$14="","",INDEX(Tính!$C$182:$V$226,$CD$14,INDEX($BJ$3:$BJ$22,$AY33))),IF($AX33=5,IF($CD$14="","",INDEX(Tính!$P$39:$P$83,$CD$14)&amp;"/"&amp;COUNTIF($BA$3:$BA$22,"?*")),IF($AX33=7,IF($CD$14="","",INDEX(Tính!$Q$39:$Q$83,$CD$14)&amp;"/"&amp;$BK$1),IF($AX33=8,IF($CD$14="","",INDEX(Tính!$R$39:$R$83,$CD$14)&amp;"/"&amp;$BL$1),"")))))</f>
        <v/>
      </c>
      <c r="W33" s="31" t="str">
        <f>IF($AX33=3,IF($CD$15="","",INDEX(Tính!$F$39:$F$83,$CD$15)),IF($AX33=4,IF($CD$15="","",INDEX(Tính!$C$182:$V$226,$CD$15,INDEX($BJ$3:$BJ$22,$AY33))),IF($AX33=5,IF($CD$15="","",INDEX(Tính!$P$39:$P$83,$CD$15)&amp;"/"&amp;COUNTIF($BA$3:$BA$22,"?*")),IF($AX33=7,IF($CD$15="","",INDEX(Tính!$Q$39:$Q$83,$CD$15)&amp;"/"&amp;$BK$1),IF($AX33=8,IF($CD$15="","",INDEX(Tính!$R$39:$R$83,$CD$15)&amp;"/"&amp;$BL$1),"")))))</f>
        <v/>
      </c>
      <c r="X33" s="31" t="str">
        <f>IF($AX33=3,IF($CD$16="","",INDEX(Tính!$F$39:$F$83,$CD$16)),IF($AX33=4,IF($CD$16="","",INDEX(Tính!$C$182:$V$226,$CD$16,INDEX($BJ$3:$BJ$22,$AY33))),IF($AX33=5,IF($CD$16="","",INDEX(Tính!$P$39:$P$83,$CD$16)&amp;"/"&amp;COUNTIF($BA$3:$BA$22,"?*")),IF($AX33=7,IF($CD$16="","",INDEX(Tính!$Q$39:$Q$83,$CD$16)&amp;"/"&amp;$BK$1),IF($AX33=8,IF($CD$16="","",INDEX(Tính!$R$39:$R$83,$CD$16)&amp;"/"&amp;$BL$1),"")))))</f>
        <v/>
      </c>
      <c r="Y33" s="31" t="str">
        <f>IF($AX33=3,IF($CD$17="","",INDEX(Tính!$F$39:$F$83,$CD$17)),IF($AX33=4,IF($CD$17="","",INDEX(Tính!$C$182:$V$226,$CD$17,INDEX($BJ$3:$BJ$22,$AY33))),IF($AX33=5,IF($CD$17="","",INDEX(Tính!$P$39:$P$83,$CD$17)&amp;"/"&amp;COUNTIF($BA$3:$BA$22,"?*")),IF($AX33=7,IF($CD$17="","",INDEX(Tính!$Q$39:$Q$83,$CD$17)&amp;"/"&amp;$BK$1),IF($AX33=8,IF($CD$17="","",INDEX(Tính!$R$39:$R$83,$CD$17)&amp;"/"&amp;$BL$1),"")))))</f>
        <v/>
      </c>
      <c r="Z33" s="31" t="str">
        <f>IF($AX33=3,IF($CD$18="","",INDEX(Tính!$F$39:$F$83,$CD$18)),IF($AX33=4,IF($CD$18="","",INDEX(Tính!$C$182:$V$226,$CD$18,INDEX($BJ$3:$BJ$22,$AY33))),IF($AX33=5,IF($CD$18="","",INDEX(Tính!$P$39:$P$83,$CD$18)&amp;"/"&amp;COUNTIF($BA$3:$BA$22,"?*")),IF($AX33=7,IF($CD$18="","",INDEX(Tính!$Q$39:$Q$83,$CD$18)&amp;"/"&amp;$BK$1),IF($AX33=8,IF($CD$18="","",INDEX(Tính!$R$39:$R$83,$CD$18)&amp;"/"&amp;$BL$1),"")))))</f>
        <v/>
      </c>
      <c r="AA33" s="31" t="str">
        <f>IF($AX33=3,IF($CD$19="","",INDEX(Tính!$F$39:$F$83,$CD$19)),IF($AX33=4,IF($CD$19="","",INDEX(Tính!$C$182:$V$226,$CD$19,INDEX($BJ$3:$BJ$22,$AY33))),IF($AX33=5,IF($CD$19="","",INDEX(Tính!$P$39:$P$83,$CD$19)&amp;"/"&amp;COUNTIF($BA$3:$BA$22,"?*")),IF($AX33=7,IF($CD$19="","",INDEX(Tính!$Q$39:$Q$83,$CD$19)&amp;"/"&amp;$BK$1),IF($AX33=8,IF($CD$19="","",INDEX(Tính!$R$39:$R$83,$CD$19)&amp;"/"&amp;$BL$1),"")))))</f>
        <v/>
      </c>
      <c r="AB33" s="31" t="str">
        <f>IF($AX33=3,IF($CD$20="","",INDEX(Tính!$F$39:$F$83,$CD$20)),IF($AX33=4,IF($CD$20="","",INDEX(Tính!$C$182:$V$226,$CD$20,INDEX($BJ$3:$BJ$22,$AY33))),IF($AX33=5,IF($CD$20="","",INDEX(Tính!$P$39:$P$83,$CD$20)&amp;"/"&amp;COUNTIF($BA$3:$BA$22,"?*")),IF($AX33=7,IF($CD$20="","",INDEX(Tính!$Q$39:$Q$83,$CD$20)&amp;"/"&amp;$BK$1),IF($AX33=8,IF($CD$20="","",INDEX(Tính!$R$39:$R$83,$CD$20)&amp;"/"&amp;$BL$1),"")))))</f>
        <v/>
      </c>
      <c r="AC33" s="31" t="str">
        <f>IF($AX33=3,IF($CD$21="","",INDEX(Tính!$F$39:$F$83,$CD$21)),IF($AX33=4,IF($CD$21="","",INDEX(Tính!$C$182:$V$226,$CD$21,INDEX($BJ$3:$BJ$22,$AY33))),IF($AX33=5,IF($CD$21="","",INDEX(Tính!$P$39:$P$83,$CD$21)&amp;"/"&amp;COUNTIF($BA$3:$BA$22,"?*")),IF($AX33=7,IF($CD$21="","",INDEX(Tính!$Q$39:$Q$83,$CD$21)&amp;"/"&amp;$BK$1),IF($AX33=8,IF($CD$21="","",INDEX(Tính!$R$39:$R$83,$CD$21)&amp;"/"&amp;$BL$1),"")))))</f>
        <v/>
      </c>
      <c r="AD33" s="31" t="str">
        <f>IF($AX33=3,IF($CD$22="","",INDEX(Tính!$F$39:$F$83,$CD$22)),IF($AX33=4,IF($CD$22="","",INDEX(Tính!$C$182:$V$226,$CD$22,INDEX($BJ$3:$BJ$22,$AY33))),IF($AX33=5,IF($CD$22="","",INDEX(Tính!$P$39:$P$83,$CD$22)&amp;"/"&amp;COUNTIF($BA$3:$BA$22,"?*")),IF($AX33=7,IF($CD$22="","",INDEX(Tính!$Q$39:$Q$83,$CD$22)&amp;"/"&amp;$BK$1),IF($AX33=8,IF($CD$22="","",INDEX(Tính!$R$39:$R$83,$CD$22)&amp;"/"&amp;$BL$1),"")))))</f>
        <v/>
      </c>
      <c r="AX33">
        <f>IF(29=0,0,IF(29&lt;=$AX$1,1,IF(29=$AX$1+1,2,IF(29=$AX$1+2,3,IF((29-$AX$1-2)&lt;=$AX$3,IF(INDEX($BK$3:$BK$24,(29-$AX$1-2))="C",7,IF(INDEX($BK$3:$BK$24,(29-$AX$1-2))="V",8,4)),IF((29-$AX$1-2)=$AX$3+1,5,6))))))</f>
        <v>6</v>
      </c>
      <c r="AY33">
        <f>IF(AX33=1,29,IF(AX33=4,INDEX($BL$3:$BL$24,(29-$AX$1-2)),0))</f>
        <v>0</v>
      </c>
      <c r="CA33">
        <v>31</v>
      </c>
      <c r="CB33">
        <f>IF(Tính!B69="",0,IF(OR($AZ$1=0,Tính!D69=$AZ$1),1,0))</f>
        <v>0</v>
      </c>
      <c r="CC33">
        <f>IF(CB33=1,Tính!M69+1+(45-31)/1000000,-1)</f>
        <v>-1</v>
      </c>
      <c r="CD33" t="str">
        <f>IF(LARGE($CC$3:$CC$47,31)&lt;0,"",MATCH(LARGE($CC$3:$CC$47,31),$CC$3:$CC$47,0))</f>
        <v/>
      </c>
    </row>
    <row r="34" spans="8:82" x14ac:dyDescent="0.3">
      <c r="H34" s="29" t="str">
        <f t="shared" si="2"/>
        <v/>
      </c>
      <c r="I34" s="12" t="str">
        <f>IF($AX34=0,"Nhân viên",IF($AX34=1,INDEX(Tính!$F$39:$F$83,INDEX($CD$3:$CD$47,$AY34))&amp;" · "&amp;INDEX(Tính!$O$39:$O$83,INDEX($CD$3:$CD$47,$AY34)),IF($AX34=3,"Nhóm hàng",IF($AX34=4,INDEX($BA$3:$BA$22,INDEX($BJ$3:$BJ$22,$AY34)),IF($AX34=5,"Số nhóm đạt",IF($AX34=7,"NHÓM CHÍNH",IF($AX34=8,"NHÓM VƯỢT TRỘI","")))))))</f>
        <v/>
      </c>
      <c r="J34" s="30" t="str">
        <f>IF($AX34=0,"Mục tiêu",IF($AX34=1,FIXED(INDEX(Tính!$J$39:$J$83,INDEX($CD$3:$CD$47,$AY34)),0),IF($AX34=3,"Cả shop",IF($AX34=4,INDEX($BG$3:$BG$22,INDEX($BJ$3:$BJ$22,$AY34)),IF($AX34=5,COUNTIF($BG$3:$BG$22,"&gt;=0.995")&amp;"/"&amp;COUNTIF($BA$3:$BA$22,"?*"),IF($AX34=7,COUNTIFS($BB$3:$BB$22,"Chính",$BG$3:$BG$22,"&gt;=0.995")&amp;"/"&amp;$BK$1,IF($AX34=8,COUNTIFS($BB$3:$BB$22,"Vượt trội",$BG$3:$BG$22,"&gt;=0.995")&amp;"/"&amp;$BL$1,"")))))))</f>
        <v/>
      </c>
      <c r="K34" s="30" t="str">
        <f>IF($AX34=0,"DT QĐ",IF($AX34=1,FIXED(INDEX(Tính!$K$39:$K$83,INDEX($CD$3:$CD$47,$AY34)),1),IF($AX34=3,IF($CD$3="","",INDEX(Tính!$F$39:$F$83,$CD$3)),IF($AX34=4,IF($CD$3="","",INDEX(Tính!$C$182:$V$226,$CD$3,INDEX($BJ$3:$BJ$22,$AY34))),IF($AX34=5,IF($CD$3="","",INDEX(Tính!$P$39:$P$83,$CD$3)&amp;"/"&amp;COUNTIF($BA$3:$BA$22,"?*")),IF($AX34=7,IF($CD$3="","",INDEX(Tính!$Q$39:$Q$83,$CD$3)&amp;"/"&amp;$BK$1),IF($AX34=8,IF($CD$3="","",INDEX(Tính!$R$39:$R$83,$CD$3)&amp;"/"&amp;$BL$1),"")))))))</f>
        <v/>
      </c>
      <c r="L34" s="31" t="str">
        <f>IF($AX34=0,"% HT",IF($AX34=1,INDEX(Tính!$N$39:$N$83,INDEX($CD$3:$CD$47,$AY34)),IF($AX34=3,IF($CD$4="","",INDEX(Tính!$F$39:$F$83,$CD$4)),IF($AX34=4,IF($CD$4="","",INDEX(Tính!$C$182:$V$226,$CD$4,INDEX($BJ$3:$BJ$22,$AY34))),IF($AX34=5,IF($CD$4="","",INDEX(Tính!$P$39:$P$83,$CD$4)&amp;"/"&amp;COUNTIF($BA$3:$BA$22,"?*")),IF($AX34=7,IF($CD$4="","",INDEX(Tính!$Q$39:$Q$83,$CD$4)&amp;"/"&amp;$BK$1),IF($AX34=8,IF($CD$4="","",INDEX(Tính!$R$39:$R$83,$CD$4)&amp;"/"&amp;$BL$1),"")))))))</f>
        <v/>
      </c>
      <c r="M34" s="31" t="str">
        <f>IF($AX34=0,"Dự kiến",IF($AX34=1,INDEX(Tính!$M$39:$M$83,INDEX($CD$3:$CD$47,$AY34)),IF($AX34=3,IF($CD$5="","",INDEX(Tính!$F$39:$F$83,$CD$5)),IF($AX34=4,IF($CD$5="","",INDEX(Tính!$C$182:$V$226,$CD$5,INDEX($BJ$3:$BJ$22,$AY34))),IF($AX34=5,IF($CD$5="","",INDEX(Tính!$P$39:$P$83,$CD$5)&amp;"/"&amp;COUNTIF($BA$3:$BA$22,"?*")),IF($AX34=7,IF($CD$5="","",INDEX(Tính!$Q$39:$Q$83,$CD$5)&amp;"/"&amp;$BK$1),IF($AX34=8,IF($CD$5="","",INDEX(Tính!$R$39:$R$83,$CD$5)&amp;"/"&amp;$BL$1),"")))))))</f>
        <v/>
      </c>
      <c r="N34" s="31" t="str">
        <f>IF($AX34=0,"NH đạt",IF($AX34=1,INDEX(Tính!$P$39:$P$83,INDEX($CD$3:$CD$47,$AY34))&amp;"/"&amp;COUNTIF($BA$3:$BA$22,"?*"),IF($AX34=3,IF($CD$6="","",INDEX(Tính!$F$39:$F$83,$CD$6)),IF($AX34=4,IF($CD$6="","",INDEX(Tính!$C$182:$V$226,$CD$6,INDEX($BJ$3:$BJ$22,$AY34))),IF($AX34=5,IF($CD$6="","",INDEX(Tính!$P$39:$P$83,$CD$6)&amp;"/"&amp;COUNTIF($BA$3:$BA$22,"?*")),IF($AX34=7,IF($CD$6="","",INDEX(Tính!$Q$39:$Q$83,$CD$6)&amp;"/"&amp;$BK$1),IF($AX34=8,IF($CD$6="","",INDEX(Tính!$R$39:$R$83,$CD$6)&amp;"/"&amp;$BL$1),"")))))))</f>
        <v/>
      </c>
      <c r="O34" s="31" t="str">
        <f>IF($AX34=3,IF($CD$7="","",INDEX(Tính!$F$39:$F$83,$CD$7)),IF($AX34=4,IF($CD$7="","",INDEX(Tính!$C$182:$V$226,$CD$7,INDEX($BJ$3:$BJ$22,$AY34))),IF($AX34=5,IF($CD$7="","",INDEX(Tính!$P$39:$P$83,$CD$7)&amp;"/"&amp;COUNTIF($BA$3:$BA$22,"?*")),IF($AX34=7,IF($CD$7="","",INDEX(Tính!$Q$39:$Q$83,$CD$7)&amp;"/"&amp;$BK$1),IF($AX34=8,IF($CD$7="","",INDEX(Tính!$R$39:$R$83,$CD$7)&amp;"/"&amp;$BL$1),"")))))</f>
        <v/>
      </c>
      <c r="P34" s="31" t="str">
        <f>IF($AX34=3,IF($CD$8="","",INDEX(Tính!$F$39:$F$83,$CD$8)),IF($AX34=4,IF($CD$8="","",INDEX(Tính!$C$182:$V$226,$CD$8,INDEX($BJ$3:$BJ$22,$AY34))),IF($AX34=5,IF($CD$8="","",INDEX(Tính!$P$39:$P$83,$CD$8)&amp;"/"&amp;COUNTIF($BA$3:$BA$22,"?*")),IF($AX34=7,IF($CD$8="","",INDEX(Tính!$Q$39:$Q$83,$CD$8)&amp;"/"&amp;$BK$1),IF($AX34=8,IF($CD$8="","",INDEX(Tính!$R$39:$R$83,$CD$8)&amp;"/"&amp;$BL$1),"")))))</f>
        <v/>
      </c>
      <c r="Q34" s="31" t="str">
        <f>IF($AX34=3,IF($CD$9="","",INDEX(Tính!$F$39:$F$83,$CD$9)),IF($AX34=4,IF($CD$9="","",INDEX(Tính!$C$182:$V$226,$CD$9,INDEX($BJ$3:$BJ$22,$AY34))),IF($AX34=5,IF($CD$9="","",INDEX(Tính!$P$39:$P$83,$CD$9)&amp;"/"&amp;COUNTIF($BA$3:$BA$22,"?*")),IF($AX34=7,IF($CD$9="","",INDEX(Tính!$Q$39:$Q$83,$CD$9)&amp;"/"&amp;$BK$1),IF($AX34=8,IF($CD$9="","",INDEX(Tính!$R$39:$R$83,$CD$9)&amp;"/"&amp;$BL$1),"")))))</f>
        <v/>
      </c>
      <c r="R34" s="31" t="str">
        <f>IF($AX34=3,IF($CD$10="","",INDEX(Tính!$F$39:$F$83,$CD$10)),IF($AX34=4,IF($CD$10="","",INDEX(Tính!$C$182:$V$226,$CD$10,INDEX($BJ$3:$BJ$22,$AY34))),IF($AX34=5,IF($CD$10="","",INDEX(Tính!$P$39:$P$83,$CD$10)&amp;"/"&amp;COUNTIF($BA$3:$BA$22,"?*")),IF($AX34=7,IF($CD$10="","",INDEX(Tính!$Q$39:$Q$83,$CD$10)&amp;"/"&amp;$BK$1),IF($AX34=8,IF($CD$10="","",INDEX(Tính!$R$39:$R$83,$CD$10)&amp;"/"&amp;$BL$1),"")))))</f>
        <v/>
      </c>
      <c r="S34" s="31" t="str">
        <f>IF($AX34=3,IF($CD$11="","",INDEX(Tính!$F$39:$F$83,$CD$11)),IF($AX34=4,IF($CD$11="","",INDEX(Tính!$C$182:$V$226,$CD$11,INDEX($BJ$3:$BJ$22,$AY34))),IF($AX34=5,IF($CD$11="","",INDEX(Tính!$P$39:$P$83,$CD$11)&amp;"/"&amp;COUNTIF($BA$3:$BA$22,"?*")),IF($AX34=7,IF($CD$11="","",INDEX(Tính!$Q$39:$Q$83,$CD$11)&amp;"/"&amp;$BK$1),IF($AX34=8,IF($CD$11="","",INDEX(Tính!$R$39:$R$83,$CD$11)&amp;"/"&amp;$BL$1),"")))))</f>
        <v/>
      </c>
      <c r="T34" s="31" t="str">
        <f>IF($AX34=3,IF($CD$12="","",INDEX(Tính!$F$39:$F$83,$CD$12)),IF($AX34=4,IF($CD$12="","",INDEX(Tính!$C$182:$V$226,$CD$12,INDEX($BJ$3:$BJ$22,$AY34))),IF($AX34=5,IF($CD$12="","",INDEX(Tính!$P$39:$P$83,$CD$12)&amp;"/"&amp;COUNTIF($BA$3:$BA$22,"?*")),IF($AX34=7,IF($CD$12="","",INDEX(Tính!$Q$39:$Q$83,$CD$12)&amp;"/"&amp;$BK$1),IF($AX34=8,IF($CD$12="","",INDEX(Tính!$R$39:$R$83,$CD$12)&amp;"/"&amp;$BL$1),"")))))</f>
        <v/>
      </c>
      <c r="U34" s="31" t="str">
        <f>IF($AX34=3,IF($CD$13="","",INDEX(Tính!$F$39:$F$83,$CD$13)),IF($AX34=4,IF($CD$13="","",INDEX(Tính!$C$182:$V$226,$CD$13,INDEX($BJ$3:$BJ$22,$AY34))),IF($AX34=5,IF($CD$13="","",INDEX(Tính!$P$39:$P$83,$CD$13)&amp;"/"&amp;COUNTIF($BA$3:$BA$22,"?*")),IF($AX34=7,IF($CD$13="","",INDEX(Tính!$Q$39:$Q$83,$CD$13)&amp;"/"&amp;$BK$1),IF($AX34=8,IF($CD$13="","",INDEX(Tính!$R$39:$R$83,$CD$13)&amp;"/"&amp;$BL$1),"")))))</f>
        <v/>
      </c>
      <c r="V34" s="31" t="str">
        <f>IF($AX34=3,IF($CD$14="","",INDEX(Tính!$F$39:$F$83,$CD$14)),IF($AX34=4,IF($CD$14="","",INDEX(Tính!$C$182:$V$226,$CD$14,INDEX($BJ$3:$BJ$22,$AY34))),IF($AX34=5,IF($CD$14="","",INDEX(Tính!$P$39:$P$83,$CD$14)&amp;"/"&amp;COUNTIF($BA$3:$BA$22,"?*")),IF($AX34=7,IF($CD$14="","",INDEX(Tính!$Q$39:$Q$83,$CD$14)&amp;"/"&amp;$BK$1),IF($AX34=8,IF($CD$14="","",INDEX(Tính!$R$39:$R$83,$CD$14)&amp;"/"&amp;$BL$1),"")))))</f>
        <v/>
      </c>
      <c r="W34" s="31" t="str">
        <f>IF($AX34=3,IF($CD$15="","",INDEX(Tính!$F$39:$F$83,$CD$15)),IF($AX34=4,IF($CD$15="","",INDEX(Tính!$C$182:$V$226,$CD$15,INDEX($BJ$3:$BJ$22,$AY34))),IF($AX34=5,IF($CD$15="","",INDEX(Tính!$P$39:$P$83,$CD$15)&amp;"/"&amp;COUNTIF($BA$3:$BA$22,"?*")),IF($AX34=7,IF($CD$15="","",INDEX(Tính!$Q$39:$Q$83,$CD$15)&amp;"/"&amp;$BK$1),IF($AX34=8,IF($CD$15="","",INDEX(Tính!$R$39:$R$83,$CD$15)&amp;"/"&amp;$BL$1),"")))))</f>
        <v/>
      </c>
      <c r="X34" s="31" t="str">
        <f>IF($AX34=3,IF($CD$16="","",INDEX(Tính!$F$39:$F$83,$CD$16)),IF($AX34=4,IF($CD$16="","",INDEX(Tính!$C$182:$V$226,$CD$16,INDEX($BJ$3:$BJ$22,$AY34))),IF($AX34=5,IF($CD$16="","",INDEX(Tính!$P$39:$P$83,$CD$16)&amp;"/"&amp;COUNTIF($BA$3:$BA$22,"?*")),IF($AX34=7,IF($CD$16="","",INDEX(Tính!$Q$39:$Q$83,$CD$16)&amp;"/"&amp;$BK$1),IF($AX34=8,IF($CD$16="","",INDEX(Tính!$R$39:$R$83,$CD$16)&amp;"/"&amp;$BL$1),"")))))</f>
        <v/>
      </c>
      <c r="Y34" s="31" t="str">
        <f>IF($AX34=3,IF($CD$17="","",INDEX(Tính!$F$39:$F$83,$CD$17)),IF($AX34=4,IF($CD$17="","",INDEX(Tính!$C$182:$V$226,$CD$17,INDEX($BJ$3:$BJ$22,$AY34))),IF($AX34=5,IF($CD$17="","",INDEX(Tính!$P$39:$P$83,$CD$17)&amp;"/"&amp;COUNTIF($BA$3:$BA$22,"?*")),IF($AX34=7,IF($CD$17="","",INDEX(Tính!$Q$39:$Q$83,$CD$17)&amp;"/"&amp;$BK$1),IF($AX34=8,IF($CD$17="","",INDEX(Tính!$R$39:$R$83,$CD$17)&amp;"/"&amp;$BL$1),"")))))</f>
        <v/>
      </c>
      <c r="Z34" s="31" t="str">
        <f>IF($AX34=3,IF($CD$18="","",INDEX(Tính!$F$39:$F$83,$CD$18)),IF($AX34=4,IF($CD$18="","",INDEX(Tính!$C$182:$V$226,$CD$18,INDEX($BJ$3:$BJ$22,$AY34))),IF($AX34=5,IF($CD$18="","",INDEX(Tính!$P$39:$P$83,$CD$18)&amp;"/"&amp;COUNTIF($BA$3:$BA$22,"?*")),IF($AX34=7,IF($CD$18="","",INDEX(Tính!$Q$39:$Q$83,$CD$18)&amp;"/"&amp;$BK$1),IF($AX34=8,IF($CD$18="","",INDEX(Tính!$R$39:$R$83,$CD$18)&amp;"/"&amp;$BL$1),"")))))</f>
        <v/>
      </c>
      <c r="AA34" s="31" t="str">
        <f>IF($AX34=3,IF($CD$19="","",INDEX(Tính!$F$39:$F$83,$CD$19)),IF($AX34=4,IF($CD$19="","",INDEX(Tính!$C$182:$V$226,$CD$19,INDEX($BJ$3:$BJ$22,$AY34))),IF($AX34=5,IF($CD$19="","",INDEX(Tính!$P$39:$P$83,$CD$19)&amp;"/"&amp;COUNTIF($BA$3:$BA$22,"?*")),IF($AX34=7,IF($CD$19="","",INDEX(Tính!$Q$39:$Q$83,$CD$19)&amp;"/"&amp;$BK$1),IF($AX34=8,IF($CD$19="","",INDEX(Tính!$R$39:$R$83,$CD$19)&amp;"/"&amp;$BL$1),"")))))</f>
        <v/>
      </c>
      <c r="AB34" s="31" t="str">
        <f>IF($AX34=3,IF($CD$20="","",INDEX(Tính!$F$39:$F$83,$CD$20)),IF($AX34=4,IF($CD$20="","",INDEX(Tính!$C$182:$V$226,$CD$20,INDEX($BJ$3:$BJ$22,$AY34))),IF($AX34=5,IF($CD$20="","",INDEX(Tính!$P$39:$P$83,$CD$20)&amp;"/"&amp;COUNTIF($BA$3:$BA$22,"?*")),IF($AX34=7,IF($CD$20="","",INDEX(Tính!$Q$39:$Q$83,$CD$20)&amp;"/"&amp;$BK$1),IF($AX34=8,IF($CD$20="","",INDEX(Tính!$R$39:$R$83,$CD$20)&amp;"/"&amp;$BL$1),"")))))</f>
        <v/>
      </c>
      <c r="AC34" s="31" t="str">
        <f>IF($AX34=3,IF($CD$21="","",INDEX(Tính!$F$39:$F$83,$CD$21)),IF($AX34=4,IF($CD$21="","",INDEX(Tính!$C$182:$V$226,$CD$21,INDEX($BJ$3:$BJ$22,$AY34))),IF($AX34=5,IF($CD$21="","",INDEX(Tính!$P$39:$P$83,$CD$21)&amp;"/"&amp;COUNTIF($BA$3:$BA$22,"?*")),IF($AX34=7,IF($CD$21="","",INDEX(Tính!$Q$39:$Q$83,$CD$21)&amp;"/"&amp;$BK$1),IF($AX34=8,IF($CD$21="","",INDEX(Tính!$R$39:$R$83,$CD$21)&amp;"/"&amp;$BL$1),"")))))</f>
        <v/>
      </c>
      <c r="AD34" s="31" t="str">
        <f>IF($AX34=3,IF($CD$22="","",INDEX(Tính!$F$39:$F$83,$CD$22)),IF($AX34=4,IF($CD$22="","",INDEX(Tính!$C$182:$V$226,$CD$22,INDEX($BJ$3:$BJ$22,$AY34))),IF($AX34=5,IF($CD$22="","",INDEX(Tính!$P$39:$P$83,$CD$22)&amp;"/"&amp;COUNTIF($BA$3:$BA$22,"?*")),IF($AX34=7,IF($CD$22="","",INDEX(Tính!$Q$39:$Q$83,$CD$22)&amp;"/"&amp;$BK$1),IF($AX34=8,IF($CD$22="","",INDEX(Tính!$R$39:$R$83,$CD$22)&amp;"/"&amp;$BL$1),"")))))</f>
        <v/>
      </c>
      <c r="AX34">
        <f>IF(30=0,0,IF(30&lt;=$AX$1,1,IF(30=$AX$1+1,2,IF(30=$AX$1+2,3,IF((30-$AX$1-2)&lt;=$AX$3,IF(INDEX($BK$3:$BK$24,(30-$AX$1-2))="C",7,IF(INDEX($BK$3:$BK$24,(30-$AX$1-2))="V",8,4)),IF((30-$AX$1-2)=$AX$3+1,5,6))))))</f>
        <v>6</v>
      </c>
      <c r="AY34">
        <f>IF(AX34=1,30,IF(AX34=4,INDEX($BL$3:$BL$24,(30-$AX$1-2)),0))</f>
        <v>0</v>
      </c>
      <c r="CA34">
        <v>32</v>
      </c>
      <c r="CB34">
        <f>IF(Tính!B70="",0,IF(OR($AZ$1=0,Tính!D70=$AZ$1),1,0))</f>
        <v>0</v>
      </c>
      <c r="CC34">
        <f>IF(CB34=1,Tính!M70+1+(45-32)/1000000,-1)</f>
        <v>-1</v>
      </c>
      <c r="CD34" t="str">
        <f>IF(LARGE($CC$3:$CC$47,32)&lt;0,"",MATCH(LARGE($CC$3:$CC$47,32),$CC$3:$CC$47,0))</f>
        <v/>
      </c>
    </row>
    <row r="35" spans="8:82" x14ac:dyDescent="0.3">
      <c r="H35" s="29" t="str">
        <f t="shared" si="2"/>
        <v/>
      </c>
      <c r="I35" s="12" t="str">
        <f>IF($AX35=0,"Nhân viên",IF($AX35=1,INDEX(Tính!$F$39:$F$83,INDEX($CD$3:$CD$47,$AY35))&amp;" · "&amp;INDEX(Tính!$O$39:$O$83,INDEX($CD$3:$CD$47,$AY35)),IF($AX35=3,"Nhóm hàng",IF($AX35=4,INDEX($BA$3:$BA$22,INDEX($BJ$3:$BJ$22,$AY35)),IF($AX35=5,"Số nhóm đạt",IF($AX35=7,"NHÓM CHÍNH",IF($AX35=8,"NHÓM VƯỢT TRỘI","")))))))</f>
        <v/>
      </c>
      <c r="J35" s="30" t="str">
        <f>IF($AX35=0,"Mục tiêu",IF($AX35=1,FIXED(INDEX(Tính!$J$39:$J$83,INDEX($CD$3:$CD$47,$AY35)),0),IF($AX35=3,"Cả shop",IF($AX35=4,INDEX($BG$3:$BG$22,INDEX($BJ$3:$BJ$22,$AY35)),IF($AX35=5,COUNTIF($BG$3:$BG$22,"&gt;=0.995")&amp;"/"&amp;COUNTIF($BA$3:$BA$22,"?*"),IF($AX35=7,COUNTIFS($BB$3:$BB$22,"Chính",$BG$3:$BG$22,"&gt;=0.995")&amp;"/"&amp;$BK$1,IF($AX35=8,COUNTIFS($BB$3:$BB$22,"Vượt trội",$BG$3:$BG$22,"&gt;=0.995")&amp;"/"&amp;$BL$1,"")))))))</f>
        <v/>
      </c>
      <c r="K35" s="30" t="str">
        <f>IF($AX35=0,"DT QĐ",IF($AX35=1,FIXED(INDEX(Tính!$K$39:$K$83,INDEX($CD$3:$CD$47,$AY35)),1),IF($AX35=3,IF($CD$3="","",INDEX(Tính!$F$39:$F$83,$CD$3)),IF($AX35=4,IF($CD$3="","",INDEX(Tính!$C$182:$V$226,$CD$3,INDEX($BJ$3:$BJ$22,$AY35))),IF($AX35=5,IF($CD$3="","",INDEX(Tính!$P$39:$P$83,$CD$3)&amp;"/"&amp;COUNTIF($BA$3:$BA$22,"?*")),IF($AX35=7,IF($CD$3="","",INDEX(Tính!$Q$39:$Q$83,$CD$3)&amp;"/"&amp;$BK$1),IF($AX35=8,IF($CD$3="","",INDEX(Tính!$R$39:$R$83,$CD$3)&amp;"/"&amp;$BL$1),"")))))))</f>
        <v/>
      </c>
      <c r="L35" s="31" t="str">
        <f>IF($AX35=0,"% HT",IF($AX35=1,INDEX(Tính!$N$39:$N$83,INDEX($CD$3:$CD$47,$AY35)),IF($AX35=3,IF($CD$4="","",INDEX(Tính!$F$39:$F$83,$CD$4)),IF($AX35=4,IF($CD$4="","",INDEX(Tính!$C$182:$V$226,$CD$4,INDEX($BJ$3:$BJ$22,$AY35))),IF($AX35=5,IF($CD$4="","",INDEX(Tính!$P$39:$P$83,$CD$4)&amp;"/"&amp;COUNTIF($BA$3:$BA$22,"?*")),IF($AX35=7,IF($CD$4="","",INDEX(Tính!$Q$39:$Q$83,$CD$4)&amp;"/"&amp;$BK$1),IF($AX35=8,IF($CD$4="","",INDEX(Tính!$R$39:$R$83,$CD$4)&amp;"/"&amp;$BL$1),"")))))))</f>
        <v/>
      </c>
      <c r="M35" s="31" t="str">
        <f>IF($AX35=0,"Dự kiến",IF($AX35=1,INDEX(Tính!$M$39:$M$83,INDEX($CD$3:$CD$47,$AY35)),IF($AX35=3,IF($CD$5="","",INDEX(Tính!$F$39:$F$83,$CD$5)),IF($AX35=4,IF($CD$5="","",INDEX(Tính!$C$182:$V$226,$CD$5,INDEX($BJ$3:$BJ$22,$AY35))),IF($AX35=5,IF($CD$5="","",INDEX(Tính!$P$39:$P$83,$CD$5)&amp;"/"&amp;COUNTIF($BA$3:$BA$22,"?*")),IF($AX35=7,IF($CD$5="","",INDEX(Tính!$Q$39:$Q$83,$CD$5)&amp;"/"&amp;$BK$1),IF($AX35=8,IF($CD$5="","",INDEX(Tính!$R$39:$R$83,$CD$5)&amp;"/"&amp;$BL$1),"")))))))</f>
        <v/>
      </c>
      <c r="N35" s="31" t="str">
        <f>IF($AX35=0,"NH đạt",IF($AX35=1,INDEX(Tính!$P$39:$P$83,INDEX($CD$3:$CD$47,$AY35))&amp;"/"&amp;COUNTIF($BA$3:$BA$22,"?*"),IF($AX35=3,IF($CD$6="","",INDEX(Tính!$F$39:$F$83,$CD$6)),IF($AX35=4,IF($CD$6="","",INDEX(Tính!$C$182:$V$226,$CD$6,INDEX($BJ$3:$BJ$22,$AY35))),IF($AX35=5,IF($CD$6="","",INDEX(Tính!$P$39:$P$83,$CD$6)&amp;"/"&amp;COUNTIF($BA$3:$BA$22,"?*")),IF($AX35=7,IF($CD$6="","",INDEX(Tính!$Q$39:$Q$83,$CD$6)&amp;"/"&amp;$BK$1),IF($AX35=8,IF($CD$6="","",INDEX(Tính!$R$39:$R$83,$CD$6)&amp;"/"&amp;$BL$1),"")))))))</f>
        <v/>
      </c>
      <c r="O35" s="31" t="str">
        <f>IF($AX35=3,IF($CD$7="","",INDEX(Tính!$F$39:$F$83,$CD$7)),IF($AX35=4,IF($CD$7="","",INDEX(Tính!$C$182:$V$226,$CD$7,INDEX($BJ$3:$BJ$22,$AY35))),IF($AX35=5,IF($CD$7="","",INDEX(Tính!$P$39:$P$83,$CD$7)&amp;"/"&amp;COUNTIF($BA$3:$BA$22,"?*")),IF($AX35=7,IF($CD$7="","",INDEX(Tính!$Q$39:$Q$83,$CD$7)&amp;"/"&amp;$BK$1),IF($AX35=8,IF($CD$7="","",INDEX(Tính!$R$39:$R$83,$CD$7)&amp;"/"&amp;$BL$1),"")))))</f>
        <v/>
      </c>
      <c r="P35" s="31" t="str">
        <f>IF($AX35=3,IF($CD$8="","",INDEX(Tính!$F$39:$F$83,$CD$8)),IF($AX35=4,IF($CD$8="","",INDEX(Tính!$C$182:$V$226,$CD$8,INDEX($BJ$3:$BJ$22,$AY35))),IF($AX35=5,IF($CD$8="","",INDEX(Tính!$P$39:$P$83,$CD$8)&amp;"/"&amp;COUNTIF($BA$3:$BA$22,"?*")),IF($AX35=7,IF($CD$8="","",INDEX(Tính!$Q$39:$Q$83,$CD$8)&amp;"/"&amp;$BK$1),IF($AX35=8,IF($CD$8="","",INDEX(Tính!$R$39:$R$83,$CD$8)&amp;"/"&amp;$BL$1),"")))))</f>
        <v/>
      </c>
      <c r="Q35" s="31" t="str">
        <f>IF($AX35=3,IF($CD$9="","",INDEX(Tính!$F$39:$F$83,$CD$9)),IF($AX35=4,IF($CD$9="","",INDEX(Tính!$C$182:$V$226,$CD$9,INDEX($BJ$3:$BJ$22,$AY35))),IF($AX35=5,IF($CD$9="","",INDEX(Tính!$P$39:$P$83,$CD$9)&amp;"/"&amp;COUNTIF($BA$3:$BA$22,"?*")),IF($AX35=7,IF($CD$9="","",INDEX(Tính!$Q$39:$Q$83,$CD$9)&amp;"/"&amp;$BK$1),IF($AX35=8,IF($CD$9="","",INDEX(Tính!$R$39:$R$83,$CD$9)&amp;"/"&amp;$BL$1),"")))))</f>
        <v/>
      </c>
      <c r="R35" s="31" t="str">
        <f>IF($AX35=3,IF($CD$10="","",INDEX(Tính!$F$39:$F$83,$CD$10)),IF($AX35=4,IF($CD$10="","",INDEX(Tính!$C$182:$V$226,$CD$10,INDEX($BJ$3:$BJ$22,$AY35))),IF($AX35=5,IF($CD$10="","",INDEX(Tính!$P$39:$P$83,$CD$10)&amp;"/"&amp;COUNTIF($BA$3:$BA$22,"?*")),IF($AX35=7,IF($CD$10="","",INDEX(Tính!$Q$39:$Q$83,$CD$10)&amp;"/"&amp;$BK$1),IF($AX35=8,IF($CD$10="","",INDEX(Tính!$R$39:$R$83,$CD$10)&amp;"/"&amp;$BL$1),"")))))</f>
        <v/>
      </c>
      <c r="S35" s="31" t="str">
        <f>IF($AX35=3,IF($CD$11="","",INDEX(Tính!$F$39:$F$83,$CD$11)),IF($AX35=4,IF($CD$11="","",INDEX(Tính!$C$182:$V$226,$CD$11,INDEX($BJ$3:$BJ$22,$AY35))),IF($AX35=5,IF($CD$11="","",INDEX(Tính!$P$39:$P$83,$CD$11)&amp;"/"&amp;COUNTIF($BA$3:$BA$22,"?*")),IF($AX35=7,IF($CD$11="","",INDEX(Tính!$Q$39:$Q$83,$CD$11)&amp;"/"&amp;$BK$1),IF($AX35=8,IF($CD$11="","",INDEX(Tính!$R$39:$R$83,$CD$11)&amp;"/"&amp;$BL$1),"")))))</f>
        <v/>
      </c>
      <c r="T35" s="31" t="str">
        <f>IF($AX35=3,IF($CD$12="","",INDEX(Tính!$F$39:$F$83,$CD$12)),IF($AX35=4,IF($CD$12="","",INDEX(Tính!$C$182:$V$226,$CD$12,INDEX($BJ$3:$BJ$22,$AY35))),IF($AX35=5,IF($CD$12="","",INDEX(Tính!$P$39:$P$83,$CD$12)&amp;"/"&amp;COUNTIF($BA$3:$BA$22,"?*")),IF($AX35=7,IF($CD$12="","",INDEX(Tính!$Q$39:$Q$83,$CD$12)&amp;"/"&amp;$BK$1),IF($AX35=8,IF($CD$12="","",INDEX(Tính!$R$39:$R$83,$CD$12)&amp;"/"&amp;$BL$1),"")))))</f>
        <v/>
      </c>
      <c r="U35" s="31" t="str">
        <f>IF($AX35=3,IF($CD$13="","",INDEX(Tính!$F$39:$F$83,$CD$13)),IF($AX35=4,IF($CD$13="","",INDEX(Tính!$C$182:$V$226,$CD$13,INDEX($BJ$3:$BJ$22,$AY35))),IF($AX35=5,IF($CD$13="","",INDEX(Tính!$P$39:$P$83,$CD$13)&amp;"/"&amp;COUNTIF($BA$3:$BA$22,"?*")),IF($AX35=7,IF($CD$13="","",INDEX(Tính!$Q$39:$Q$83,$CD$13)&amp;"/"&amp;$BK$1),IF($AX35=8,IF($CD$13="","",INDEX(Tính!$R$39:$R$83,$CD$13)&amp;"/"&amp;$BL$1),"")))))</f>
        <v/>
      </c>
      <c r="V35" s="31" t="str">
        <f>IF($AX35=3,IF($CD$14="","",INDEX(Tính!$F$39:$F$83,$CD$14)),IF($AX35=4,IF($CD$14="","",INDEX(Tính!$C$182:$V$226,$CD$14,INDEX($BJ$3:$BJ$22,$AY35))),IF($AX35=5,IF($CD$14="","",INDEX(Tính!$P$39:$P$83,$CD$14)&amp;"/"&amp;COUNTIF($BA$3:$BA$22,"?*")),IF($AX35=7,IF($CD$14="","",INDEX(Tính!$Q$39:$Q$83,$CD$14)&amp;"/"&amp;$BK$1),IF($AX35=8,IF($CD$14="","",INDEX(Tính!$R$39:$R$83,$CD$14)&amp;"/"&amp;$BL$1),"")))))</f>
        <v/>
      </c>
      <c r="W35" s="31" t="str">
        <f>IF($AX35=3,IF($CD$15="","",INDEX(Tính!$F$39:$F$83,$CD$15)),IF($AX35=4,IF($CD$15="","",INDEX(Tính!$C$182:$V$226,$CD$15,INDEX($BJ$3:$BJ$22,$AY35))),IF($AX35=5,IF($CD$15="","",INDEX(Tính!$P$39:$P$83,$CD$15)&amp;"/"&amp;COUNTIF($BA$3:$BA$22,"?*")),IF($AX35=7,IF($CD$15="","",INDEX(Tính!$Q$39:$Q$83,$CD$15)&amp;"/"&amp;$BK$1),IF($AX35=8,IF($CD$15="","",INDEX(Tính!$R$39:$R$83,$CD$15)&amp;"/"&amp;$BL$1),"")))))</f>
        <v/>
      </c>
      <c r="X35" s="31" t="str">
        <f>IF($AX35=3,IF($CD$16="","",INDEX(Tính!$F$39:$F$83,$CD$16)),IF($AX35=4,IF($CD$16="","",INDEX(Tính!$C$182:$V$226,$CD$16,INDEX($BJ$3:$BJ$22,$AY35))),IF($AX35=5,IF($CD$16="","",INDEX(Tính!$P$39:$P$83,$CD$16)&amp;"/"&amp;COUNTIF($BA$3:$BA$22,"?*")),IF($AX35=7,IF($CD$16="","",INDEX(Tính!$Q$39:$Q$83,$CD$16)&amp;"/"&amp;$BK$1),IF($AX35=8,IF($CD$16="","",INDEX(Tính!$R$39:$R$83,$CD$16)&amp;"/"&amp;$BL$1),"")))))</f>
        <v/>
      </c>
      <c r="Y35" s="31" t="str">
        <f>IF($AX35=3,IF($CD$17="","",INDEX(Tính!$F$39:$F$83,$CD$17)),IF($AX35=4,IF($CD$17="","",INDEX(Tính!$C$182:$V$226,$CD$17,INDEX($BJ$3:$BJ$22,$AY35))),IF($AX35=5,IF($CD$17="","",INDEX(Tính!$P$39:$P$83,$CD$17)&amp;"/"&amp;COUNTIF($BA$3:$BA$22,"?*")),IF($AX35=7,IF($CD$17="","",INDEX(Tính!$Q$39:$Q$83,$CD$17)&amp;"/"&amp;$BK$1),IF($AX35=8,IF($CD$17="","",INDEX(Tính!$R$39:$R$83,$CD$17)&amp;"/"&amp;$BL$1),"")))))</f>
        <v/>
      </c>
      <c r="Z35" s="31" t="str">
        <f>IF($AX35=3,IF($CD$18="","",INDEX(Tính!$F$39:$F$83,$CD$18)),IF($AX35=4,IF($CD$18="","",INDEX(Tính!$C$182:$V$226,$CD$18,INDEX($BJ$3:$BJ$22,$AY35))),IF($AX35=5,IF($CD$18="","",INDEX(Tính!$P$39:$P$83,$CD$18)&amp;"/"&amp;COUNTIF($BA$3:$BA$22,"?*")),IF($AX35=7,IF($CD$18="","",INDEX(Tính!$Q$39:$Q$83,$CD$18)&amp;"/"&amp;$BK$1),IF($AX35=8,IF($CD$18="","",INDEX(Tính!$R$39:$R$83,$CD$18)&amp;"/"&amp;$BL$1),"")))))</f>
        <v/>
      </c>
      <c r="AA35" s="31" t="str">
        <f>IF($AX35=3,IF($CD$19="","",INDEX(Tính!$F$39:$F$83,$CD$19)),IF($AX35=4,IF($CD$19="","",INDEX(Tính!$C$182:$V$226,$CD$19,INDEX($BJ$3:$BJ$22,$AY35))),IF($AX35=5,IF($CD$19="","",INDEX(Tính!$P$39:$P$83,$CD$19)&amp;"/"&amp;COUNTIF($BA$3:$BA$22,"?*")),IF($AX35=7,IF($CD$19="","",INDEX(Tính!$Q$39:$Q$83,$CD$19)&amp;"/"&amp;$BK$1),IF($AX35=8,IF($CD$19="","",INDEX(Tính!$R$39:$R$83,$CD$19)&amp;"/"&amp;$BL$1),"")))))</f>
        <v/>
      </c>
      <c r="AB35" s="31" t="str">
        <f>IF($AX35=3,IF($CD$20="","",INDEX(Tính!$F$39:$F$83,$CD$20)),IF($AX35=4,IF($CD$20="","",INDEX(Tính!$C$182:$V$226,$CD$20,INDEX($BJ$3:$BJ$22,$AY35))),IF($AX35=5,IF($CD$20="","",INDEX(Tính!$P$39:$P$83,$CD$20)&amp;"/"&amp;COUNTIF($BA$3:$BA$22,"?*")),IF($AX35=7,IF($CD$20="","",INDEX(Tính!$Q$39:$Q$83,$CD$20)&amp;"/"&amp;$BK$1),IF($AX35=8,IF($CD$20="","",INDEX(Tính!$R$39:$R$83,$CD$20)&amp;"/"&amp;$BL$1),"")))))</f>
        <v/>
      </c>
      <c r="AC35" s="31" t="str">
        <f>IF($AX35=3,IF($CD$21="","",INDEX(Tính!$F$39:$F$83,$CD$21)),IF($AX35=4,IF($CD$21="","",INDEX(Tính!$C$182:$V$226,$CD$21,INDEX($BJ$3:$BJ$22,$AY35))),IF($AX35=5,IF($CD$21="","",INDEX(Tính!$P$39:$P$83,$CD$21)&amp;"/"&amp;COUNTIF($BA$3:$BA$22,"?*")),IF($AX35=7,IF($CD$21="","",INDEX(Tính!$Q$39:$Q$83,$CD$21)&amp;"/"&amp;$BK$1),IF($AX35=8,IF($CD$21="","",INDEX(Tính!$R$39:$R$83,$CD$21)&amp;"/"&amp;$BL$1),"")))))</f>
        <v/>
      </c>
      <c r="AD35" s="31" t="str">
        <f>IF($AX35=3,IF($CD$22="","",INDEX(Tính!$F$39:$F$83,$CD$22)),IF($AX35=4,IF($CD$22="","",INDEX(Tính!$C$182:$V$226,$CD$22,INDEX($BJ$3:$BJ$22,$AY35))),IF($AX35=5,IF($CD$22="","",INDEX(Tính!$P$39:$P$83,$CD$22)&amp;"/"&amp;COUNTIF($BA$3:$BA$22,"?*")),IF($AX35=7,IF($CD$22="","",INDEX(Tính!$Q$39:$Q$83,$CD$22)&amp;"/"&amp;$BK$1),IF($AX35=8,IF($CD$22="","",INDEX(Tính!$R$39:$R$83,$CD$22)&amp;"/"&amp;$BL$1),"")))))</f>
        <v/>
      </c>
      <c r="AX35">
        <f>IF(31=0,0,IF(31&lt;=$AX$1,1,IF(31=$AX$1+1,2,IF(31=$AX$1+2,3,IF((31-$AX$1-2)&lt;=$AX$3,IF(INDEX($BK$3:$BK$24,(31-$AX$1-2))="C",7,IF(INDEX($BK$3:$BK$24,(31-$AX$1-2))="V",8,4)),IF((31-$AX$1-2)=$AX$3+1,5,6))))))</f>
        <v>6</v>
      </c>
      <c r="AY35">
        <f>IF(AX35=1,31,IF(AX35=4,INDEX($BL$3:$BL$24,(31-$AX$1-2)),0))</f>
        <v>0</v>
      </c>
      <c r="CA35">
        <v>33</v>
      </c>
      <c r="CB35">
        <f>IF(Tính!B71="",0,IF(OR($AZ$1=0,Tính!D71=$AZ$1),1,0))</f>
        <v>0</v>
      </c>
      <c r="CC35">
        <f>IF(CB35=1,Tính!M71+1+(45-33)/1000000,-1)</f>
        <v>-1</v>
      </c>
      <c r="CD35" t="str">
        <f>IF(LARGE($CC$3:$CC$47,33)&lt;0,"",MATCH(LARGE($CC$3:$CC$47,33),$CC$3:$CC$47,0))</f>
        <v/>
      </c>
    </row>
    <row r="36" spans="8:82" x14ac:dyDescent="0.3">
      <c r="H36" s="29" t="str">
        <f t="shared" si="2"/>
        <v/>
      </c>
      <c r="I36" s="12" t="str">
        <f>IF($AX36=0,"Nhân viên",IF($AX36=1,INDEX(Tính!$F$39:$F$83,INDEX($CD$3:$CD$47,$AY36))&amp;" · "&amp;INDEX(Tính!$O$39:$O$83,INDEX($CD$3:$CD$47,$AY36)),IF($AX36=3,"Nhóm hàng",IF($AX36=4,INDEX($BA$3:$BA$22,INDEX($BJ$3:$BJ$22,$AY36)),IF($AX36=5,"Số nhóm đạt",IF($AX36=7,"NHÓM CHÍNH",IF($AX36=8,"NHÓM VƯỢT TRỘI","")))))))</f>
        <v/>
      </c>
      <c r="J36" s="30" t="str">
        <f>IF($AX36=0,"Mục tiêu",IF($AX36=1,FIXED(INDEX(Tính!$J$39:$J$83,INDEX($CD$3:$CD$47,$AY36)),0),IF($AX36=3,"Cả shop",IF($AX36=4,INDEX($BG$3:$BG$22,INDEX($BJ$3:$BJ$22,$AY36)),IF($AX36=5,COUNTIF($BG$3:$BG$22,"&gt;=0.995")&amp;"/"&amp;COUNTIF($BA$3:$BA$22,"?*"),IF($AX36=7,COUNTIFS($BB$3:$BB$22,"Chính",$BG$3:$BG$22,"&gt;=0.995")&amp;"/"&amp;$BK$1,IF($AX36=8,COUNTIFS($BB$3:$BB$22,"Vượt trội",$BG$3:$BG$22,"&gt;=0.995")&amp;"/"&amp;$BL$1,"")))))))</f>
        <v/>
      </c>
      <c r="K36" s="30" t="str">
        <f>IF($AX36=0,"DT QĐ",IF($AX36=1,FIXED(INDEX(Tính!$K$39:$K$83,INDEX($CD$3:$CD$47,$AY36)),1),IF($AX36=3,IF($CD$3="","",INDEX(Tính!$F$39:$F$83,$CD$3)),IF($AX36=4,IF($CD$3="","",INDEX(Tính!$C$182:$V$226,$CD$3,INDEX($BJ$3:$BJ$22,$AY36))),IF($AX36=5,IF($CD$3="","",INDEX(Tính!$P$39:$P$83,$CD$3)&amp;"/"&amp;COUNTIF($BA$3:$BA$22,"?*")),IF($AX36=7,IF($CD$3="","",INDEX(Tính!$Q$39:$Q$83,$CD$3)&amp;"/"&amp;$BK$1),IF($AX36=8,IF($CD$3="","",INDEX(Tính!$R$39:$R$83,$CD$3)&amp;"/"&amp;$BL$1),"")))))))</f>
        <v/>
      </c>
      <c r="L36" s="31" t="str">
        <f>IF($AX36=0,"% HT",IF($AX36=1,INDEX(Tính!$N$39:$N$83,INDEX($CD$3:$CD$47,$AY36)),IF($AX36=3,IF($CD$4="","",INDEX(Tính!$F$39:$F$83,$CD$4)),IF($AX36=4,IF($CD$4="","",INDEX(Tính!$C$182:$V$226,$CD$4,INDEX($BJ$3:$BJ$22,$AY36))),IF($AX36=5,IF($CD$4="","",INDEX(Tính!$P$39:$P$83,$CD$4)&amp;"/"&amp;COUNTIF($BA$3:$BA$22,"?*")),IF($AX36=7,IF($CD$4="","",INDEX(Tính!$Q$39:$Q$83,$CD$4)&amp;"/"&amp;$BK$1),IF($AX36=8,IF($CD$4="","",INDEX(Tính!$R$39:$R$83,$CD$4)&amp;"/"&amp;$BL$1),"")))))))</f>
        <v/>
      </c>
      <c r="M36" s="31" t="str">
        <f>IF($AX36=0,"Dự kiến",IF($AX36=1,INDEX(Tính!$M$39:$M$83,INDEX($CD$3:$CD$47,$AY36)),IF($AX36=3,IF($CD$5="","",INDEX(Tính!$F$39:$F$83,$CD$5)),IF($AX36=4,IF($CD$5="","",INDEX(Tính!$C$182:$V$226,$CD$5,INDEX($BJ$3:$BJ$22,$AY36))),IF($AX36=5,IF($CD$5="","",INDEX(Tính!$P$39:$P$83,$CD$5)&amp;"/"&amp;COUNTIF($BA$3:$BA$22,"?*")),IF($AX36=7,IF($CD$5="","",INDEX(Tính!$Q$39:$Q$83,$CD$5)&amp;"/"&amp;$BK$1),IF($AX36=8,IF($CD$5="","",INDEX(Tính!$R$39:$R$83,$CD$5)&amp;"/"&amp;$BL$1),"")))))))</f>
        <v/>
      </c>
      <c r="N36" s="31" t="str">
        <f>IF($AX36=0,"NH đạt",IF($AX36=1,INDEX(Tính!$P$39:$P$83,INDEX($CD$3:$CD$47,$AY36))&amp;"/"&amp;COUNTIF($BA$3:$BA$22,"?*"),IF($AX36=3,IF($CD$6="","",INDEX(Tính!$F$39:$F$83,$CD$6)),IF($AX36=4,IF($CD$6="","",INDEX(Tính!$C$182:$V$226,$CD$6,INDEX($BJ$3:$BJ$22,$AY36))),IF($AX36=5,IF($CD$6="","",INDEX(Tính!$P$39:$P$83,$CD$6)&amp;"/"&amp;COUNTIF($BA$3:$BA$22,"?*")),IF($AX36=7,IF($CD$6="","",INDEX(Tính!$Q$39:$Q$83,$CD$6)&amp;"/"&amp;$BK$1),IF($AX36=8,IF($CD$6="","",INDEX(Tính!$R$39:$R$83,$CD$6)&amp;"/"&amp;$BL$1),"")))))))</f>
        <v/>
      </c>
      <c r="O36" s="31" t="str">
        <f>IF($AX36=3,IF($CD$7="","",INDEX(Tính!$F$39:$F$83,$CD$7)),IF($AX36=4,IF($CD$7="","",INDEX(Tính!$C$182:$V$226,$CD$7,INDEX($BJ$3:$BJ$22,$AY36))),IF($AX36=5,IF($CD$7="","",INDEX(Tính!$P$39:$P$83,$CD$7)&amp;"/"&amp;COUNTIF($BA$3:$BA$22,"?*")),IF($AX36=7,IF($CD$7="","",INDEX(Tính!$Q$39:$Q$83,$CD$7)&amp;"/"&amp;$BK$1),IF($AX36=8,IF($CD$7="","",INDEX(Tính!$R$39:$R$83,$CD$7)&amp;"/"&amp;$BL$1),"")))))</f>
        <v/>
      </c>
      <c r="P36" s="31" t="str">
        <f>IF($AX36=3,IF($CD$8="","",INDEX(Tính!$F$39:$F$83,$CD$8)),IF($AX36=4,IF($CD$8="","",INDEX(Tính!$C$182:$V$226,$CD$8,INDEX($BJ$3:$BJ$22,$AY36))),IF($AX36=5,IF($CD$8="","",INDEX(Tính!$P$39:$P$83,$CD$8)&amp;"/"&amp;COUNTIF($BA$3:$BA$22,"?*")),IF($AX36=7,IF($CD$8="","",INDEX(Tính!$Q$39:$Q$83,$CD$8)&amp;"/"&amp;$BK$1),IF($AX36=8,IF($CD$8="","",INDEX(Tính!$R$39:$R$83,$CD$8)&amp;"/"&amp;$BL$1),"")))))</f>
        <v/>
      </c>
      <c r="Q36" s="31" t="str">
        <f>IF($AX36=3,IF($CD$9="","",INDEX(Tính!$F$39:$F$83,$CD$9)),IF($AX36=4,IF($CD$9="","",INDEX(Tính!$C$182:$V$226,$CD$9,INDEX($BJ$3:$BJ$22,$AY36))),IF($AX36=5,IF($CD$9="","",INDEX(Tính!$P$39:$P$83,$CD$9)&amp;"/"&amp;COUNTIF($BA$3:$BA$22,"?*")),IF($AX36=7,IF($CD$9="","",INDEX(Tính!$Q$39:$Q$83,$CD$9)&amp;"/"&amp;$BK$1),IF($AX36=8,IF($CD$9="","",INDEX(Tính!$R$39:$R$83,$CD$9)&amp;"/"&amp;$BL$1),"")))))</f>
        <v/>
      </c>
      <c r="R36" s="31" t="str">
        <f>IF($AX36=3,IF($CD$10="","",INDEX(Tính!$F$39:$F$83,$CD$10)),IF($AX36=4,IF($CD$10="","",INDEX(Tính!$C$182:$V$226,$CD$10,INDEX($BJ$3:$BJ$22,$AY36))),IF($AX36=5,IF($CD$10="","",INDEX(Tính!$P$39:$P$83,$CD$10)&amp;"/"&amp;COUNTIF($BA$3:$BA$22,"?*")),IF($AX36=7,IF($CD$10="","",INDEX(Tính!$Q$39:$Q$83,$CD$10)&amp;"/"&amp;$BK$1),IF($AX36=8,IF($CD$10="","",INDEX(Tính!$R$39:$R$83,$CD$10)&amp;"/"&amp;$BL$1),"")))))</f>
        <v/>
      </c>
      <c r="S36" s="31" t="str">
        <f>IF($AX36=3,IF($CD$11="","",INDEX(Tính!$F$39:$F$83,$CD$11)),IF($AX36=4,IF($CD$11="","",INDEX(Tính!$C$182:$V$226,$CD$11,INDEX($BJ$3:$BJ$22,$AY36))),IF($AX36=5,IF($CD$11="","",INDEX(Tính!$P$39:$P$83,$CD$11)&amp;"/"&amp;COUNTIF($BA$3:$BA$22,"?*")),IF($AX36=7,IF($CD$11="","",INDEX(Tính!$Q$39:$Q$83,$CD$11)&amp;"/"&amp;$BK$1),IF($AX36=8,IF($CD$11="","",INDEX(Tính!$R$39:$R$83,$CD$11)&amp;"/"&amp;$BL$1),"")))))</f>
        <v/>
      </c>
      <c r="T36" s="31" t="str">
        <f>IF($AX36=3,IF($CD$12="","",INDEX(Tính!$F$39:$F$83,$CD$12)),IF($AX36=4,IF($CD$12="","",INDEX(Tính!$C$182:$V$226,$CD$12,INDEX($BJ$3:$BJ$22,$AY36))),IF($AX36=5,IF($CD$12="","",INDEX(Tính!$P$39:$P$83,$CD$12)&amp;"/"&amp;COUNTIF($BA$3:$BA$22,"?*")),IF($AX36=7,IF($CD$12="","",INDEX(Tính!$Q$39:$Q$83,$CD$12)&amp;"/"&amp;$BK$1),IF($AX36=8,IF($CD$12="","",INDEX(Tính!$R$39:$R$83,$CD$12)&amp;"/"&amp;$BL$1),"")))))</f>
        <v/>
      </c>
      <c r="U36" s="31" t="str">
        <f>IF($AX36=3,IF($CD$13="","",INDEX(Tính!$F$39:$F$83,$CD$13)),IF($AX36=4,IF($CD$13="","",INDEX(Tính!$C$182:$V$226,$CD$13,INDEX($BJ$3:$BJ$22,$AY36))),IF($AX36=5,IF($CD$13="","",INDEX(Tính!$P$39:$P$83,$CD$13)&amp;"/"&amp;COUNTIF($BA$3:$BA$22,"?*")),IF($AX36=7,IF($CD$13="","",INDEX(Tính!$Q$39:$Q$83,$CD$13)&amp;"/"&amp;$BK$1),IF($AX36=8,IF($CD$13="","",INDEX(Tính!$R$39:$R$83,$CD$13)&amp;"/"&amp;$BL$1),"")))))</f>
        <v/>
      </c>
      <c r="V36" s="31" t="str">
        <f>IF($AX36=3,IF($CD$14="","",INDEX(Tính!$F$39:$F$83,$CD$14)),IF($AX36=4,IF($CD$14="","",INDEX(Tính!$C$182:$V$226,$CD$14,INDEX($BJ$3:$BJ$22,$AY36))),IF($AX36=5,IF($CD$14="","",INDEX(Tính!$P$39:$P$83,$CD$14)&amp;"/"&amp;COUNTIF($BA$3:$BA$22,"?*")),IF($AX36=7,IF($CD$14="","",INDEX(Tính!$Q$39:$Q$83,$CD$14)&amp;"/"&amp;$BK$1),IF($AX36=8,IF($CD$14="","",INDEX(Tính!$R$39:$R$83,$CD$14)&amp;"/"&amp;$BL$1),"")))))</f>
        <v/>
      </c>
      <c r="W36" s="31" t="str">
        <f>IF($AX36=3,IF($CD$15="","",INDEX(Tính!$F$39:$F$83,$CD$15)),IF($AX36=4,IF($CD$15="","",INDEX(Tính!$C$182:$V$226,$CD$15,INDEX($BJ$3:$BJ$22,$AY36))),IF($AX36=5,IF($CD$15="","",INDEX(Tính!$P$39:$P$83,$CD$15)&amp;"/"&amp;COUNTIF($BA$3:$BA$22,"?*")),IF($AX36=7,IF($CD$15="","",INDEX(Tính!$Q$39:$Q$83,$CD$15)&amp;"/"&amp;$BK$1),IF($AX36=8,IF($CD$15="","",INDEX(Tính!$R$39:$R$83,$CD$15)&amp;"/"&amp;$BL$1),"")))))</f>
        <v/>
      </c>
      <c r="X36" s="31" t="str">
        <f>IF($AX36=3,IF($CD$16="","",INDEX(Tính!$F$39:$F$83,$CD$16)),IF($AX36=4,IF($CD$16="","",INDEX(Tính!$C$182:$V$226,$CD$16,INDEX($BJ$3:$BJ$22,$AY36))),IF($AX36=5,IF($CD$16="","",INDEX(Tính!$P$39:$P$83,$CD$16)&amp;"/"&amp;COUNTIF($BA$3:$BA$22,"?*")),IF($AX36=7,IF($CD$16="","",INDEX(Tính!$Q$39:$Q$83,$CD$16)&amp;"/"&amp;$BK$1),IF($AX36=8,IF($CD$16="","",INDEX(Tính!$R$39:$R$83,$CD$16)&amp;"/"&amp;$BL$1),"")))))</f>
        <v/>
      </c>
      <c r="Y36" s="31" t="str">
        <f>IF($AX36=3,IF($CD$17="","",INDEX(Tính!$F$39:$F$83,$CD$17)),IF($AX36=4,IF($CD$17="","",INDEX(Tính!$C$182:$V$226,$CD$17,INDEX($BJ$3:$BJ$22,$AY36))),IF($AX36=5,IF($CD$17="","",INDEX(Tính!$P$39:$P$83,$CD$17)&amp;"/"&amp;COUNTIF($BA$3:$BA$22,"?*")),IF($AX36=7,IF($CD$17="","",INDEX(Tính!$Q$39:$Q$83,$CD$17)&amp;"/"&amp;$BK$1),IF($AX36=8,IF($CD$17="","",INDEX(Tính!$R$39:$R$83,$CD$17)&amp;"/"&amp;$BL$1),"")))))</f>
        <v/>
      </c>
      <c r="Z36" s="31" t="str">
        <f>IF($AX36=3,IF($CD$18="","",INDEX(Tính!$F$39:$F$83,$CD$18)),IF($AX36=4,IF($CD$18="","",INDEX(Tính!$C$182:$V$226,$CD$18,INDEX($BJ$3:$BJ$22,$AY36))),IF($AX36=5,IF($CD$18="","",INDEX(Tính!$P$39:$P$83,$CD$18)&amp;"/"&amp;COUNTIF($BA$3:$BA$22,"?*")),IF($AX36=7,IF($CD$18="","",INDEX(Tính!$Q$39:$Q$83,$CD$18)&amp;"/"&amp;$BK$1),IF($AX36=8,IF($CD$18="","",INDEX(Tính!$R$39:$R$83,$CD$18)&amp;"/"&amp;$BL$1),"")))))</f>
        <v/>
      </c>
      <c r="AA36" s="31" t="str">
        <f>IF($AX36=3,IF($CD$19="","",INDEX(Tính!$F$39:$F$83,$CD$19)),IF($AX36=4,IF($CD$19="","",INDEX(Tính!$C$182:$V$226,$CD$19,INDEX($BJ$3:$BJ$22,$AY36))),IF($AX36=5,IF($CD$19="","",INDEX(Tính!$P$39:$P$83,$CD$19)&amp;"/"&amp;COUNTIF($BA$3:$BA$22,"?*")),IF($AX36=7,IF($CD$19="","",INDEX(Tính!$Q$39:$Q$83,$CD$19)&amp;"/"&amp;$BK$1),IF($AX36=8,IF($CD$19="","",INDEX(Tính!$R$39:$R$83,$CD$19)&amp;"/"&amp;$BL$1),"")))))</f>
        <v/>
      </c>
      <c r="AB36" s="31" t="str">
        <f>IF($AX36=3,IF($CD$20="","",INDEX(Tính!$F$39:$F$83,$CD$20)),IF($AX36=4,IF($CD$20="","",INDEX(Tính!$C$182:$V$226,$CD$20,INDEX($BJ$3:$BJ$22,$AY36))),IF($AX36=5,IF($CD$20="","",INDEX(Tính!$P$39:$P$83,$CD$20)&amp;"/"&amp;COUNTIF($BA$3:$BA$22,"?*")),IF($AX36=7,IF($CD$20="","",INDEX(Tính!$Q$39:$Q$83,$CD$20)&amp;"/"&amp;$BK$1),IF($AX36=8,IF($CD$20="","",INDEX(Tính!$R$39:$R$83,$CD$20)&amp;"/"&amp;$BL$1),"")))))</f>
        <v/>
      </c>
      <c r="AC36" s="31" t="str">
        <f>IF($AX36=3,IF($CD$21="","",INDEX(Tính!$F$39:$F$83,$CD$21)),IF($AX36=4,IF($CD$21="","",INDEX(Tính!$C$182:$V$226,$CD$21,INDEX($BJ$3:$BJ$22,$AY36))),IF($AX36=5,IF($CD$21="","",INDEX(Tính!$P$39:$P$83,$CD$21)&amp;"/"&amp;COUNTIF($BA$3:$BA$22,"?*")),IF($AX36=7,IF($CD$21="","",INDEX(Tính!$Q$39:$Q$83,$CD$21)&amp;"/"&amp;$BK$1),IF($AX36=8,IF($CD$21="","",INDEX(Tính!$R$39:$R$83,$CD$21)&amp;"/"&amp;$BL$1),"")))))</f>
        <v/>
      </c>
      <c r="AD36" s="31" t="str">
        <f>IF($AX36=3,IF($CD$22="","",INDEX(Tính!$F$39:$F$83,$CD$22)),IF($AX36=4,IF($CD$22="","",INDEX(Tính!$C$182:$V$226,$CD$22,INDEX($BJ$3:$BJ$22,$AY36))),IF($AX36=5,IF($CD$22="","",INDEX(Tính!$P$39:$P$83,$CD$22)&amp;"/"&amp;COUNTIF($BA$3:$BA$22,"?*")),IF($AX36=7,IF($CD$22="","",INDEX(Tính!$Q$39:$Q$83,$CD$22)&amp;"/"&amp;$BK$1),IF($AX36=8,IF($CD$22="","",INDEX(Tính!$R$39:$R$83,$CD$22)&amp;"/"&amp;$BL$1),"")))))</f>
        <v/>
      </c>
      <c r="AX36">
        <f>IF(32=0,0,IF(32&lt;=$AX$1,1,IF(32=$AX$1+1,2,IF(32=$AX$1+2,3,IF((32-$AX$1-2)&lt;=$AX$3,IF(INDEX($BK$3:$BK$24,(32-$AX$1-2))="C",7,IF(INDEX($BK$3:$BK$24,(32-$AX$1-2))="V",8,4)),IF((32-$AX$1-2)=$AX$3+1,5,6))))))</f>
        <v>6</v>
      </c>
      <c r="AY36">
        <f>IF(AX36=1,32,IF(AX36=4,INDEX($BL$3:$BL$24,(32-$AX$1-2)),0))</f>
        <v>0</v>
      </c>
      <c r="CA36">
        <v>34</v>
      </c>
      <c r="CB36">
        <f>IF(Tính!B72="",0,IF(OR($AZ$1=0,Tính!D72=$AZ$1),1,0))</f>
        <v>0</v>
      </c>
      <c r="CC36">
        <f>IF(CB36=1,Tính!M72+1+(45-34)/1000000,-1)</f>
        <v>-1</v>
      </c>
      <c r="CD36" t="str">
        <f>IF(LARGE($CC$3:$CC$47,34)&lt;0,"",MATCH(LARGE($CC$3:$CC$47,34),$CC$3:$CC$47,0))</f>
        <v/>
      </c>
    </row>
    <row r="37" spans="8:82" x14ac:dyDescent="0.3">
      <c r="H37" s="29" t="str">
        <f t="shared" si="2"/>
        <v/>
      </c>
      <c r="I37" s="12" t="str">
        <f>IF($AX37=0,"Nhân viên",IF($AX37=1,INDEX(Tính!$F$39:$F$83,INDEX($CD$3:$CD$47,$AY37))&amp;" · "&amp;INDEX(Tính!$O$39:$O$83,INDEX($CD$3:$CD$47,$AY37)),IF($AX37=3,"Nhóm hàng",IF($AX37=4,INDEX($BA$3:$BA$22,INDEX($BJ$3:$BJ$22,$AY37)),IF($AX37=5,"Số nhóm đạt",IF($AX37=7,"NHÓM CHÍNH",IF($AX37=8,"NHÓM VƯỢT TRỘI","")))))))</f>
        <v/>
      </c>
      <c r="J37" s="30" t="str">
        <f>IF($AX37=0,"Mục tiêu",IF($AX37=1,FIXED(INDEX(Tính!$J$39:$J$83,INDEX($CD$3:$CD$47,$AY37)),0),IF($AX37=3,"Cả shop",IF($AX37=4,INDEX($BG$3:$BG$22,INDEX($BJ$3:$BJ$22,$AY37)),IF($AX37=5,COUNTIF($BG$3:$BG$22,"&gt;=0.995")&amp;"/"&amp;COUNTIF($BA$3:$BA$22,"?*"),IF($AX37=7,COUNTIFS($BB$3:$BB$22,"Chính",$BG$3:$BG$22,"&gt;=0.995")&amp;"/"&amp;$BK$1,IF($AX37=8,COUNTIFS($BB$3:$BB$22,"Vượt trội",$BG$3:$BG$22,"&gt;=0.995")&amp;"/"&amp;$BL$1,"")))))))</f>
        <v/>
      </c>
      <c r="K37" s="30" t="str">
        <f>IF($AX37=0,"DT QĐ",IF($AX37=1,FIXED(INDEX(Tính!$K$39:$K$83,INDEX($CD$3:$CD$47,$AY37)),1),IF($AX37=3,IF($CD$3="","",INDEX(Tính!$F$39:$F$83,$CD$3)),IF($AX37=4,IF($CD$3="","",INDEX(Tính!$C$182:$V$226,$CD$3,INDEX($BJ$3:$BJ$22,$AY37))),IF($AX37=5,IF($CD$3="","",INDEX(Tính!$P$39:$P$83,$CD$3)&amp;"/"&amp;COUNTIF($BA$3:$BA$22,"?*")),IF($AX37=7,IF($CD$3="","",INDEX(Tính!$Q$39:$Q$83,$CD$3)&amp;"/"&amp;$BK$1),IF($AX37=8,IF($CD$3="","",INDEX(Tính!$R$39:$R$83,$CD$3)&amp;"/"&amp;$BL$1),"")))))))</f>
        <v/>
      </c>
      <c r="L37" s="31" t="str">
        <f>IF($AX37=0,"% HT",IF($AX37=1,INDEX(Tính!$N$39:$N$83,INDEX($CD$3:$CD$47,$AY37)),IF($AX37=3,IF($CD$4="","",INDEX(Tính!$F$39:$F$83,$CD$4)),IF($AX37=4,IF($CD$4="","",INDEX(Tính!$C$182:$V$226,$CD$4,INDEX($BJ$3:$BJ$22,$AY37))),IF($AX37=5,IF($CD$4="","",INDEX(Tính!$P$39:$P$83,$CD$4)&amp;"/"&amp;COUNTIF($BA$3:$BA$22,"?*")),IF($AX37=7,IF($CD$4="","",INDEX(Tính!$Q$39:$Q$83,$CD$4)&amp;"/"&amp;$BK$1),IF($AX37=8,IF($CD$4="","",INDEX(Tính!$R$39:$R$83,$CD$4)&amp;"/"&amp;$BL$1),"")))))))</f>
        <v/>
      </c>
      <c r="M37" s="31" t="str">
        <f>IF($AX37=0,"Dự kiến",IF($AX37=1,INDEX(Tính!$M$39:$M$83,INDEX($CD$3:$CD$47,$AY37)),IF($AX37=3,IF($CD$5="","",INDEX(Tính!$F$39:$F$83,$CD$5)),IF($AX37=4,IF($CD$5="","",INDEX(Tính!$C$182:$V$226,$CD$5,INDEX($BJ$3:$BJ$22,$AY37))),IF($AX37=5,IF($CD$5="","",INDEX(Tính!$P$39:$P$83,$CD$5)&amp;"/"&amp;COUNTIF($BA$3:$BA$22,"?*")),IF($AX37=7,IF($CD$5="","",INDEX(Tính!$Q$39:$Q$83,$CD$5)&amp;"/"&amp;$BK$1),IF($AX37=8,IF($CD$5="","",INDEX(Tính!$R$39:$R$83,$CD$5)&amp;"/"&amp;$BL$1),"")))))))</f>
        <v/>
      </c>
      <c r="N37" s="31" t="str">
        <f>IF($AX37=0,"NH đạt",IF($AX37=1,INDEX(Tính!$P$39:$P$83,INDEX($CD$3:$CD$47,$AY37))&amp;"/"&amp;COUNTIF($BA$3:$BA$22,"?*"),IF($AX37=3,IF($CD$6="","",INDEX(Tính!$F$39:$F$83,$CD$6)),IF($AX37=4,IF($CD$6="","",INDEX(Tính!$C$182:$V$226,$CD$6,INDEX($BJ$3:$BJ$22,$AY37))),IF($AX37=5,IF($CD$6="","",INDEX(Tính!$P$39:$P$83,$CD$6)&amp;"/"&amp;COUNTIF($BA$3:$BA$22,"?*")),IF($AX37=7,IF($CD$6="","",INDEX(Tính!$Q$39:$Q$83,$CD$6)&amp;"/"&amp;$BK$1),IF($AX37=8,IF($CD$6="","",INDEX(Tính!$R$39:$R$83,$CD$6)&amp;"/"&amp;$BL$1),"")))))))</f>
        <v/>
      </c>
      <c r="O37" s="31" t="str">
        <f>IF($AX37=3,IF($CD$7="","",INDEX(Tính!$F$39:$F$83,$CD$7)),IF($AX37=4,IF($CD$7="","",INDEX(Tính!$C$182:$V$226,$CD$7,INDEX($BJ$3:$BJ$22,$AY37))),IF($AX37=5,IF($CD$7="","",INDEX(Tính!$P$39:$P$83,$CD$7)&amp;"/"&amp;COUNTIF($BA$3:$BA$22,"?*")),IF($AX37=7,IF($CD$7="","",INDEX(Tính!$Q$39:$Q$83,$CD$7)&amp;"/"&amp;$BK$1),IF($AX37=8,IF($CD$7="","",INDEX(Tính!$R$39:$R$83,$CD$7)&amp;"/"&amp;$BL$1),"")))))</f>
        <v/>
      </c>
      <c r="P37" s="31" t="str">
        <f>IF($AX37=3,IF($CD$8="","",INDEX(Tính!$F$39:$F$83,$CD$8)),IF($AX37=4,IF($CD$8="","",INDEX(Tính!$C$182:$V$226,$CD$8,INDEX($BJ$3:$BJ$22,$AY37))),IF($AX37=5,IF($CD$8="","",INDEX(Tính!$P$39:$P$83,$CD$8)&amp;"/"&amp;COUNTIF($BA$3:$BA$22,"?*")),IF($AX37=7,IF($CD$8="","",INDEX(Tính!$Q$39:$Q$83,$CD$8)&amp;"/"&amp;$BK$1),IF($AX37=8,IF($CD$8="","",INDEX(Tính!$R$39:$R$83,$CD$8)&amp;"/"&amp;$BL$1),"")))))</f>
        <v/>
      </c>
      <c r="Q37" s="31" t="str">
        <f>IF($AX37=3,IF($CD$9="","",INDEX(Tính!$F$39:$F$83,$CD$9)),IF($AX37=4,IF($CD$9="","",INDEX(Tính!$C$182:$V$226,$CD$9,INDEX($BJ$3:$BJ$22,$AY37))),IF($AX37=5,IF($CD$9="","",INDEX(Tính!$P$39:$P$83,$CD$9)&amp;"/"&amp;COUNTIF($BA$3:$BA$22,"?*")),IF($AX37=7,IF($CD$9="","",INDEX(Tính!$Q$39:$Q$83,$CD$9)&amp;"/"&amp;$BK$1),IF($AX37=8,IF($CD$9="","",INDEX(Tính!$R$39:$R$83,$CD$9)&amp;"/"&amp;$BL$1),"")))))</f>
        <v/>
      </c>
      <c r="R37" s="31" t="str">
        <f>IF($AX37=3,IF($CD$10="","",INDEX(Tính!$F$39:$F$83,$CD$10)),IF($AX37=4,IF($CD$10="","",INDEX(Tính!$C$182:$V$226,$CD$10,INDEX($BJ$3:$BJ$22,$AY37))),IF($AX37=5,IF($CD$10="","",INDEX(Tính!$P$39:$P$83,$CD$10)&amp;"/"&amp;COUNTIF($BA$3:$BA$22,"?*")),IF($AX37=7,IF($CD$10="","",INDEX(Tính!$Q$39:$Q$83,$CD$10)&amp;"/"&amp;$BK$1),IF($AX37=8,IF($CD$10="","",INDEX(Tính!$R$39:$R$83,$CD$10)&amp;"/"&amp;$BL$1),"")))))</f>
        <v/>
      </c>
      <c r="S37" s="31" t="str">
        <f>IF($AX37=3,IF($CD$11="","",INDEX(Tính!$F$39:$F$83,$CD$11)),IF($AX37=4,IF($CD$11="","",INDEX(Tính!$C$182:$V$226,$CD$11,INDEX($BJ$3:$BJ$22,$AY37))),IF($AX37=5,IF($CD$11="","",INDEX(Tính!$P$39:$P$83,$CD$11)&amp;"/"&amp;COUNTIF($BA$3:$BA$22,"?*")),IF($AX37=7,IF($CD$11="","",INDEX(Tính!$Q$39:$Q$83,$CD$11)&amp;"/"&amp;$BK$1),IF($AX37=8,IF($CD$11="","",INDEX(Tính!$R$39:$R$83,$CD$11)&amp;"/"&amp;$BL$1),"")))))</f>
        <v/>
      </c>
      <c r="T37" s="31" t="str">
        <f>IF($AX37=3,IF($CD$12="","",INDEX(Tính!$F$39:$F$83,$CD$12)),IF($AX37=4,IF($CD$12="","",INDEX(Tính!$C$182:$V$226,$CD$12,INDEX($BJ$3:$BJ$22,$AY37))),IF($AX37=5,IF($CD$12="","",INDEX(Tính!$P$39:$P$83,$CD$12)&amp;"/"&amp;COUNTIF($BA$3:$BA$22,"?*")),IF($AX37=7,IF($CD$12="","",INDEX(Tính!$Q$39:$Q$83,$CD$12)&amp;"/"&amp;$BK$1),IF($AX37=8,IF($CD$12="","",INDEX(Tính!$R$39:$R$83,$CD$12)&amp;"/"&amp;$BL$1),"")))))</f>
        <v/>
      </c>
      <c r="U37" s="31" t="str">
        <f>IF($AX37=3,IF($CD$13="","",INDEX(Tính!$F$39:$F$83,$CD$13)),IF($AX37=4,IF($CD$13="","",INDEX(Tính!$C$182:$V$226,$CD$13,INDEX($BJ$3:$BJ$22,$AY37))),IF($AX37=5,IF($CD$13="","",INDEX(Tính!$P$39:$P$83,$CD$13)&amp;"/"&amp;COUNTIF($BA$3:$BA$22,"?*")),IF($AX37=7,IF($CD$13="","",INDEX(Tính!$Q$39:$Q$83,$CD$13)&amp;"/"&amp;$BK$1),IF($AX37=8,IF($CD$13="","",INDEX(Tính!$R$39:$R$83,$CD$13)&amp;"/"&amp;$BL$1),"")))))</f>
        <v/>
      </c>
      <c r="V37" s="31" t="str">
        <f>IF($AX37=3,IF($CD$14="","",INDEX(Tính!$F$39:$F$83,$CD$14)),IF($AX37=4,IF($CD$14="","",INDEX(Tính!$C$182:$V$226,$CD$14,INDEX($BJ$3:$BJ$22,$AY37))),IF($AX37=5,IF($CD$14="","",INDEX(Tính!$P$39:$P$83,$CD$14)&amp;"/"&amp;COUNTIF($BA$3:$BA$22,"?*")),IF($AX37=7,IF($CD$14="","",INDEX(Tính!$Q$39:$Q$83,$CD$14)&amp;"/"&amp;$BK$1),IF($AX37=8,IF($CD$14="","",INDEX(Tính!$R$39:$R$83,$CD$14)&amp;"/"&amp;$BL$1),"")))))</f>
        <v/>
      </c>
      <c r="W37" s="31" t="str">
        <f>IF($AX37=3,IF($CD$15="","",INDEX(Tính!$F$39:$F$83,$CD$15)),IF($AX37=4,IF($CD$15="","",INDEX(Tính!$C$182:$V$226,$CD$15,INDEX($BJ$3:$BJ$22,$AY37))),IF($AX37=5,IF($CD$15="","",INDEX(Tính!$P$39:$P$83,$CD$15)&amp;"/"&amp;COUNTIF($BA$3:$BA$22,"?*")),IF($AX37=7,IF($CD$15="","",INDEX(Tính!$Q$39:$Q$83,$CD$15)&amp;"/"&amp;$BK$1),IF($AX37=8,IF($CD$15="","",INDEX(Tính!$R$39:$R$83,$CD$15)&amp;"/"&amp;$BL$1),"")))))</f>
        <v/>
      </c>
      <c r="X37" s="31" t="str">
        <f>IF($AX37=3,IF($CD$16="","",INDEX(Tính!$F$39:$F$83,$CD$16)),IF($AX37=4,IF($CD$16="","",INDEX(Tính!$C$182:$V$226,$CD$16,INDEX($BJ$3:$BJ$22,$AY37))),IF($AX37=5,IF($CD$16="","",INDEX(Tính!$P$39:$P$83,$CD$16)&amp;"/"&amp;COUNTIF($BA$3:$BA$22,"?*")),IF($AX37=7,IF($CD$16="","",INDEX(Tính!$Q$39:$Q$83,$CD$16)&amp;"/"&amp;$BK$1),IF($AX37=8,IF($CD$16="","",INDEX(Tính!$R$39:$R$83,$CD$16)&amp;"/"&amp;$BL$1),"")))))</f>
        <v/>
      </c>
      <c r="Y37" s="31" t="str">
        <f>IF($AX37=3,IF($CD$17="","",INDEX(Tính!$F$39:$F$83,$CD$17)),IF($AX37=4,IF($CD$17="","",INDEX(Tính!$C$182:$V$226,$CD$17,INDEX($BJ$3:$BJ$22,$AY37))),IF($AX37=5,IF($CD$17="","",INDEX(Tính!$P$39:$P$83,$CD$17)&amp;"/"&amp;COUNTIF($BA$3:$BA$22,"?*")),IF($AX37=7,IF($CD$17="","",INDEX(Tính!$Q$39:$Q$83,$CD$17)&amp;"/"&amp;$BK$1),IF($AX37=8,IF($CD$17="","",INDEX(Tính!$R$39:$R$83,$CD$17)&amp;"/"&amp;$BL$1),"")))))</f>
        <v/>
      </c>
      <c r="Z37" s="31" t="str">
        <f>IF($AX37=3,IF($CD$18="","",INDEX(Tính!$F$39:$F$83,$CD$18)),IF($AX37=4,IF($CD$18="","",INDEX(Tính!$C$182:$V$226,$CD$18,INDEX($BJ$3:$BJ$22,$AY37))),IF($AX37=5,IF($CD$18="","",INDEX(Tính!$P$39:$P$83,$CD$18)&amp;"/"&amp;COUNTIF($BA$3:$BA$22,"?*")),IF($AX37=7,IF($CD$18="","",INDEX(Tính!$Q$39:$Q$83,$CD$18)&amp;"/"&amp;$BK$1),IF($AX37=8,IF($CD$18="","",INDEX(Tính!$R$39:$R$83,$CD$18)&amp;"/"&amp;$BL$1),"")))))</f>
        <v/>
      </c>
      <c r="AA37" s="31" t="str">
        <f>IF($AX37=3,IF($CD$19="","",INDEX(Tính!$F$39:$F$83,$CD$19)),IF($AX37=4,IF($CD$19="","",INDEX(Tính!$C$182:$V$226,$CD$19,INDEX($BJ$3:$BJ$22,$AY37))),IF($AX37=5,IF($CD$19="","",INDEX(Tính!$P$39:$P$83,$CD$19)&amp;"/"&amp;COUNTIF($BA$3:$BA$22,"?*")),IF($AX37=7,IF($CD$19="","",INDEX(Tính!$Q$39:$Q$83,$CD$19)&amp;"/"&amp;$BK$1),IF($AX37=8,IF($CD$19="","",INDEX(Tính!$R$39:$R$83,$CD$19)&amp;"/"&amp;$BL$1),"")))))</f>
        <v/>
      </c>
      <c r="AB37" s="31" t="str">
        <f>IF($AX37=3,IF($CD$20="","",INDEX(Tính!$F$39:$F$83,$CD$20)),IF($AX37=4,IF($CD$20="","",INDEX(Tính!$C$182:$V$226,$CD$20,INDEX($BJ$3:$BJ$22,$AY37))),IF($AX37=5,IF($CD$20="","",INDEX(Tính!$P$39:$P$83,$CD$20)&amp;"/"&amp;COUNTIF($BA$3:$BA$22,"?*")),IF($AX37=7,IF($CD$20="","",INDEX(Tính!$Q$39:$Q$83,$CD$20)&amp;"/"&amp;$BK$1),IF($AX37=8,IF($CD$20="","",INDEX(Tính!$R$39:$R$83,$CD$20)&amp;"/"&amp;$BL$1),"")))))</f>
        <v/>
      </c>
      <c r="AC37" s="31" t="str">
        <f>IF($AX37=3,IF($CD$21="","",INDEX(Tính!$F$39:$F$83,$CD$21)),IF($AX37=4,IF($CD$21="","",INDEX(Tính!$C$182:$V$226,$CD$21,INDEX($BJ$3:$BJ$22,$AY37))),IF($AX37=5,IF($CD$21="","",INDEX(Tính!$P$39:$P$83,$CD$21)&amp;"/"&amp;COUNTIF($BA$3:$BA$22,"?*")),IF($AX37=7,IF($CD$21="","",INDEX(Tính!$Q$39:$Q$83,$CD$21)&amp;"/"&amp;$BK$1),IF($AX37=8,IF($CD$21="","",INDEX(Tính!$R$39:$R$83,$CD$21)&amp;"/"&amp;$BL$1),"")))))</f>
        <v/>
      </c>
      <c r="AD37" s="31" t="str">
        <f>IF($AX37=3,IF($CD$22="","",INDEX(Tính!$F$39:$F$83,$CD$22)),IF($AX37=4,IF($CD$22="","",INDEX(Tính!$C$182:$V$226,$CD$22,INDEX($BJ$3:$BJ$22,$AY37))),IF($AX37=5,IF($CD$22="","",INDEX(Tính!$P$39:$P$83,$CD$22)&amp;"/"&amp;COUNTIF($BA$3:$BA$22,"?*")),IF($AX37=7,IF($CD$22="","",INDEX(Tính!$Q$39:$Q$83,$CD$22)&amp;"/"&amp;$BK$1),IF($AX37=8,IF($CD$22="","",INDEX(Tính!$R$39:$R$83,$CD$22)&amp;"/"&amp;$BL$1),"")))))</f>
        <v/>
      </c>
      <c r="AX37">
        <f>IF(33=0,0,IF(33&lt;=$AX$1,1,IF(33=$AX$1+1,2,IF(33=$AX$1+2,3,IF((33-$AX$1-2)&lt;=$AX$3,IF(INDEX($BK$3:$BK$24,(33-$AX$1-2))="C",7,IF(INDEX($BK$3:$BK$24,(33-$AX$1-2))="V",8,4)),IF((33-$AX$1-2)=$AX$3+1,5,6))))))</f>
        <v>6</v>
      </c>
      <c r="AY37">
        <f>IF(AX37=1,33,IF(AX37=4,INDEX($BL$3:$BL$24,(33-$AX$1-2)),0))</f>
        <v>0</v>
      </c>
      <c r="CA37">
        <v>35</v>
      </c>
      <c r="CB37">
        <f>IF(Tính!B73="",0,IF(OR($AZ$1=0,Tính!D73=$AZ$1),1,0))</f>
        <v>0</v>
      </c>
      <c r="CC37">
        <f>IF(CB37=1,Tính!M73+1+(45-35)/1000000,-1)</f>
        <v>-1</v>
      </c>
      <c r="CD37" t="str">
        <f>IF(LARGE($CC$3:$CC$47,35)&lt;0,"",MATCH(LARGE($CC$3:$CC$47,35),$CC$3:$CC$47,0))</f>
        <v/>
      </c>
    </row>
    <row r="38" spans="8:82" x14ac:dyDescent="0.3">
      <c r="H38" s="29" t="str">
        <f t="shared" si="2"/>
        <v/>
      </c>
      <c r="I38" s="12" t="str">
        <f>IF($AX38=0,"Nhân viên",IF($AX38=1,INDEX(Tính!$F$39:$F$83,INDEX($CD$3:$CD$47,$AY38))&amp;" · "&amp;INDEX(Tính!$O$39:$O$83,INDEX($CD$3:$CD$47,$AY38)),IF($AX38=3,"Nhóm hàng",IF($AX38=4,INDEX($BA$3:$BA$22,INDEX($BJ$3:$BJ$22,$AY38)),IF($AX38=5,"Số nhóm đạt",IF($AX38=7,"NHÓM CHÍNH",IF($AX38=8,"NHÓM VƯỢT TRỘI","")))))))</f>
        <v/>
      </c>
      <c r="J38" s="30" t="str">
        <f>IF($AX38=0,"Mục tiêu",IF($AX38=1,FIXED(INDEX(Tính!$J$39:$J$83,INDEX($CD$3:$CD$47,$AY38)),0),IF($AX38=3,"Cả shop",IF($AX38=4,INDEX($BG$3:$BG$22,INDEX($BJ$3:$BJ$22,$AY38)),IF($AX38=5,COUNTIF($BG$3:$BG$22,"&gt;=0.995")&amp;"/"&amp;COUNTIF($BA$3:$BA$22,"?*"),IF($AX38=7,COUNTIFS($BB$3:$BB$22,"Chính",$BG$3:$BG$22,"&gt;=0.995")&amp;"/"&amp;$BK$1,IF($AX38=8,COUNTIFS($BB$3:$BB$22,"Vượt trội",$BG$3:$BG$22,"&gt;=0.995")&amp;"/"&amp;$BL$1,"")))))))</f>
        <v/>
      </c>
      <c r="K38" s="30" t="str">
        <f>IF($AX38=0,"DT QĐ",IF($AX38=1,FIXED(INDEX(Tính!$K$39:$K$83,INDEX($CD$3:$CD$47,$AY38)),1),IF($AX38=3,IF($CD$3="","",INDEX(Tính!$F$39:$F$83,$CD$3)),IF($AX38=4,IF($CD$3="","",INDEX(Tính!$C$182:$V$226,$CD$3,INDEX($BJ$3:$BJ$22,$AY38))),IF($AX38=5,IF($CD$3="","",INDEX(Tính!$P$39:$P$83,$CD$3)&amp;"/"&amp;COUNTIF($BA$3:$BA$22,"?*")),IF($AX38=7,IF($CD$3="","",INDEX(Tính!$Q$39:$Q$83,$CD$3)&amp;"/"&amp;$BK$1),IF($AX38=8,IF($CD$3="","",INDEX(Tính!$R$39:$R$83,$CD$3)&amp;"/"&amp;$BL$1),"")))))))</f>
        <v/>
      </c>
      <c r="L38" s="31" t="str">
        <f>IF($AX38=0,"% HT",IF($AX38=1,INDEX(Tính!$N$39:$N$83,INDEX($CD$3:$CD$47,$AY38)),IF($AX38=3,IF($CD$4="","",INDEX(Tính!$F$39:$F$83,$CD$4)),IF($AX38=4,IF($CD$4="","",INDEX(Tính!$C$182:$V$226,$CD$4,INDEX($BJ$3:$BJ$22,$AY38))),IF($AX38=5,IF($CD$4="","",INDEX(Tính!$P$39:$P$83,$CD$4)&amp;"/"&amp;COUNTIF($BA$3:$BA$22,"?*")),IF($AX38=7,IF($CD$4="","",INDEX(Tính!$Q$39:$Q$83,$CD$4)&amp;"/"&amp;$BK$1),IF($AX38=8,IF($CD$4="","",INDEX(Tính!$R$39:$R$83,$CD$4)&amp;"/"&amp;$BL$1),"")))))))</f>
        <v/>
      </c>
      <c r="M38" s="31" t="str">
        <f>IF($AX38=0,"Dự kiến",IF($AX38=1,INDEX(Tính!$M$39:$M$83,INDEX($CD$3:$CD$47,$AY38)),IF($AX38=3,IF($CD$5="","",INDEX(Tính!$F$39:$F$83,$CD$5)),IF($AX38=4,IF($CD$5="","",INDEX(Tính!$C$182:$V$226,$CD$5,INDEX($BJ$3:$BJ$22,$AY38))),IF($AX38=5,IF($CD$5="","",INDEX(Tính!$P$39:$P$83,$CD$5)&amp;"/"&amp;COUNTIF($BA$3:$BA$22,"?*")),IF($AX38=7,IF($CD$5="","",INDEX(Tính!$Q$39:$Q$83,$CD$5)&amp;"/"&amp;$BK$1),IF($AX38=8,IF($CD$5="","",INDEX(Tính!$R$39:$R$83,$CD$5)&amp;"/"&amp;$BL$1),"")))))))</f>
        <v/>
      </c>
      <c r="N38" s="31" t="str">
        <f>IF($AX38=0,"NH đạt",IF($AX38=1,INDEX(Tính!$P$39:$P$83,INDEX($CD$3:$CD$47,$AY38))&amp;"/"&amp;COUNTIF($BA$3:$BA$22,"?*"),IF($AX38=3,IF($CD$6="","",INDEX(Tính!$F$39:$F$83,$CD$6)),IF($AX38=4,IF($CD$6="","",INDEX(Tính!$C$182:$V$226,$CD$6,INDEX($BJ$3:$BJ$22,$AY38))),IF($AX38=5,IF($CD$6="","",INDEX(Tính!$P$39:$P$83,$CD$6)&amp;"/"&amp;COUNTIF($BA$3:$BA$22,"?*")),IF($AX38=7,IF($CD$6="","",INDEX(Tính!$Q$39:$Q$83,$CD$6)&amp;"/"&amp;$BK$1),IF($AX38=8,IF($CD$6="","",INDEX(Tính!$R$39:$R$83,$CD$6)&amp;"/"&amp;$BL$1),"")))))))</f>
        <v/>
      </c>
      <c r="O38" s="31" t="str">
        <f>IF($AX38=3,IF($CD$7="","",INDEX(Tính!$F$39:$F$83,$CD$7)),IF($AX38=4,IF($CD$7="","",INDEX(Tính!$C$182:$V$226,$CD$7,INDEX($BJ$3:$BJ$22,$AY38))),IF($AX38=5,IF($CD$7="","",INDEX(Tính!$P$39:$P$83,$CD$7)&amp;"/"&amp;COUNTIF($BA$3:$BA$22,"?*")),IF($AX38=7,IF($CD$7="","",INDEX(Tính!$Q$39:$Q$83,$CD$7)&amp;"/"&amp;$BK$1),IF($AX38=8,IF($CD$7="","",INDEX(Tính!$R$39:$R$83,$CD$7)&amp;"/"&amp;$BL$1),"")))))</f>
        <v/>
      </c>
      <c r="P38" s="31" t="str">
        <f>IF($AX38=3,IF($CD$8="","",INDEX(Tính!$F$39:$F$83,$CD$8)),IF($AX38=4,IF($CD$8="","",INDEX(Tính!$C$182:$V$226,$CD$8,INDEX($BJ$3:$BJ$22,$AY38))),IF($AX38=5,IF($CD$8="","",INDEX(Tính!$P$39:$P$83,$CD$8)&amp;"/"&amp;COUNTIF($BA$3:$BA$22,"?*")),IF($AX38=7,IF($CD$8="","",INDEX(Tính!$Q$39:$Q$83,$CD$8)&amp;"/"&amp;$BK$1),IF($AX38=8,IF($CD$8="","",INDEX(Tính!$R$39:$R$83,$CD$8)&amp;"/"&amp;$BL$1),"")))))</f>
        <v/>
      </c>
      <c r="Q38" s="31" t="str">
        <f>IF($AX38=3,IF($CD$9="","",INDEX(Tính!$F$39:$F$83,$CD$9)),IF($AX38=4,IF($CD$9="","",INDEX(Tính!$C$182:$V$226,$CD$9,INDEX($BJ$3:$BJ$22,$AY38))),IF($AX38=5,IF($CD$9="","",INDEX(Tính!$P$39:$P$83,$CD$9)&amp;"/"&amp;COUNTIF($BA$3:$BA$22,"?*")),IF($AX38=7,IF($CD$9="","",INDEX(Tính!$Q$39:$Q$83,$CD$9)&amp;"/"&amp;$BK$1),IF($AX38=8,IF($CD$9="","",INDEX(Tính!$R$39:$R$83,$CD$9)&amp;"/"&amp;$BL$1),"")))))</f>
        <v/>
      </c>
      <c r="R38" s="31" t="str">
        <f>IF($AX38=3,IF($CD$10="","",INDEX(Tính!$F$39:$F$83,$CD$10)),IF($AX38=4,IF($CD$10="","",INDEX(Tính!$C$182:$V$226,$CD$10,INDEX($BJ$3:$BJ$22,$AY38))),IF($AX38=5,IF($CD$10="","",INDEX(Tính!$P$39:$P$83,$CD$10)&amp;"/"&amp;COUNTIF($BA$3:$BA$22,"?*")),IF($AX38=7,IF($CD$10="","",INDEX(Tính!$Q$39:$Q$83,$CD$10)&amp;"/"&amp;$BK$1),IF($AX38=8,IF($CD$10="","",INDEX(Tính!$R$39:$R$83,$CD$10)&amp;"/"&amp;$BL$1),"")))))</f>
        <v/>
      </c>
      <c r="S38" s="31" t="str">
        <f>IF($AX38=3,IF($CD$11="","",INDEX(Tính!$F$39:$F$83,$CD$11)),IF($AX38=4,IF($CD$11="","",INDEX(Tính!$C$182:$V$226,$CD$11,INDEX($BJ$3:$BJ$22,$AY38))),IF($AX38=5,IF($CD$11="","",INDEX(Tính!$P$39:$P$83,$CD$11)&amp;"/"&amp;COUNTIF($BA$3:$BA$22,"?*")),IF($AX38=7,IF($CD$11="","",INDEX(Tính!$Q$39:$Q$83,$CD$11)&amp;"/"&amp;$BK$1),IF($AX38=8,IF($CD$11="","",INDEX(Tính!$R$39:$R$83,$CD$11)&amp;"/"&amp;$BL$1),"")))))</f>
        <v/>
      </c>
      <c r="T38" s="31" t="str">
        <f>IF($AX38=3,IF($CD$12="","",INDEX(Tính!$F$39:$F$83,$CD$12)),IF($AX38=4,IF($CD$12="","",INDEX(Tính!$C$182:$V$226,$CD$12,INDEX($BJ$3:$BJ$22,$AY38))),IF($AX38=5,IF($CD$12="","",INDEX(Tính!$P$39:$P$83,$CD$12)&amp;"/"&amp;COUNTIF($BA$3:$BA$22,"?*")),IF($AX38=7,IF($CD$12="","",INDEX(Tính!$Q$39:$Q$83,$CD$12)&amp;"/"&amp;$BK$1),IF($AX38=8,IF($CD$12="","",INDEX(Tính!$R$39:$R$83,$CD$12)&amp;"/"&amp;$BL$1),"")))))</f>
        <v/>
      </c>
      <c r="U38" s="31" t="str">
        <f>IF($AX38=3,IF($CD$13="","",INDEX(Tính!$F$39:$F$83,$CD$13)),IF($AX38=4,IF($CD$13="","",INDEX(Tính!$C$182:$V$226,$CD$13,INDEX($BJ$3:$BJ$22,$AY38))),IF($AX38=5,IF($CD$13="","",INDEX(Tính!$P$39:$P$83,$CD$13)&amp;"/"&amp;COUNTIF($BA$3:$BA$22,"?*")),IF($AX38=7,IF($CD$13="","",INDEX(Tính!$Q$39:$Q$83,$CD$13)&amp;"/"&amp;$BK$1),IF($AX38=8,IF($CD$13="","",INDEX(Tính!$R$39:$R$83,$CD$13)&amp;"/"&amp;$BL$1),"")))))</f>
        <v/>
      </c>
      <c r="V38" s="31" t="str">
        <f>IF($AX38=3,IF($CD$14="","",INDEX(Tính!$F$39:$F$83,$CD$14)),IF($AX38=4,IF($CD$14="","",INDEX(Tính!$C$182:$V$226,$CD$14,INDEX($BJ$3:$BJ$22,$AY38))),IF($AX38=5,IF($CD$14="","",INDEX(Tính!$P$39:$P$83,$CD$14)&amp;"/"&amp;COUNTIF($BA$3:$BA$22,"?*")),IF($AX38=7,IF($CD$14="","",INDEX(Tính!$Q$39:$Q$83,$CD$14)&amp;"/"&amp;$BK$1),IF($AX38=8,IF($CD$14="","",INDEX(Tính!$R$39:$R$83,$CD$14)&amp;"/"&amp;$BL$1),"")))))</f>
        <v/>
      </c>
      <c r="W38" s="31" t="str">
        <f>IF($AX38=3,IF($CD$15="","",INDEX(Tính!$F$39:$F$83,$CD$15)),IF($AX38=4,IF($CD$15="","",INDEX(Tính!$C$182:$V$226,$CD$15,INDEX($BJ$3:$BJ$22,$AY38))),IF($AX38=5,IF($CD$15="","",INDEX(Tính!$P$39:$P$83,$CD$15)&amp;"/"&amp;COUNTIF($BA$3:$BA$22,"?*")),IF($AX38=7,IF($CD$15="","",INDEX(Tính!$Q$39:$Q$83,$CD$15)&amp;"/"&amp;$BK$1),IF($AX38=8,IF($CD$15="","",INDEX(Tính!$R$39:$R$83,$CD$15)&amp;"/"&amp;$BL$1),"")))))</f>
        <v/>
      </c>
      <c r="X38" s="31" t="str">
        <f>IF($AX38=3,IF($CD$16="","",INDEX(Tính!$F$39:$F$83,$CD$16)),IF($AX38=4,IF($CD$16="","",INDEX(Tính!$C$182:$V$226,$CD$16,INDEX($BJ$3:$BJ$22,$AY38))),IF($AX38=5,IF($CD$16="","",INDEX(Tính!$P$39:$P$83,$CD$16)&amp;"/"&amp;COUNTIF($BA$3:$BA$22,"?*")),IF($AX38=7,IF($CD$16="","",INDEX(Tính!$Q$39:$Q$83,$CD$16)&amp;"/"&amp;$BK$1),IF($AX38=8,IF($CD$16="","",INDEX(Tính!$R$39:$R$83,$CD$16)&amp;"/"&amp;$BL$1),"")))))</f>
        <v/>
      </c>
      <c r="Y38" s="31" t="str">
        <f>IF($AX38=3,IF($CD$17="","",INDEX(Tính!$F$39:$F$83,$CD$17)),IF($AX38=4,IF($CD$17="","",INDEX(Tính!$C$182:$V$226,$CD$17,INDEX($BJ$3:$BJ$22,$AY38))),IF($AX38=5,IF($CD$17="","",INDEX(Tính!$P$39:$P$83,$CD$17)&amp;"/"&amp;COUNTIF($BA$3:$BA$22,"?*")),IF($AX38=7,IF($CD$17="","",INDEX(Tính!$Q$39:$Q$83,$CD$17)&amp;"/"&amp;$BK$1),IF($AX38=8,IF($CD$17="","",INDEX(Tính!$R$39:$R$83,$CD$17)&amp;"/"&amp;$BL$1),"")))))</f>
        <v/>
      </c>
      <c r="Z38" s="31" t="str">
        <f>IF($AX38=3,IF($CD$18="","",INDEX(Tính!$F$39:$F$83,$CD$18)),IF($AX38=4,IF($CD$18="","",INDEX(Tính!$C$182:$V$226,$CD$18,INDEX($BJ$3:$BJ$22,$AY38))),IF($AX38=5,IF($CD$18="","",INDEX(Tính!$P$39:$P$83,$CD$18)&amp;"/"&amp;COUNTIF($BA$3:$BA$22,"?*")),IF($AX38=7,IF($CD$18="","",INDEX(Tính!$Q$39:$Q$83,$CD$18)&amp;"/"&amp;$BK$1),IF($AX38=8,IF($CD$18="","",INDEX(Tính!$R$39:$R$83,$CD$18)&amp;"/"&amp;$BL$1),"")))))</f>
        <v/>
      </c>
      <c r="AA38" s="31" t="str">
        <f>IF($AX38=3,IF($CD$19="","",INDEX(Tính!$F$39:$F$83,$CD$19)),IF($AX38=4,IF($CD$19="","",INDEX(Tính!$C$182:$V$226,$CD$19,INDEX($BJ$3:$BJ$22,$AY38))),IF($AX38=5,IF($CD$19="","",INDEX(Tính!$P$39:$P$83,$CD$19)&amp;"/"&amp;COUNTIF($BA$3:$BA$22,"?*")),IF($AX38=7,IF($CD$19="","",INDEX(Tính!$Q$39:$Q$83,$CD$19)&amp;"/"&amp;$BK$1),IF($AX38=8,IF($CD$19="","",INDEX(Tính!$R$39:$R$83,$CD$19)&amp;"/"&amp;$BL$1),"")))))</f>
        <v/>
      </c>
      <c r="AB38" s="31" t="str">
        <f>IF($AX38=3,IF($CD$20="","",INDEX(Tính!$F$39:$F$83,$CD$20)),IF($AX38=4,IF($CD$20="","",INDEX(Tính!$C$182:$V$226,$CD$20,INDEX($BJ$3:$BJ$22,$AY38))),IF($AX38=5,IF($CD$20="","",INDEX(Tính!$P$39:$P$83,$CD$20)&amp;"/"&amp;COUNTIF($BA$3:$BA$22,"?*")),IF($AX38=7,IF($CD$20="","",INDEX(Tính!$Q$39:$Q$83,$CD$20)&amp;"/"&amp;$BK$1),IF($AX38=8,IF($CD$20="","",INDEX(Tính!$R$39:$R$83,$CD$20)&amp;"/"&amp;$BL$1),"")))))</f>
        <v/>
      </c>
      <c r="AC38" s="31" t="str">
        <f>IF($AX38=3,IF($CD$21="","",INDEX(Tính!$F$39:$F$83,$CD$21)),IF($AX38=4,IF($CD$21="","",INDEX(Tính!$C$182:$V$226,$CD$21,INDEX($BJ$3:$BJ$22,$AY38))),IF($AX38=5,IF($CD$21="","",INDEX(Tính!$P$39:$P$83,$CD$21)&amp;"/"&amp;COUNTIF($BA$3:$BA$22,"?*")),IF($AX38=7,IF($CD$21="","",INDEX(Tính!$Q$39:$Q$83,$CD$21)&amp;"/"&amp;$BK$1),IF($AX38=8,IF($CD$21="","",INDEX(Tính!$R$39:$R$83,$CD$21)&amp;"/"&amp;$BL$1),"")))))</f>
        <v/>
      </c>
      <c r="AD38" s="31" t="str">
        <f>IF($AX38=3,IF($CD$22="","",INDEX(Tính!$F$39:$F$83,$CD$22)),IF($AX38=4,IF($CD$22="","",INDEX(Tính!$C$182:$V$226,$CD$22,INDEX($BJ$3:$BJ$22,$AY38))),IF($AX38=5,IF($CD$22="","",INDEX(Tính!$P$39:$P$83,$CD$22)&amp;"/"&amp;COUNTIF($BA$3:$BA$22,"?*")),IF($AX38=7,IF($CD$22="","",INDEX(Tính!$Q$39:$Q$83,$CD$22)&amp;"/"&amp;$BK$1),IF($AX38=8,IF($CD$22="","",INDEX(Tính!$R$39:$R$83,$CD$22)&amp;"/"&amp;$BL$1),"")))))</f>
        <v/>
      </c>
      <c r="AX38">
        <f>IF(34=0,0,IF(34&lt;=$AX$1,1,IF(34=$AX$1+1,2,IF(34=$AX$1+2,3,IF((34-$AX$1-2)&lt;=$AX$3,IF(INDEX($BK$3:$BK$24,(34-$AX$1-2))="C",7,IF(INDEX($BK$3:$BK$24,(34-$AX$1-2))="V",8,4)),IF((34-$AX$1-2)=$AX$3+1,5,6))))))</f>
        <v>6</v>
      </c>
      <c r="AY38">
        <f>IF(AX38=1,34,IF(AX38=4,INDEX($BL$3:$BL$24,(34-$AX$1-2)),0))</f>
        <v>0</v>
      </c>
      <c r="CA38">
        <v>36</v>
      </c>
      <c r="CB38">
        <f>IF(Tính!B74="",0,IF(OR($AZ$1=0,Tính!D74=$AZ$1),1,0))</f>
        <v>0</v>
      </c>
      <c r="CC38">
        <f>IF(CB38=1,Tính!M74+1+(45-36)/1000000,-1)</f>
        <v>-1</v>
      </c>
      <c r="CD38" t="str">
        <f>IF(LARGE($CC$3:$CC$47,36)&lt;0,"",MATCH(LARGE($CC$3:$CC$47,36),$CC$3:$CC$47,0))</f>
        <v/>
      </c>
    </row>
    <row r="39" spans="8:82" x14ac:dyDescent="0.3">
      <c r="H39" s="29" t="str">
        <f t="shared" si="2"/>
        <v/>
      </c>
      <c r="I39" s="12" t="str">
        <f>IF($AX39=0,"Nhân viên",IF($AX39=1,INDEX(Tính!$F$39:$F$83,INDEX($CD$3:$CD$47,$AY39))&amp;" · "&amp;INDEX(Tính!$O$39:$O$83,INDEX($CD$3:$CD$47,$AY39)),IF($AX39=3,"Nhóm hàng",IF($AX39=4,INDEX($BA$3:$BA$22,INDEX($BJ$3:$BJ$22,$AY39)),IF($AX39=5,"Số nhóm đạt",IF($AX39=7,"NHÓM CHÍNH",IF($AX39=8,"NHÓM VƯỢT TRỘI","")))))))</f>
        <v/>
      </c>
      <c r="J39" s="30" t="str">
        <f>IF($AX39=0,"Mục tiêu",IF($AX39=1,FIXED(INDEX(Tính!$J$39:$J$83,INDEX($CD$3:$CD$47,$AY39)),0),IF($AX39=3,"Cả shop",IF($AX39=4,INDEX($BG$3:$BG$22,INDEX($BJ$3:$BJ$22,$AY39)),IF($AX39=5,COUNTIF($BG$3:$BG$22,"&gt;=0.995")&amp;"/"&amp;COUNTIF($BA$3:$BA$22,"?*"),IF($AX39=7,COUNTIFS($BB$3:$BB$22,"Chính",$BG$3:$BG$22,"&gt;=0.995")&amp;"/"&amp;$BK$1,IF($AX39=8,COUNTIFS($BB$3:$BB$22,"Vượt trội",$BG$3:$BG$22,"&gt;=0.995")&amp;"/"&amp;$BL$1,"")))))))</f>
        <v/>
      </c>
      <c r="K39" s="30" t="str">
        <f>IF($AX39=0,"DT QĐ",IF($AX39=1,FIXED(INDEX(Tính!$K$39:$K$83,INDEX($CD$3:$CD$47,$AY39)),1),IF($AX39=3,IF($CD$3="","",INDEX(Tính!$F$39:$F$83,$CD$3)),IF($AX39=4,IF($CD$3="","",INDEX(Tính!$C$182:$V$226,$CD$3,INDEX($BJ$3:$BJ$22,$AY39))),IF($AX39=5,IF($CD$3="","",INDEX(Tính!$P$39:$P$83,$CD$3)&amp;"/"&amp;COUNTIF($BA$3:$BA$22,"?*")),IF($AX39=7,IF($CD$3="","",INDEX(Tính!$Q$39:$Q$83,$CD$3)&amp;"/"&amp;$BK$1),IF($AX39=8,IF($CD$3="","",INDEX(Tính!$R$39:$R$83,$CD$3)&amp;"/"&amp;$BL$1),"")))))))</f>
        <v/>
      </c>
      <c r="L39" s="31" t="str">
        <f>IF($AX39=0,"% HT",IF($AX39=1,INDEX(Tính!$N$39:$N$83,INDEX($CD$3:$CD$47,$AY39)),IF($AX39=3,IF($CD$4="","",INDEX(Tính!$F$39:$F$83,$CD$4)),IF($AX39=4,IF($CD$4="","",INDEX(Tính!$C$182:$V$226,$CD$4,INDEX($BJ$3:$BJ$22,$AY39))),IF($AX39=5,IF($CD$4="","",INDEX(Tính!$P$39:$P$83,$CD$4)&amp;"/"&amp;COUNTIF($BA$3:$BA$22,"?*")),IF($AX39=7,IF($CD$4="","",INDEX(Tính!$Q$39:$Q$83,$CD$4)&amp;"/"&amp;$BK$1),IF($AX39=8,IF($CD$4="","",INDEX(Tính!$R$39:$R$83,$CD$4)&amp;"/"&amp;$BL$1),"")))))))</f>
        <v/>
      </c>
      <c r="M39" s="31" t="str">
        <f>IF($AX39=0,"Dự kiến",IF($AX39=1,INDEX(Tính!$M$39:$M$83,INDEX($CD$3:$CD$47,$AY39)),IF($AX39=3,IF($CD$5="","",INDEX(Tính!$F$39:$F$83,$CD$5)),IF($AX39=4,IF($CD$5="","",INDEX(Tính!$C$182:$V$226,$CD$5,INDEX($BJ$3:$BJ$22,$AY39))),IF($AX39=5,IF($CD$5="","",INDEX(Tính!$P$39:$P$83,$CD$5)&amp;"/"&amp;COUNTIF($BA$3:$BA$22,"?*")),IF($AX39=7,IF($CD$5="","",INDEX(Tính!$Q$39:$Q$83,$CD$5)&amp;"/"&amp;$BK$1),IF($AX39=8,IF($CD$5="","",INDEX(Tính!$R$39:$R$83,$CD$5)&amp;"/"&amp;$BL$1),"")))))))</f>
        <v/>
      </c>
      <c r="N39" s="31" t="str">
        <f>IF($AX39=0,"NH đạt",IF($AX39=1,INDEX(Tính!$P$39:$P$83,INDEX($CD$3:$CD$47,$AY39))&amp;"/"&amp;COUNTIF($BA$3:$BA$22,"?*"),IF($AX39=3,IF($CD$6="","",INDEX(Tính!$F$39:$F$83,$CD$6)),IF($AX39=4,IF($CD$6="","",INDEX(Tính!$C$182:$V$226,$CD$6,INDEX($BJ$3:$BJ$22,$AY39))),IF($AX39=5,IF($CD$6="","",INDEX(Tính!$P$39:$P$83,$CD$6)&amp;"/"&amp;COUNTIF($BA$3:$BA$22,"?*")),IF($AX39=7,IF($CD$6="","",INDEX(Tính!$Q$39:$Q$83,$CD$6)&amp;"/"&amp;$BK$1),IF($AX39=8,IF($CD$6="","",INDEX(Tính!$R$39:$R$83,$CD$6)&amp;"/"&amp;$BL$1),"")))))))</f>
        <v/>
      </c>
      <c r="O39" s="31" t="str">
        <f>IF($AX39=3,IF($CD$7="","",INDEX(Tính!$F$39:$F$83,$CD$7)),IF($AX39=4,IF($CD$7="","",INDEX(Tính!$C$182:$V$226,$CD$7,INDEX($BJ$3:$BJ$22,$AY39))),IF($AX39=5,IF($CD$7="","",INDEX(Tính!$P$39:$P$83,$CD$7)&amp;"/"&amp;COUNTIF($BA$3:$BA$22,"?*")),IF($AX39=7,IF($CD$7="","",INDEX(Tính!$Q$39:$Q$83,$CD$7)&amp;"/"&amp;$BK$1),IF($AX39=8,IF($CD$7="","",INDEX(Tính!$R$39:$R$83,$CD$7)&amp;"/"&amp;$BL$1),"")))))</f>
        <v/>
      </c>
      <c r="P39" s="31" t="str">
        <f>IF($AX39=3,IF($CD$8="","",INDEX(Tính!$F$39:$F$83,$CD$8)),IF($AX39=4,IF($CD$8="","",INDEX(Tính!$C$182:$V$226,$CD$8,INDEX($BJ$3:$BJ$22,$AY39))),IF($AX39=5,IF($CD$8="","",INDEX(Tính!$P$39:$P$83,$CD$8)&amp;"/"&amp;COUNTIF($BA$3:$BA$22,"?*")),IF($AX39=7,IF($CD$8="","",INDEX(Tính!$Q$39:$Q$83,$CD$8)&amp;"/"&amp;$BK$1),IF($AX39=8,IF($CD$8="","",INDEX(Tính!$R$39:$R$83,$CD$8)&amp;"/"&amp;$BL$1),"")))))</f>
        <v/>
      </c>
      <c r="Q39" s="31" t="str">
        <f>IF($AX39=3,IF($CD$9="","",INDEX(Tính!$F$39:$F$83,$CD$9)),IF($AX39=4,IF($CD$9="","",INDEX(Tính!$C$182:$V$226,$CD$9,INDEX($BJ$3:$BJ$22,$AY39))),IF($AX39=5,IF($CD$9="","",INDEX(Tính!$P$39:$P$83,$CD$9)&amp;"/"&amp;COUNTIF($BA$3:$BA$22,"?*")),IF($AX39=7,IF($CD$9="","",INDEX(Tính!$Q$39:$Q$83,$CD$9)&amp;"/"&amp;$BK$1),IF($AX39=8,IF($CD$9="","",INDEX(Tính!$R$39:$R$83,$CD$9)&amp;"/"&amp;$BL$1),"")))))</f>
        <v/>
      </c>
      <c r="R39" s="31" t="str">
        <f>IF($AX39=3,IF($CD$10="","",INDEX(Tính!$F$39:$F$83,$CD$10)),IF($AX39=4,IF($CD$10="","",INDEX(Tính!$C$182:$V$226,$CD$10,INDEX($BJ$3:$BJ$22,$AY39))),IF($AX39=5,IF($CD$10="","",INDEX(Tính!$P$39:$P$83,$CD$10)&amp;"/"&amp;COUNTIF($BA$3:$BA$22,"?*")),IF($AX39=7,IF($CD$10="","",INDEX(Tính!$Q$39:$Q$83,$CD$10)&amp;"/"&amp;$BK$1),IF($AX39=8,IF($CD$10="","",INDEX(Tính!$R$39:$R$83,$CD$10)&amp;"/"&amp;$BL$1),"")))))</f>
        <v/>
      </c>
      <c r="S39" s="31" t="str">
        <f>IF($AX39=3,IF($CD$11="","",INDEX(Tính!$F$39:$F$83,$CD$11)),IF($AX39=4,IF($CD$11="","",INDEX(Tính!$C$182:$V$226,$CD$11,INDEX($BJ$3:$BJ$22,$AY39))),IF($AX39=5,IF($CD$11="","",INDEX(Tính!$P$39:$P$83,$CD$11)&amp;"/"&amp;COUNTIF($BA$3:$BA$22,"?*")),IF($AX39=7,IF($CD$11="","",INDEX(Tính!$Q$39:$Q$83,$CD$11)&amp;"/"&amp;$BK$1),IF($AX39=8,IF($CD$11="","",INDEX(Tính!$R$39:$R$83,$CD$11)&amp;"/"&amp;$BL$1),"")))))</f>
        <v/>
      </c>
      <c r="T39" s="31" t="str">
        <f>IF($AX39=3,IF($CD$12="","",INDEX(Tính!$F$39:$F$83,$CD$12)),IF($AX39=4,IF($CD$12="","",INDEX(Tính!$C$182:$V$226,$CD$12,INDEX($BJ$3:$BJ$22,$AY39))),IF($AX39=5,IF($CD$12="","",INDEX(Tính!$P$39:$P$83,$CD$12)&amp;"/"&amp;COUNTIF($BA$3:$BA$22,"?*")),IF($AX39=7,IF($CD$12="","",INDEX(Tính!$Q$39:$Q$83,$CD$12)&amp;"/"&amp;$BK$1),IF($AX39=8,IF($CD$12="","",INDEX(Tính!$R$39:$R$83,$CD$12)&amp;"/"&amp;$BL$1),"")))))</f>
        <v/>
      </c>
      <c r="U39" s="31" t="str">
        <f>IF($AX39=3,IF($CD$13="","",INDEX(Tính!$F$39:$F$83,$CD$13)),IF($AX39=4,IF($CD$13="","",INDEX(Tính!$C$182:$V$226,$CD$13,INDEX($BJ$3:$BJ$22,$AY39))),IF($AX39=5,IF($CD$13="","",INDEX(Tính!$P$39:$P$83,$CD$13)&amp;"/"&amp;COUNTIF($BA$3:$BA$22,"?*")),IF($AX39=7,IF($CD$13="","",INDEX(Tính!$Q$39:$Q$83,$CD$13)&amp;"/"&amp;$BK$1),IF($AX39=8,IF($CD$13="","",INDEX(Tính!$R$39:$R$83,$CD$13)&amp;"/"&amp;$BL$1),"")))))</f>
        <v/>
      </c>
      <c r="V39" s="31" t="str">
        <f>IF($AX39=3,IF($CD$14="","",INDEX(Tính!$F$39:$F$83,$CD$14)),IF($AX39=4,IF($CD$14="","",INDEX(Tính!$C$182:$V$226,$CD$14,INDEX($BJ$3:$BJ$22,$AY39))),IF($AX39=5,IF($CD$14="","",INDEX(Tính!$P$39:$P$83,$CD$14)&amp;"/"&amp;COUNTIF($BA$3:$BA$22,"?*")),IF($AX39=7,IF($CD$14="","",INDEX(Tính!$Q$39:$Q$83,$CD$14)&amp;"/"&amp;$BK$1),IF($AX39=8,IF($CD$14="","",INDEX(Tính!$R$39:$R$83,$CD$14)&amp;"/"&amp;$BL$1),"")))))</f>
        <v/>
      </c>
      <c r="W39" s="31" t="str">
        <f>IF($AX39=3,IF($CD$15="","",INDEX(Tính!$F$39:$F$83,$CD$15)),IF($AX39=4,IF($CD$15="","",INDEX(Tính!$C$182:$V$226,$CD$15,INDEX($BJ$3:$BJ$22,$AY39))),IF($AX39=5,IF($CD$15="","",INDEX(Tính!$P$39:$P$83,$CD$15)&amp;"/"&amp;COUNTIF($BA$3:$BA$22,"?*")),IF($AX39=7,IF($CD$15="","",INDEX(Tính!$Q$39:$Q$83,$CD$15)&amp;"/"&amp;$BK$1),IF($AX39=8,IF($CD$15="","",INDEX(Tính!$R$39:$R$83,$CD$15)&amp;"/"&amp;$BL$1),"")))))</f>
        <v/>
      </c>
      <c r="X39" s="31" t="str">
        <f>IF($AX39=3,IF($CD$16="","",INDEX(Tính!$F$39:$F$83,$CD$16)),IF($AX39=4,IF($CD$16="","",INDEX(Tính!$C$182:$V$226,$CD$16,INDEX($BJ$3:$BJ$22,$AY39))),IF($AX39=5,IF($CD$16="","",INDEX(Tính!$P$39:$P$83,$CD$16)&amp;"/"&amp;COUNTIF($BA$3:$BA$22,"?*")),IF($AX39=7,IF($CD$16="","",INDEX(Tính!$Q$39:$Q$83,$CD$16)&amp;"/"&amp;$BK$1),IF($AX39=8,IF($CD$16="","",INDEX(Tính!$R$39:$R$83,$CD$16)&amp;"/"&amp;$BL$1),"")))))</f>
        <v/>
      </c>
      <c r="Y39" s="31" t="str">
        <f>IF($AX39=3,IF($CD$17="","",INDEX(Tính!$F$39:$F$83,$CD$17)),IF($AX39=4,IF($CD$17="","",INDEX(Tính!$C$182:$V$226,$CD$17,INDEX($BJ$3:$BJ$22,$AY39))),IF($AX39=5,IF($CD$17="","",INDEX(Tính!$P$39:$P$83,$CD$17)&amp;"/"&amp;COUNTIF($BA$3:$BA$22,"?*")),IF($AX39=7,IF($CD$17="","",INDEX(Tính!$Q$39:$Q$83,$CD$17)&amp;"/"&amp;$BK$1),IF($AX39=8,IF($CD$17="","",INDEX(Tính!$R$39:$R$83,$CD$17)&amp;"/"&amp;$BL$1),"")))))</f>
        <v/>
      </c>
      <c r="Z39" s="31" t="str">
        <f>IF($AX39=3,IF($CD$18="","",INDEX(Tính!$F$39:$F$83,$CD$18)),IF($AX39=4,IF($CD$18="","",INDEX(Tính!$C$182:$V$226,$CD$18,INDEX($BJ$3:$BJ$22,$AY39))),IF($AX39=5,IF($CD$18="","",INDEX(Tính!$P$39:$P$83,$CD$18)&amp;"/"&amp;COUNTIF($BA$3:$BA$22,"?*")),IF($AX39=7,IF($CD$18="","",INDEX(Tính!$Q$39:$Q$83,$CD$18)&amp;"/"&amp;$BK$1),IF($AX39=8,IF($CD$18="","",INDEX(Tính!$R$39:$R$83,$CD$18)&amp;"/"&amp;$BL$1),"")))))</f>
        <v/>
      </c>
      <c r="AA39" s="31" t="str">
        <f>IF($AX39=3,IF($CD$19="","",INDEX(Tính!$F$39:$F$83,$CD$19)),IF($AX39=4,IF($CD$19="","",INDEX(Tính!$C$182:$V$226,$CD$19,INDEX($BJ$3:$BJ$22,$AY39))),IF($AX39=5,IF($CD$19="","",INDEX(Tính!$P$39:$P$83,$CD$19)&amp;"/"&amp;COUNTIF($BA$3:$BA$22,"?*")),IF($AX39=7,IF($CD$19="","",INDEX(Tính!$Q$39:$Q$83,$CD$19)&amp;"/"&amp;$BK$1),IF($AX39=8,IF($CD$19="","",INDEX(Tính!$R$39:$R$83,$CD$19)&amp;"/"&amp;$BL$1),"")))))</f>
        <v/>
      </c>
      <c r="AB39" s="31" t="str">
        <f>IF($AX39=3,IF($CD$20="","",INDEX(Tính!$F$39:$F$83,$CD$20)),IF($AX39=4,IF($CD$20="","",INDEX(Tính!$C$182:$V$226,$CD$20,INDEX($BJ$3:$BJ$22,$AY39))),IF($AX39=5,IF($CD$20="","",INDEX(Tính!$P$39:$P$83,$CD$20)&amp;"/"&amp;COUNTIF($BA$3:$BA$22,"?*")),IF($AX39=7,IF($CD$20="","",INDEX(Tính!$Q$39:$Q$83,$CD$20)&amp;"/"&amp;$BK$1),IF($AX39=8,IF($CD$20="","",INDEX(Tính!$R$39:$R$83,$CD$20)&amp;"/"&amp;$BL$1),"")))))</f>
        <v/>
      </c>
      <c r="AC39" s="31" t="str">
        <f>IF($AX39=3,IF($CD$21="","",INDEX(Tính!$F$39:$F$83,$CD$21)),IF($AX39=4,IF($CD$21="","",INDEX(Tính!$C$182:$V$226,$CD$21,INDEX($BJ$3:$BJ$22,$AY39))),IF($AX39=5,IF($CD$21="","",INDEX(Tính!$P$39:$P$83,$CD$21)&amp;"/"&amp;COUNTIF($BA$3:$BA$22,"?*")),IF($AX39=7,IF($CD$21="","",INDEX(Tính!$Q$39:$Q$83,$CD$21)&amp;"/"&amp;$BK$1),IF($AX39=8,IF($CD$21="","",INDEX(Tính!$R$39:$R$83,$CD$21)&amp;"/"&amp;$BL$1),"")))))</f>
        <v/>
      </c>
      <c r="AD39" s="31" t="str">
        <f>IF($AX39=3,IF($CD$22="","",INDEX(Tính!$F$39:$F$83,$CD$22)),IF($AX39=4,IF($CD$22="","",INDEX(Tính!$C$182:$V$226,$CD$22,INDEX($BJ$3:$BJ$22,$AY39))),IF($AX39=5,IF($CD$22="","",INDEX(Tính!$P$39:$P$83,$CD$22)&amp;"/"&amp;COUNTIF($BA$3:$BA$22,"?*")),IF($AX39=7,IF($CD$22="","",INDEX(Tính!$Q$39:$Q$83,$CD$22)&amp;"/"&amp;$BK$1),IF($AX39=8,IF($CD$22="","",INDEX(Tính!$R$39:$R$83,$CD$22)&amp;"/"&amp;$BL$1),"")))))</f>
        <v/>
      </c>
      <c r="AX39">
        <f>IF(35=0,0,IF(35&lt;=$AX$1,1,IF(35=$AX$1+1,2,IF(35=$AX$1+2,3,IF((35-$AX$1-2)&lt;=$AX$3,IF(INDEX($BK$3:$BK$24,(35-$AX$1-2))="C",7,IF(INDEX($BK$3:$BK$24,(35-$AX$1-2))="V",8,4)),IF((35-$AX$1-2)=$AX$3+1,5,6))))))</f>
        <v>6</v>
      </c>
      <c r="AY39">
        <f>IF(AX39=1,35,IF(AX39=4,INDEX($BL$3:$BL$24,(35-$AX$1-2)),0))</f>
        <v>0</v>
      </c>
      <c r="CA39">
        <v>37</v>
      </c>
      <c r="CB39">
        <f>IF(Tính!B75="",0,IF(OR($AZ$1=0,Tính!D75=$AZ$1),1,0))</f>
        <v>0</v>
      </c>
      <c r="CC39">
        <f>IF(CB39=1,Tính!M75+1+(45-37)/1000000,-1)</f>
        <v>-1</v>
      </c>
      <c r="CD39" t="str">
        <f>IF(LARGE($CC$3:$CC$47,37)&lt;0,"",MATCH(LARGE($CC$3:$CC$47,37),$CC$3:$CC$47,0))</f>
        <v/>
      </c>
    </row>
    <row r="40" spans="8:82" x14ac:dyDescent="0.3">
      <c r="H40" s="29" t="str">
        <f t="shared" si="2"/>
        <v/>
      </c>
      <c r="I40" s="12" t="str">
        <f>IF($AX40=0,"Nhân viên",IF($AX40=1,INDEX(Tính!$F$39:$F$83,INDEX($CD$3:$CD$47,$AY40))&amp;" · "&amp;INDEX(Tính!$O$39:$O$83,INDEX($CD$3:$CD$47,$AY40)),IF($AX40=3,"Nhóm hàng",IF($AX40=4,INDEX($BA$3:$BA$22,INDEX($BJ$3:$BJ$22,$AY40)),IF($AX40=5,"Số nhóm đạt",IF($AX40=7,"NHÓM CHÍNH",IF($AX40=8,"NHÓM VƯỢT TRỘI","")))))))</f>
        <v/>
      </c>
      <c r="J40" s="30" t="str">
        <f>IF($AX40=0,"Mục tiêu",IF($AX40=1,FIXED(INDEX(Tính!$J$39:$J$83,INDEX($CD$3:$CD$47,$AY40)),0),IF($AX40=3,"Cả shop",IF($AX40=4,INDEX($BG$3:$BG$22,INDEX($BJ$3:$BJ$22,$AY40)),IF($AX40=5,COUNTIF($BG$3:$BG$22,"&gt;=0.995")&amp;"/"&amp;COUNTIF($BA$3:$BA$22,"?*"),IF($AX40=7,COUNTIFS($BB$3:$BB$22,"Chính",$BG$3:$BG$22,"&gt;=0.995")&amp;"/"&amp;$BK$1,IF($AX40=8,COUNTIFS($BB$3:$BB$22,"Vượt trội",$BG$3:$BG$22,"&gt;=0.995")&amp;"/"&amp;$BL$1,"")))))))</f>
        <v/>
      </c>
      <c r="K40" s="30" t="str">
        <f>IF($AX40=0,"DT QĐ",IF($AX40=1,FIXED(INDEX(Tính!$K$39:$K$83,INDEX($CD$3:$CD$47,$AY40)),1),IF($AX40=3,IF($CD$3="","",INDEX(Tính!$F$39:$F$83,$CD$3)),IF($AX40=4,IF($CD$3="","",INDEX(Tính!$C$182:$V$226,$CD$3,INDEX($BJ$3:$BJ$22,$AY40))),IF($AX40=5,IF($CD$3="","",INDEX(Tính!$P$39:$P$83,$CD$3)&amp;"/"&amp;COUNTIF($BA$3:$BA$22,"?*")),IF($AX40=7,IF($CD$3="","",INDEX(Tính!$Q$39:$Q$83,$CD$3)&amp;"/"&amp;$BK$1),IF($AX40=8,IF($CD$3="","",INDEX(Tính!$R$39:$R$83,$CD$3)&amp;"/"&amp;$BL$1),"")))))))</f>
        <v/>
      </c>
      <c r="L40" s="31" t="str">
        <f>IF($AX40=0,"% HT",IF($AX40=1,INDEX(Tính!$N$39:$N$83,INDEX($CD$3:$CD$47,$AY40)),IF($AX40=3,IF($CD$4="","",INDEX(Tính!$F$39:$F$83,$CD$4)),IF($AX40=4,IF($CD$4="","",INDEX(Tính!$C$182:$V$226,$CD$4,INDEX($BJ$3:$BJ$22,$AY40))),IF($AX40=5,IF($CD$4="","",INDEX(Tính!$P$39:$P$83,$CD$4)&amp;"/"&amp;COUNTIF($BA$3:$BA$22,"?*")),IF($AX40=7,IF($CD$4="","",INDEX(Tính!$Q$39:$Q$83,$CD$4)&amp;"/"&amp;$BK$1),IF($AX40=8,IF($CD$4="","",INDEX(Tính!$R$39:$R$83,$CD$4)&amp;"/"&amp;$BL$1),"")))))))</f>
        <v/>
      </c>
      <c r="M40" s="31" t="str">
        <f>IF($AX40=0,"Dự kiến",IF($AX40=1,INDEX(Tính!$M$39:$M$83,INDEX($CD$3:$CD$47,$AY40)),IF($AX40=3,IF($CD$5="","",INDEX(Tính!$F$39:$F$83,$CD$5)),IF($AX40=4,IF($CD$5="","",INDEX(Tính!$C$182:$V$226,$CD$5,INDEX($BJ$3:$BJ$22,$AY40))),IF($AX40=5,IF($CD$5="","",INDEX(Tính!$P$39:$P$83,$CD$5)&amp;"/"&amp;COUNTIF($BA$3:$BA$22,"?*")),IF($AX40=7,IF($CD$5="","",INDEX(Tính!$Q$39:$Q$83,$CD$5)&amp;"/"&amp;$BK$1),IF($AX40=8,IF($CD$5="","",INDEX(Tính!$R$39:$R$83,$CD$5)&amp;"/"&amp;$BL$1),"")))))))</f>
        <v/>
      </c>
      <c r="N40" s="31" t="str">
        <f>IF($AX40=0,"NH đạt",IF($AX40=1,INDEX(Tính!$P$39:$P$83,INDEX($CD$3:$CD$47,$AY40))&amp;"/"&amp;COUNTIF($BA$3:$BA$22,"?*"),IF($AX40=3,IF($CD$6="","",INDEX(Tính!$F$39:$F$83,$CD$6)),IF($AX40=4,IF($CD$6="","",INDEX(Tính!$C$182:$V$226,$CD$6,INDEX($BJ$3:$BJ$22,$AY40))),IF($AX40=5,IF($CD$6="","",INDEX(Tính!$P$39:$P$83,$CD$6)&amp;"/"&amp;COUNTIF($BA$3:$BA$22,"?*")),IF($AX40=7,IF($CD$6="","",INDEX(Tính!$Q$39:$Q$83,$CD$6)&amp;"/"&amp;$BK$1),IF($AX40=8,IF($CD$6="","",INDEX(Tính!$R$39:$R$83,$CD$6)&amp;"/"&amp;$BL$1),"")))))))</f>
        <v/>
      </c>
      <c r="O40" s="31" t="str">
        <f>IF($AX40=3,IF($CD$7="","",INDEX(Tính!$F$39:$F$83,$CD$7)),IF($AX40=4,IF($CD$7="","",INDEX(Tính!$C$182:$V$226,$CD$7,INDEX($BJ$3:$BJ$22,$AY40))),IF($AX40=5,IF($CD$7="","",INDEX(Tính!$P$39:$P$83,$CD$7)&amp;"/"&amp;COUNTIF($BA$3:$BA$22,"?*")),IF($AX40=7,IF($CD$7="","",INDEX(Tính!$Q$39:$Q$83,$CD$7)&amp;"/"&amp;$BK$1),IF($AX40=8,IF($CD$7="","",INDEX(Tính!$R$39:$R$83,$CD$7)&amp;"/"&amp;$BL$1),"")))))</f>
        <v/>
      </c>
      <c r="P40" s="31" t="str">
        <f>IF($AX40=3,IF($CD$8="","",INDEX(Tính!$F$39:$F$83,$CD$8)),IF($AX40=4,IF($CD$8="","",INDEX(Tính!$C$182:$V$226,$CD$8,INDEX($BJ$3:$BJ$22,$AY40))),IF($AX40=5,IF($CD$8="","",INDEX(Tính!$P$39:$P$83,$CD$8)&amp;"/"&amp;COUNTIF($BA$3:$BA$22,"?*")),IF($AX40=7,IF($CD$8="","",INDEX(Tính!$Q$39:$Q$83,$CD$8)&amp;"/"&amp;$BK$1),IF($AX40=8,IF($CD$8="","",INDEX(Tính!$R$39:$R$83,$CD$8)&amp;"/"&amp;$BL$1),"")))))</f>
        <v/>
      </c>
      <c r="Q40" s="31" t="str">
        <f>IF($AX40=3,IF($CD$9="","",INDEX(Tính!$F$39:$F$83,$CD$9)),IF($AX40=4,IF($CD$9="","",INDEX(Tính!$C$182:$V$226,$CD$9,INDEX($BJ$3:$BJ$22,$AY40))),IF($AX40=5,IF($CD$9="","",INDEX(Tính!$P$39:$P$83,$CD$9)&amp;"/"&amp;COUNTIF($BA$3:$BA$22,"?*")),IF($AX40=7,IF($CD$9="","",INDEX(Tính!$Q$39:$Q$83,$CD$9)&amp;"/"&amp;$BK$1),IF($AX40=8,IF($CD$9="","",INDEX(Tính!$R$39:$R$83,$CD$9)&amp;"/"&amp;$BL$1),"")))))</f>
        <v/>
      </c>
      <c r="R40" s="31" t="str">
        <f>IF($AX40=3,IF($CD$10="","",INDEX(Tính!$F$39:$F$83,$CD$10)),IF($AX40=4,IF($CD$10="","",INDEX(Tính!$C$182:$V$226,$CD$10,INDEX($BJ$3:$BJ$22,$AY40))),IF($AX40=5,IF($CD$10="","",INDEX(Tính!$P$39:$P$83,$CD$10)&amp;"/"&amp;COUNTIF($BA$3:$BA$22,"?*")),IF($AX40=7,IF($CD$10="","",INDEX(Tính!$Q$39:$Q$83,$CD$10)&amp;"/"&amp;$BK$1),IF($AX40=8,IF($CD$10="","",INDEX(Tính!$R$39:$R$83,$CD$10)&amp;"/"&amp;$BL$1),"")))))</f>
        <v/>
      </c>
      <c r="S40" s="31" t="str">
        <f>IF($AX40=3,IF($CD$11="","",INDEX(Tính!$F$39:$F$83,$CD$11)),IF($AX40=4,IF($CD$11="","",INDEX(Tính!$C$182:$V$226,$CD$11,INDEX($BJ$3:$BJ$22,$AY40))),IF($AX40=5,IF($CD$11="","",INDEX(Tính!$P$39:$P$83,$CD$11)&amp;"/"&amp;COUNTIF($BA$3:$BA$22,"?*")),IF($AX40=7,IF($CD$11="","",INDEX(Tính!$Q$39:$Q$83,$CD$11)&amp;"/"&amp;$BK$1),IF($AX40=8,IF($CD$11="","",INDEX(Tính!$R$39:$R$83,$CD$11)&amp;"/"&amp;$BL$1),"")))))</f>
        <v/>
      </c>
      <c r="T40" s="31" t="str">
        <f>IF($AX40=3,IF($CD$12="","",INDEX(Tính!$F$39:$F$83,$CD$12)),IF($AX40=4,IF($CD$12="","",INDEX(Tính!$C$182:$V$226,$CD$12,INDEX($BJ$3:$BJ$22,$AY40))),IF($AX40=5,IF($CD$12="","",INDEX(Tính!$P$39:$P$83,$CD$12)&amp;"/"&amp;COUNTIF($BA$3:$BA$22,"?*")),IF($AX40=7,IF($CD$12="","",INDEX(Tính!$Q$39:$Q$83,$CD$12)&amp;"/"&amp;$BK$1),IF($AX40=8,IF($CD$12="","",INDEX(Tính!$R$39:$R$83,$CD$12)&amp;"/"&amp;$BL$1),"")))))</f>
        <v/>
      </c>
      <c r="U40" s="31" t="str">
        <f>IF($AX40=3,IF($CD$13="","",INDEX(Tính!$F$39:$F$83,$CD$13)),IF($AX40=4,IF($CD$13="","",INDEX(Tính!$C$182:$V$226,$CD$13,INDEX($BJ$3:$BJ$22,$AY40))),IF($AX40=5,IF($CD$13="","",INDEX(Tính!$P$39:$P$83,$CD$13)&amp;"/"&amp;COUNTIF($BA$3:$BA$22,"?*")),IF($AX40=7,IF($CD$13="","",INDEX(Tính!$Q$39:$Q$83,$CD$13)&amp;"/"&amp;$BK$1),IF($AX40=8,IF($CD$13="","",INDEX(Tính!$R$39:$R$83,$CD$13)&amp;"/"&amp;$BL$1),"")))))</f>
        <v/>
      </c>
      <c r="V40" s="31" t="str">
        <f>IF($AX40=3,IF($CD$14="","",INDEX(Tính!$F$39:$F$83,$CD$14)),IF($AX40=4,IF($CD$14="","",INDEX(Tính!$C$182:$V$226,$CD$14,INDEX($BJ$3:$BJ$22,$AY40))),IF($AX40=5,IF($CD$14="","",INDEX(Tính!$P$39:$P$83,$CD$14)&amp;"/"&amp;COUNTIF($BA$3:$BA$22,"?*")),IF($AX40=7,IF($CD$14="","",INDEX(Tính!$Q$39:$Q$83,$CD$14)&amp;"/"&amp;$BK$1),IF($AX40=8,IF($CD$14="","",INDEX(Tính!$R$39:$R$83,$CD$14)&amp;"/"&amp;$BL$1),"")))))</f>
        <v/>
      </c>
      <c r="W40" s="31" t="str">
        <f>IF($AX40=3,IF($CD$15="","",INDEX(Tính!$F$39:$F$83,$CD$15)),IF($AX40=4,IF($CD$15="","",INDEX(Tính!$C$182:$V$226,$CD$15,INDEX($BJ$3:$BJ$22,$AY40))),IF($AX40=5,IF($CD$15="","",INDEX(Tính!$P$39:$P$83,$CD$15)&amp;"/"&amp;COUNTIF($BA$3:$BA$22,"?*")),IF($AX40=7,IF($CD$15="","",INDEX(Tính!$Q$39:$Q$83,$CD$15)&amp;"/"&amp;$BK$1),IF($AX40=8,IF($CD$15="","",INDEX(Tính!$R$39:$R$83,$CD$15)&amp;"/"&amp;$BL$1),"")))))</f>
        <v/>
      </c>
      <c r="X40" s="31" t="str">
        <f>IF($AX40=3,IF($CD$16="","",INDEX(Tính!$F$39:$F$83,$CD$16)),IF($AX40=4,IF($CD$16="","",INDEX(Tính!$C$182:$V$226,$CD$16,INDEX($BJ$3:$BJ$22,$AY40))),IF($AX40=5,IF($CD$16="","",INDEX(Tính!$P$39:$P$83,$CD$16)&amp;"/"&amp;COUNTIF($BA$3:$BA$22,"?*")),IF($AX40=7,IF($CD$16="","",INDEX(Tính!$Q$39:$Q$83,$CD$16)&amp;"/"&amp;$BK$1),IF($AX40=8,IF($CD$16="","",INDEX(Tính!$R$39:$R$83,$CD$16)&amp;"/"&amp;$BL$1),"")))))</f>
        <v/>
      </c>
      <c r="Y40" s="31" t="str">
        <f>IF($AX40=3,IF($CD$17="","",INDEX(Tính!$F$39:$F$83,$CD$17)),IF($AX40=4,IF($CD$17="","",INDEX(Tính!$C$182:$V$226,$CD$17,INDEX($BJ$3:$BJ$22,$AY40))),IF($AX40=5,IF($CD$17="","",INDEX(Tính!$P$39:$P$83,$CD$17)&amp;"/"&amp;COUNTIF($BA$3:$BA$22,"?*")),IF($AX40=7,IF($CD$17="","",INDEX(Tính!$Q$39:$Q$83,$CD$17)&amp;"/"&amp;$BK$1),IF($AX40=8,IF($CD$17="","",INDEX(Tính!$R$39:$R$83,$CD$17)&amp;"/"&amp;$BL$1),"")))))</f>
        <v/>
      </c>
      <c r="Z40" s="31" t="str">
        <f>IF($AX40=3,IF($CD$18="","",INDEX(Tính!$F$39:$F$83,$CD$18)),IF($AX40=4,IF($CD$18="","",INDEX(Tính!$C$182:$V$226,$CD$18,INDEX($BJ$3:$BJ$22,$AY40))),IF($AX40=5,IF($CD$18="","",INDEX(Tính!$P$39:$P$83,$CD$18)&amp;"/"&amp;COUNTIF($BA$3:$BA$22,"?*")),IF($AX40=7,IF($CD$18="","",INDEX(Tính!$Q$39:$Q$83,$CD$18)&amp;"/"&amp;$BK$1),IF($AX40=8,IF($CD$18="","",INDEX(Tính!$R$39:$R$83,$CD$18)&amp;"/"&amp;$BL$1),"")))))</f>
        <v/>
      </c>
      <c r="AA40" s="31" t="str">
        <f>IF($AX40=3,IF($CD$19="","",INDEX(Tính!$F$39:$F$83,$CD$19)),IF($AX40=4,IF($CD$19="","",INDEX(Tính!$C$182:$V$226,$CD$19,INDEX($BJ$3:$BJ$22,$AY40))),IF($AX40=5,IF($CD$19="","",INDEX(Tính!$P$39:$P$83,$CD$19)&amp;"/"&amp;COUNTIF($BA$3:$BA$22,"?*")),IF($AX40=7,IF($CD$19="","",INDEX(Tính!$Q$39:$Q$83,$CD$19)&amp;"/"&amp;$BK$1),IF($AX40=8,IF($CD$19="","",INDEX(Tính!$R$39:$R$83,$CD$19)&amp;"/"&amp;$BL$1),"")))))</f>
        <v/>
      </c>
      <c r="AB40" s="31" t="str">
        <f>IF($AX40=3,IF($CD$20="","",INDEX(Tính!$F$39:$F$83,$CD$20)),IF($AX40=4,IF($CD$20="","",INDEX(Tính!$C$182:$V$226,$CD$20,INDEX($BJ$3:$BJ$22,$AY40))),IF($AX40=5,IF($CD$20="","",INDEX(Tính!$P$39:$P$83,$CD$20)&amp;"/"&amp;COUNTIF($BA$3:$BA$22,"?*")),IF($AX40=7,IF($CD$20="","",INDEX(Tính!$Q$39:$Q$83,$CD$20)&amp;"/"&amp;$BK$1),IF($AX40=8,IF($CD$20="","",INDEX(Tính!$R$39:$R$83,$CD$20)&amp;"/"&amp;$BL$1),"")))))</f>
        <v/>
      </c>
      <c r="AC40" s="31" t="str">
        <f>IF($AX40=3,IF($CD$21="","",INDEX(Tính!$F$39:$F$83,$CD$21)),IF($AX40=4,IF($CD$21="","",INDEX(Tính!$C$182:$V$226,$CD$21,INDEX($BJ$3:$BJ$22,$AY40))),IF($AX40=5,IF($CD$21="","",INDEX(Tính!$P$39:$P$83,$CD$21)&amp;"/"&amp;COUNTIF($BA$3:$BA$22,"?*")),IF($AX40=7,IF($CD$21="","",INDEX(Tính!$Q$39:$Q$83,$CD$21)&amp;"/"&amp;$BK$1),IF($AX40=8,IF($CD$21="","",INDEX(Tính!$R$39:$R$83,$CD$21)&amp;"/"&amp;$BL$1),"")))))</f>
        <v/>
      </c>
      <c r="AD40" s="31" t="str">
        <f>IF($AX40=3,IF($CD$22="","",INDEX(Tính!$F$39:$F$83,$CD$22)),IF($AX40=4,IF($CD$22="","",INDEX(Tính!$C$182:$V$226,$CD$22,INDEX($BJ$3:$BJ$22,$AY40))),IF($AX40=5,IF($CD$22="","",INDEX(Tính!$P$39:$P$83,$CD$22)&amp;"/"&amp;COUNTIF($BA$3:$BA$22,"?*")),IF($AX40=7,IF($CD$22="","",INDEX(Tính!$Q$39:$Q$83,$CD$22)&amp;"/"&amp;$BK$1),IF($AX40=8,IF($CD$22="","",INDEX(Tính!$R$39:$R$83,$CD$22)&amp;"/"&amp;$BL$1),"")))))</f>
        <v/>
      </c>
      <c r="AX40">
        <f>IF(36=0,0,IF(36&lt;=$AX$1,1,IF(36=$AX$1+1,2,IF(36=$AX$1+2,3,IF((36-$AX$1-2)&lt;=$AX$3,IF(INDEX($BK$3:$BK$24,(36-$AX$1-2))="C",7,IF(INDEX($BK$3:$BK$24,(36-$AX$1-2))="V",8,4)),IF((36-$AX$1-2)=$AX$3+1,5,6))))))</f>
        <v>6</v>
      </c>
      <c r="AY40">
        <f>IF(AX40=1,36,IF(AX40=4,INDEX($BL$3:$BL$24,(36-$AX$1-2)),0))</f>
        <v>0</v>
      </c>
      <c r="CA40">
        <v>38</v>
      </c>
      <c r="CB40">
        <f>IF(Tính!B76="",0,IF(OR($AZ$1=0,Tính!D76=$AZ$1),1,0))</f>
        <v>0</v>
      </c>
      <c r="CC40">
        <f>IF(CB40=1,Tính!M76+1+(45-38)/1000000,-1)</f>
        <v>-1</v>
      </c>
      <c r="CD40" t="str">
        <f>IF(LARGE($CC$3:$CC$47,38)&lt;0,"",MATCH(LARGE($CC$3:$CC$47,38),$CC$3:$CC$47,0))</f>
        <v/>
      </c>
    </row>
    <row r="41" spans="8:82" x14ac:dyDescent="0.3">
      <c r="H41" s="29" t="str">
        <f t="shared" si="2"/>
        <v/>
      </c>
      <c r="I41" s="12" t="str">
        <f>IF($AX41=0,"Nhân viên",IF($AX41=1,INDEX(Tính!$F$39:$F$83,INDEX($CD$3:$CD$47,$AY41))&amp;" · "&amp;INDEX(Tính!$O$39:$O$83,INDEX($CD$3:$CD$47,$AY41)),IF($AX41=3,"Nhóm hàng",IF($AX41=4,INDEX($BA$3:$BA$22,INDEX($BJ$3:$BJ$22,$AY41)),IF($AX41=5,"Số nhóm đạt",IF($AX41=7,"NHÓM CHÍNH",IF($AX41=8,"NHÓM VƯỢT TRỘI","")))))))</f>
        <v/>
      </c>
      <c r="J41" s="30" t="str">
        <f>IF($AX41=0,"Mục tiêu",IF($AX41=1,FIXED(INDEX(Tính!$J$39:$J$83,INDEX($CD$3:$CD$47,$AY41)),0),IF($AX41=3,"Cả shop",IF($AX41=4,INDEX($BG$3:$BG$22,INDEX($BJ$3:$BJ$22,$AY41)),IF($AX41=5,COUNTIF($BG$3:$BG$22,"&gt;=0.995")&amp;"/"&amp;COUNTIF($BA$3:$BA$22,"?*"),IF($AX41=7,COUNTIFS($BB$3:$BB$22,"Chính",$BG$3:$BG$22,"&gt;=0.995")&amp;"/"&amp;$BK$1,IF($AX41=8,COUNTIFS($BB$3:$BB$22,"Vượt trội",$BG$3:$BG$22,"&gt;=0.995")&amp;"/"&amp;$BL$1,"")))))))</f>
        <v/>
      </c>
      <c r="K41" s="30" t="str">
        <f>IF($AX41=0,"DT QĐ",IF($AX41=1,FIXED(INDEX(Tính!$K$39:$K$83,INDEX($CD$3:$CD$47,$AY41)),1),IF($AX41=3,IF($CD$3="","",INDEX(Tính!$F$39:$F$83,$CD$3)),IF($AX41=4,IF($CD$3="","",INDEX(Tính!$C$182:$V$226,$CD$3,INDEX($BJ$3:$BJ$22,$AY41))),IF($AX41=5,IF($CD$3="","",INDEX(Tính!$P$39:$P$83,$CD$3)&amp;"/"&amp;COUNTIF($BA$3:$BA$22,"?*")),IF($AX41=7,IF($CD$3="","",INDEX(Tính!$Q$39:$Q$83,$CD$3)&amp;"/"&amp;$BK$1),IF($AX41=8,IF($CD$3="","",INDEX(Tính!$R$39:$R$83,$CD$3)&amp;"/"&amp;$BL$1),"")))))))</f>
        <v/>
      </c>
      <c r="L41" s="31" t="str">
        <f>IF($AX41=0,"% HT",IF($AX41=1,INDEX(Tính!$N$39:$N$83,INDEX($CD$3:$CD$47,$AY41)),IF($AX41=3,IF($CD$4="","",INDEX(Tính!$F$39:$F$83,$CD$4)),IF($AX41=4,IF($CD$4="","",INDEX(Tính!$C$182:$V$226,$CD$4,INDEX($BJ$3:$BJ$22,$AY41))),IF($AX41=5,IF($CD$4="","",INDEX(Tính!$P$39:$P$83,$CD$4)&amp;"/"&amp;COUNTIF($BA$3:$BA$22,"?*")),IF($AX41=7,IF($CD$4="","",INDEX(Tính!$Q$39:$Q$83,$CD$4)&amp;"/"&amp;$BK$1),IF($AX41=8,IF($CD$4="","",INDEX(Tính!$R$39:$R$83,$CD$4)&amp;"/"&amp;$BL$1),"")))))))</f>
        <v/>
      </c>
      <c r="M41" s="31" t="str">
        <f>IF($AX41=0,"Dự kiến",IF($AX41=1,INDEX(Tính!$M$39:$M$83,INDEX($CD$3:$CD$47,$AY41)),IF($AX41=3,IF($CD$5="","",INDEX(Tính!$F$39:$F$83,$CD$5)),IF($AX41=4,IF($CD$5="","",INDEX(Tính!$C$182:$V$226,$CD$5,INDEX($BJ$3:$BJ$22,$AY41))),IF($AX41=5,IF($CD$5="","",INDEX(Tính!$P$39:$P$83,$CD$5)&amp;"/"&amp;COUNTIF($BA$3:$BA$22,"?*")),IF($AX41=7,IF($CD$5="","",INDEX(Tính!$Q$39:$Q$83,$CD$5)&amp;"/"&amp;$BK$1),IF($AX41=8,IF($CD$5="","",INDEX(Tính!$R$39:$R$83,$CD$5)&amp;"/"&amp;$BL$1),"")))))))</f>
        <v/>
      </c>
      <c r="N41" s="31" t="str">
        <f>IF($AX41=0,"NH đạt",IF($AX41=1,INDEX(Tính!$P$39:$P$83,INDEX($CD$3:$CD$47,$AY41))&amp;"/"&amp;COUNTIF($BA$3:$BA$22,"?*"),IF($AX41=3,IF($CD$6="","",INDEX(Tính!$F$39:$F$83,$CD$6)),IF($AX41=4,IF($CD$6="","",INDEX(Tính!$C$182:$V$226,$CD$6,INDEX($BJ$3:$BJ$22,$AY41))),IF($AX41=5,IF($CD$6="","",INDEX(Tính!$P$39:$P$83,$CD$6)&amp;"/"&amp;COUNTIF($BA$3:$BA$22,"?*")),IF($AX41=7,IF($CD$6="","",INDEX(Tính!$Q$39:$Q$83,$CD$6)&amp;"/"&amp;$BK$1),IF($AX41=8,IF($CD$6="","",INDEX(Tính!$R$39:$R$83,$CD$6)&amp;"/"&amp;$BL$1),"")))))))</f>
        <v/>
      </c>
      <c r="O41" s="31" t="str">
        <f>IF($AX41=3,IF($CD$7="","",INDEX(Tính!$F$39:$F$83,$CD$7)),IF($AX41=4,IF($CD$7="","",INDEX(Tính!$C$182:$V$226,$CD$7,INDEX($BJ$3:$BJ$22,$AY41))),IF($AX41=5,IF($CD$7="","",INDEX(Tính!$P$39:$P$83,$CD$7)&amp;"/"&amp;COUNTIF($BA$3:$BA$22,"?*")),IF($AX41=7,IF($CD$7="","",INDEX(Tính!$Q$39:$Q$83,$CD$7)&amp;"/"&amp;$BK$1),IF($AX41=8,IF($CD$7="","",INDEX(Tính!$R$39:$R$83,$CD$7)&amp;"/"&amp;$BL$1),"")))))</f>
        <v/>
      </c>
      <c r="P41" s="31" t="str">
        <f>IF($AX41=3,IF($CD$8="","",INDEX(Tính!$F$39:$F$83,$CD$8)),IF($AX41=4,IF($CD$8="","",INDEX(Tính!$C$182:$V$226,$CD$8,INDEX($BJ$3:$BJ$22,$AY41))),IF($AX41=5,IF($CD$8="","",INDEX(Tính!$P$39:$P$83,$CD$8)&amp;"/"&amp;COUNTIF($BA$3:$BA$22,"?*")),IF($AX41=7,IF($CD$8="","",INDEX(Tính!$Q$39:$Q$83,$CD$8)&amp;"/"&amp;$BK$1),IF($AX41=8,IF($CD$8="","",INDEX(Tính!$R$39:$R$83,$CD$8)&amp;"/"&amp;$BL$1),"")))))</f>
        <v/>
      </c>
      <c r="Q41" s="31" t="str">
        <f>IF($AX41=3,IF($CD$9="","",INDEX(Tính!$F$39:$F$83,$CD$9)),IF($AX41=4,IF($CD$9="","",INDEX(Tính!$C$182:$V$226,$CD$9,INDEX($BJ$3:$BJ$22,$AY41))),IF($AX41=5,IF($CD$9="","",INDEX(Tính!$P$39:$P$83,$CD$9)&amp;"/"&amp;COUNTIF($BA$3:$BA$22,"?*")),IF($AX41=7,IF($CD$9="","",INDEX(Tính!$Q$39:$Q$83,$CD$9)&amp;"/"&amp;$BK$1),IF($AX41=8,IF($CD$9="","",INDEX(Tính!$R$39:$R$83,$CD$9)&amp;"/"&amp;$BL$1),"")))))</f>
        <v/>
      </c>
      <c r="R41" s="31" t="str">
        <f>IF($AX41=3,IF($CD$10="","",INDEX(Tính!$F$39:$F$83,$CD$10)),IF($AX41=4,IF($CD$10="","",INDEX(Tính!$C$182:$V$226,$CD$10,INDEX($BJ$3:$BJ$22,$AY41))),IF($AX41=5,IF($CD$10="","",INDEX(Tính!$P$39:$P$83,$CD$10)&amp;"/"&amp;COUNTIF($BA$3:$BA$22,"?*")),IF($AX41=7,IF($CD$10="","",INDEX(Tính!$Q$39:$Q$83,$CD$10)&amp;"/"&amp;$BK$1),IF($AX41=8,IF($CD$10="","",INDEX(Tính!$R$39:$R$83,$CD$10)&amp;"/"&amp;$BL$1),"")))))</f>
        <v/>
      </c>
      <c r="S41" s="31" t="str">
        <f>IF($AX41=3,IF($CD$11="","",INDEX(Tính!$F$39:$F$83,$CD$11)),IF($AX41=4,IF($CD$11="","",INDEX(Tính!$C$182:$V$226,$CD$11,INDEX($BJ$3:$BJ$22,$AY41))),IF($AX41=5,IF($CD$11="","",INDEX(Tính!$P$39:$P$83,$CD$11)&amp;"/"&amp;COUNTIF($BA$3:$BA$22,"?*")),IF($AX41=7,IF($CD$11="","",INDEX(Tính!$Q$39:$Q$83,$CD$11)&amp;"/"&amp;$BK$1),IF($AX41=8,IF($CD$11="","",INDEX(Tính!$R$39:$R$83,$CD$11)&amp;"/"&amp;$BL$1),"")))))</f>
        <v/>
      </c>
      <c r="T41" s="31" t="str">
        <f>IF($AX41=3,IF($CD$12="","",INDEX(Tính!$F$39:$F$83,$CD$12)),IF($AX41=4,IF($CD$12="","",INDEX(Tính!$C$182:$V$226,$CD$12,INDEX($BJ$3:$BJ$22,$AY41))),IF($AX41=5,IF($CD$12="","",INDEX(Tính!$P$39:$P$83,$CD$12)&amp;"/"&amp;COUNTIF($BA$3:$BA$22,"?*")),IF($AX41=7,IF($CD$12="","",INDEX(Tính!$Q$39:$Q$83,$CD$12)&amp;"/"&amp;$BK$1),IF($AX41=8,IF($CD$12="","",INDEX(Tính!$R$39:$R$83,$CD$12)&amp;"/"&amp;$BL$1),"")))))</f>
        <v/>
      </c>
      <c r="U41" s="31" t="str">
        <f>IF($AX41=3,IF($CD$13="","",INDEX(Tính!$F$39:$F$83,$CD$13)),IF($AX41=4,IF($CD$13="","",INDEX(Tính!$C$182:$V$226,$CD$13,INDEX($BJ$3:$BJ$22,$AY41))),IF($AX41=5,IF($CD$13="","",INDEX(Tính!$P$39:$P$83,$CD$13)&amp;"/"&amp;COUNTIF($BA$3:$BA$22,"?*")),IF($AX41=7,IF($CD$13="","",INDEX(Tính!$Q$39:$Q$83,$CD$13)&amp;"/"&amp;$BK$1),IF($AX41=8,IF($CD$13="","",INDEX(Tính!$R$39:$R$83,$CD$13)&amp;"/"&amp;$BL$1),"")))))</f>
        <v/>
      </c>
      <c r="V41" s="31" t="str">
        <f>IF($AX41=3,IF($CD$14="","",INDEX(Tính!$F$39:$F$83,$CD$14)),IF($AX41=4,IF($CD$14="","",INDEX(Tính!$C$182:$V$226,$CD$14,INDEX($BJ$3:$BJ$22,$AY41))),IF($AX41=5,IF($CD$14="","",INDEX(Tính!$P$39:$P$83,$CD$14)&amp;"/"&amp;COUNTIF($BA$3:$BA$22,"?*")),IF($AX41=7,IF($CD$14="","",INDEX(Tính!$Q$39:$Q$83,$CD$14)&amp;"/"&amp;$BK$1),IF($AX41=8,IF($CD$14="","",INDEX(Tính!$R$39:$R$83,$CD$14)&amp;"/"&amp;$BL$1),"")))))</f>
        <v/>
      </c>
      <c r="W41" s="31" t="str">
        <f>IF($AX41=3,IF($CD$15="","",INDEX(Tính!$F$39:$F$83,$CD$15)),IF($AX41=4,IF($CD$15="","",INDEX(Tính!$C$182:$V$226,$CD$15,INDEX($BJ$3:$BJ$22,$AY41))),IF($AX41=5,IF($CD$15="","",INDEX(Tính!$P$39:$P$83,$CD$15)&amp;"/"&amp;COUNTIF($BA$3:$BA$22,"?*")),IF($AX41=7,IF($CD$15="","",INDEX(Tính!$Q$39:$Q$83,$CD$15)&amp;"/"&amp;$BK$1),IF($AX41=8,IF($CD$15="","",INDEX(Tính!$R$39:$R$83,$CD$15)&amp;"/"&amp;$BL$1),"")))))</f>
        <v/>
      </c>
      <c r="X41" s="31" t="str">
        <f>IF($AX41=3,IF($CD$16="","",INDEX(Tính!$F$39:$F$83,$CD$16)),IF($AX41=4,IF($CD$16="","",INDEX(Tính!$C$182:$V$226,$CD$16,INDEX($BJ$3:$BJ$22,$AY41))),IF($AX41=5,IF($CD$16="","",INDEX(Tính!$P$39:$P$83,$CD$16)&amp;"/"&amp;COUNTIF($BA$3:$BA$22,"?*")),IF($AX41=7,IF($CD$16="","",INDEX(Tính!$Q$39:$Q$83,$CD$16)&amp;"/"&amp;$BK$1),IF($AX41=8,IF($CD$16="","",INDEX(Tính!$R$39:$R$83,$CD$16)&amp;"/"&amp;$BL$1),"")))))</f>
        <v/>
      </c>
      <c r="Y41" s="31" t="str">
        <f>IF($AX41=3,IF($CD$17="","",INDEX(Tính!$F$39:$F$83,$CD$17)),IF($AX41=4,IF($CD$17="","",INDEX(Tính!$C$182:$V$226,$CD$17,INDEX($BJ$3:$BJ$22,$AY41))),IF($AX41=5,IF($CD$17="","",INDEX(Tính!$P$39:$P$83,$CD$17)&amp;"/"&amp;COUNTIF($BA$3:$BA$22,"?*")),IF($AX41=7,IF($CD$17="","",INDEX(Tính!$Q$39:$Q$83,$CD$17)&amp;"/"&amp;$BK$1),IF($AX41=8,IF($CD$17="","",INDEX(Tính!$R$39:$R$83,$CD$17)&amp;"/"&amp;$BL$1),"")))))</f>
        <v/>
      </c>
      <c r="Z41" s="31" t="str">
        <f>IF($AX41=3,IF($CD$18="","",INDEX(Tính!$F$39:$F$83,$CD$18)),IF($AX41=4,IF($CD$18="","",INDEX(Tính!$C$182:$V$226,$CD$18,INDEX($BJ$3:$BJ$22,$AY41))),IF($AX41=5,IF($CD$18="","",INDEX(Tính!$P$39:$P$83,$CD$18)&amp;"/"&amp;COUNTIF($BA$3:$BA$22,"?*")),IF($AX41=7,IF($CD$18="","",INDEX(Tính!$Q$39:$Q$83,$CD$18)&amp;"/"&amp;$BK$1),IF($AX41=8,IF($CD$18="","",INDEX(Tính!$R$39:$R$83,$CD$18)&amp;"/"&amp;$BL$1),"")))))</f>
        <v/>
      </c>
      <c r="AA41" s="31" t="str">
        <f>IF($AX41=3,IF($CD$19="","",INDEX(Tính!$F$39:$F$83,$CD$19)),IF($AX41=4,IF($CD$19="","",INDEX(Tính!$C$182:$V$226,$CD$19,INDEX($BJ$3:$BJ$22,$AY41))),IF($AX41=5,IF($CD$19="","",INDEX(Tính!$P$39:$P$83,$CD$19)&amp;"/"&amp;COUNTIF($BA$3:$BA$22,"?*")),IF($AX41=7,IF($CD$19="","",INDEX(Tính!$Q$39:$Q$83,$CD$19)&amp;"/"&amp;$BK$1),IF($AX41=8,IF($CD$19="","",INDEX(Tính!$R$39:$R$83,$CD$19)&amp;"/"&amp;$BL$1),"")))))</f>
        <v/>
      </c>
      <c r="AB41" s="31" t="str">
        <f>IF($AX41=3,IF($CD$20="","",INDEX(Tính!$F$39:$F$83,$CD$20)),IF($AX41=4,IF($CD$20="","",INDEX(Tính!$C$182:$V$226,$CD$20,INDEX($BJ$3:$BJ$22,$AY41))),IF($AX41=5,IF($CD$20="","",INDEX(Tính!$P$39:$P$83,$CD$20)&amp;"/"&amp;COUNTIF($BA$3:$BA$22,"?*")),IF($AX41=7,IF($CD$20="","",INDEX(Tính!$Q$39:$Q$83,$CD$20)&amp;"/"&amp;$BK$1),IF($AX41=8,IF($CD$20="","",INDEX(Tính!$R$39:$R$83,$CD$20)&amp;"/"&amp;$BL$1),"")))))</f>
        <v/>
      </c>
      <c r="AC41" s="31" t="str">
        <f>IF($AX41=3,IF($CD$21="","",INDEX(Tính!$F$39:$F$83,$CD$21)),IF($AX41=4,IF($CD$21="","",INDEX(Tính!$C$182:$V$226,$CD$21,INDEX($BJ$3:$BJ$22,$AY41))),IF($AX41=5,IF($CD$21="","",INDEX(Tính!$P$39:$P$83,$CD$21)&amp;"/"&amp;COUNTIF($BA$3:$BA$22,"?*")),IF($AX41=7,IF($CD$21="","",INDEX(Tính!$Q$39:$Q$83,$CD$21)&amp;"/"&amp;$BK$1),IF($AX41=8,IF($CD$21="","",INDEX(Tính!$R$39:$R$83,$CD$21)&amp;"/"&amp;$BL$1),"")))))</f>
        <v/>
      </c>
      <c r="AD41" s="31" t="str">
        <f>IF($AX41=3,IF($CD$22="","",INDEX(Tính!$F$39:$F$83,$CD$22)),IF($AX41=4,IF($CD$22="","",INDEX(Tính!$C$182:$V$226,$CD$22,INDEX($BJ$3:$BJ$22,$AY41))),IF($AX41=5,IF($CD$22="","",INDEX(Tính!$P$39:$P$83,$CD$22)&amp;"/"&amp;COUNTIF($BA$3:$BA$22,"?*")),IF($AX41=7,IF($CD$22="","",INDEX(Tính!$Q$39:$Q$83,$CD$22)&amp;"/"&amp;$BK$1),IF($AX41=8,IF($CD$22="","",INDEX(Tính!$R$39:$R$83,$CD$22)&amp;"/"&amp;$BL$1),"")))))</f>
        <v/>
      </c>
      <c r="AX41">
        <f>IF(37=0,0,IF(37&lt;=$AX$1,1,IF(37=$AX$1+1,2,IF(37=$AX$1+2,3,IF((37-$AX$1-2)&lt;=$AX$3,IF(INDEX($BK$3:$BK$24,(37-$AX$1-2))="C",7,IF(INDEX($BK$3:$BK$24,(37-$AX$1-2))="V",8,4)),IF((37-$AX$1-2)=$AX$3+1,5,6))))))</f>
        <v>6</v>
      </c>
      <c r="AY41">
        <f>IF(AX41=1,37,IF(AX41=4,INDEX($BL$3:$BL$24,(37-$AX$1-2)),0))</f>
        <v>0</v>
      </c>
      <c r="CA41">
        <v>39</v>
      </c>
      <c r="CB41">
        <f>IF(Tính!B77="",0,IF(OR($AZ$1=0,Tính!D77=$AZ$1),1,0))</f>
        <v>0</v>
      </c>
      <c r="CC41">
        <f>IF(CB41=1,Tính!M77+1+(45-39)/1000000,-1)</f>
        <v>-1</v>
      </c>
      <c r="CD41" t="str">
        <f>IF(LARGE($CC$3:$CC$47,39)&lt;0,"",MATCH(LARGE($CC$3:$CC$47,39),$CC$3:$CC$47,0))</f>
        <v/>
      </c>
    </row>
    <row r="42" spans="8:82" x14ac:dyDescent="0.3">
      <c r="H42" s="29" t="str">
        <f t="shared" si="2"/>
        <v/>
      </c>
      <c r="I42" s="12" t="str">
        <f>IF($AX42=0,"Nhân viên",IF($AX42=1,INDEX(Tính!$F$39:$F$83,INDEX($CD$3:$CD$47,$AY42))&amp;" · "&amp;INDEX(Tính!$O$39:$O$83,INDEX($CD$3:$CD$47,$AY42)),IF($AX42=3,"Nhóm hàng",IF($AX42=4,INDEX($BA$3:$BA$22,INDEX($BJ$3:$BJ$22,$AY42)),IF($AX42=5,"Số nhóm đạt",IF($AX42=7,"NHÓM CHÍNH",IF($AX42=8,"NHÓM VƯỢT TRỘI","")))))))</f>
        <v/>
      </c>
      <c r="J42" s="30" t="str">
        <f>IF($AX42=0,"Mục tiêu",IF($AX42=1,FIXED(INDEX(Tính!$J$39:$J$83,INDEX($CD$3:$CD$47,$AY42)),0),IF($AX42=3,"Cả shop",IF($AX42=4,INDEX($BG$3:$BG$22,INDEX($BJ$3:$BJ$22,$AY42)),IF($AX42=5,COUNTIF($BG$3:$BG$22,"&gt;=0.995")&amp;"/"&amp;COUNTIF($BA$3:$BA$22,"?*"),IF($AX42=7,COUNTIFS($BB$3:$BB$22,"Chính",$BG$3:$BG$22,"&gt;=0.995")&amp;"/"&amp;$BK$1,IF($AX42=8,COUNTIFS($BB$3:$BB$22,"Vượt trội",$BG$3:$BG$22,"&gt;=0.995")&amp;"/"&amp;$BL$1,"")))))))</f>
        <v/>
      </c>
      <c r="K42" s="30" t="str">
        <f>IF($AX42=0,"DT QĐ",IF($AX42=1,FIXED(INDEX(Tính!$K$39:$K$83,INDEX($CD$3:$CD$47,$AY42)),1),IF($AX42=3,IF($CD$3="","",INDEX(Tính!$F$39:$F$83,$CD$3)),IF($AX42=4,IF($CD$3="","",INDEX(Tính!$C$182:$V$226,$CD$3,INDEX($BJ$3:$BJ$22,$AY42))),IF($AX42=5,IF($CD$3="","",INDEX(Tính!$P$39:$P$83,$CD$3)&amp;"/"&amp;COUNTIF($BA$3:$BA$22,"?*")),IF($AX42=7,IF($CD$3="","",INDEX(Tính!$Q$39:$Q$83,$CD$3)&amp;"/"&amp;$BK$1),IF($AX42=8,IF($CD$3="","",INDEX(Tính!$R$39:$R$83,$CD$3)&amp;"/"&amp;$BL$1),"")))))))</f>
        <v/>
      </c>
      <c r="L42" s="31" t="str">
        <f>IF($AX42=0,"% HT",IF($AX42=1,INDEX(Tính!$N$39:$N$83,INDEX($CD$3:$CD$47,$AY42)),IF($AX42=3,IF($CD$4="","",INDEX(Tính!$F$39:$F$83,$CD$4)),IF($AX42=4,IF($CD$4="","",INDEX(Tính!$C$182:$V$226,$CD$4,INDEX($BJ$3:$BJ$22,$AY42))),IF($AX42=5,IF($CD$4="","",INDEX(Tính!$P$39:$P$83,$CD$4)&amp;"/"&amp;COUNTIF($BA$3:$BA$22,"?*")),IF($AX42=7,IF($CD$4="","",INDEX(Tính!$Q$39:$Q$83,$CD$4)&amp;"/"&amp;$BK$1),IF($AX42=8,IF($CD$4="","",INDEX(Tính!$R$39:$R$83,$CD$4)&amp;"/"&amp;$BL$1),"")))))))</f>
        <v/>
      </c>
      <c r="M42" s="31" t="str">
        <f>IF($AX42=0,"Dự kiến",IF($AX42=1,INDEX(Tính!$M$39:$M$83,INDEX($CD$3:$CD$47,$AY42)),IF($AX42=3,IF($CD$5="","",INDEX(Tính!$F$39:$F$83,$CD$5)),IF($AX42=4,IF($CD$5="","",INDEX(Tính!$C$182:$V$226,$CD$5,INDEX($BJ$3:$BJ$22,$AY42))),IF($AX42=5,IF($CD$5="","",INDEX(Tính!$P$39:$P$83,$CD$5)&amp;"/"&amp;COUNTIF($BA$3:$BA$22,"?*")),IF($AX42=7,IF($CD$5="","",INDEX(Tính!$Q$39:$Q$83,$CD$5)&amp;"/"&amp;$BK$1),IF($AX42=8,IF($CD$5="","",INDEX(Tính!$R$39:$R$83,$CD$5)&amp;"/"&amp;$BL$1),"")))))))</f>
        <v/>
      </c>
      <c r="N42" s="31" t="str">
        <f>IF($AX42=0,"NH đạt",IF($AX42=1,INDEX(Tính!$P$39:$P$83,INDEX($CD$3:$CD$47,$AY42))&amp;"/"&amp;COUNTIF($BA$3:$BA$22,"?*"),IF($AX42=3,IF($CD$6="","",INDEX(Tính!$F$39:$F$83,$CD$6)),IF($AX42=4,IF($CD$6="","",INDEX(Tính!$C$182:$V$226,$CD$6,INDEX($BJ$3:$BJ$22,$AY42))),IF($AX42=5,IF($CD$6="","",INDEX(Tính!$P$39:$P$83,$CD$6)&amp;"/"&amp;COUNTIF($BA$3:$BA$22,"?*")),IF($AX42=7,IF($CD$6="","",INDEX(Tính!$Q$39:$Q$83,$CD$6)&amp;"/"&amp;$BK$1),IF($AX42=8,IF($CD$6="","",INDEX(Tính!$R$39:$R$83,$CD$6)&amp;"/"&amp;$BL$1),"")))))))</f>
        <v/>
      </c>
      <c r="O42" s="31" t="str">
        <f>IF($AX42=3,IF($CD$7="","",INDEX(Tính!$F$39:$F$83,$CD$7)),IF($AX42=4,IF($CD$7="","",INDEX(Tính!$C$182:$V$226,$CD$7,INDEX($BJ$3:$BJ$22,$AY42))),IF($AX42=5,IF($CD$7="","",INDEX(Tính!$P$39:$P$83,$CD$7)&amp;"/"&amp;COUNTIF($BA$3:$BA$22,"?*")),IF($AX42=7,IF($CD$7="","",INDEX(Tính!$Q$39:$Q$83,$CD$7)&amp;"/"&amp;$BK$1),IF($AX42=8,IF($CD$7="","",INDEX(Tính!$R$39:$R$83,$CD$7)&amp;"/"&amp;$BL$1),"")))))</f>
        <v/>
      </c>
      <c r="P42" s="31" t="str">
        <f>IF($AX42=3,IF($CD$8="","",INDEX(Tính!$F$39:$F$83,$CD$8)),IF($AX42=4,IF($CD$8="","",INDEX(Tính!$C$182:$V$226,$CD$8,INDEX($BJ$3:$BJ$22,$AY42))),IF($AX42=5,IF($CD$8="","",INDEX(Tính!$P$39:$P$83,$CD$8)&amp;"/"&amp;COUNTIF($BA$3:$BA$22,"?*")),IF($AX42=7,IF($CD$8="","",INDEX(Tính!$Q$39:$Q$83,$CD$8)&amp;"/"&amp;$BK$1),IF($AX42=8,IF($CD$8="","",INDEX(Tính!$R$39:$R$83,$CD$8)&amp;"/"&amp;$BL$1),"")))))</f>
        <v/>
      </c>
      <c r="Q42" s="31" t="str">
        <f>IF($AX42=3,IF($CD$9="","",INDEX(Tính!$F$39:$F$83,$CD$9)),IF($AX42=4,IF($CD$9="","",INDEX(Tính!$C$182:$V$226,$CD$9,INDEX($BJ$3:$BJ$22,$AY42))),IF($AX42=5,IF($CD$9="","",INDEX(Tính!$P$39:$P$83,$CD$9)&amp;"/"&amp;COUNTIF($BA$3:$BA$22,"?*")),IF($AX42=7,IF($CD$9="","",INDEX(Tính!$Q$39:$Q$83,$CD$9)&amp;"/"&amp;$BK$1),IF($AX42=8,IF($CD$9="","",INDEX(Tính!$R$39:$R$83,$CD$9)&amp;"/"&amp;$BL$1),"")))))</f>
        <v/>
      </c>
      <c r="R42" s="31" t="str">
        <f>IF($AX42=3,IF($CD$10="","",INDEX(Tính!$F$39:$F$83,$CD$10)),IF($AX42=4,IF($CD$10="","",INDEX(Tính!$C$182:$V$226,$CD$10,INDEX($BJ$3:$BJ$22,$AY42))),IF($AX42=5,IF($CD$10="","",INDEX(Tính!$P$39:$P$83,$CD$10)&amp;"/"&amp;COUNTIF($BA$3:$BA$22,"?*")),IF($AX42=7,IF($CD$10="","",INDEX(Tính!$Q$39:$Q$83,$CD$10)&amp;"/"&amp;$BK$1),IF($AX42=8,IF($CD$10="","",INDEX(Tính!$R$39:$R$83,$CD$10)&amp;"/"&amp;$BL$1),"")))))</f>
        <v/>
      </c>
      <c r="S42" s="31" t="str">
        <f>IF($AX42=3,IF($CD$11="","",INDEX(Tính!$F$39:$F$83,$CD$11)),IF($AX42=4,IF($CD$11="","",INDEX(Tính!$C$182:$V$226,$CD$11,INDEX($BJ$3:$BJ$22,$AY42))),IF($AX42=5,IF($CD$11="","",INDEX(Tính!$P$39:$P$83,$CD$11)&amp;"/"&amp;COUNTIF($BA$3:$BA$22,"?*")),IF($AX42=7,IF($CD$11="","",INDEX(Tính!$Q$39:$Q$83,$CD$11)&amp;"/"&amp;$BK$1),IF($AX42=8,IF($CD$11="","",INDEX(Tính!$R$39:$R$83,$CD$11)&amp;"/"&amp;$BL$1),"")))))</f>
        <v/>
      </c>
      <c r="T42" s="31" t="str">
        <f>IF($AX42=3,IF($CD$12="","",INDEX(Tính!$F$39:$F$83,$CD$12)),IF($AX42=4,IF($CD$12="","",INDEX(Tính!$C$182:$V$226,$CD$12,INDEX($BJ$3:$BJ$22,$AY42))),IF($AX42=5,IF($CD$12="","",INDEX(Tính!$P$39:$P$83,$CD$12)&amp;"/"&amp;COUNTIF($BA$3:$BA$22,"?*")),IF($AX42=7,IF($CD$12="","",INDEX(Tính!$Q$39:$Q$83,$CD$12)&amp;"/"&amp;$BK$1),IF($AX42=8,IF($CD$12="","",INDEX(Tính!$R$39:$R$83,$CD$12)&amp;"/"&amp;$BL$1),"")))))</f>
        <v/>
      </c>
      <c r="U42" s="31" t="str">
        <f>IF($AX42=3,IF($CD$13="","",INDEX(Tính!$F$39:$F$83,$CD$13)),IF($AX42=4,IF($CD$13="","",INDEX(Tính!$C$182:$V$226,$CD$13,INDEX($BJ$3:$BJ$22,$AY42))),IF($AX42=5,IF($CD$13="","",INDEX(Tính!$P$39:$P$83,$CD$13)&amp;"/"&amp;COUNTIF($BA$3:$BA$22,"?*")),IF($AX42=7,IF($CD$13="","",INDEX(Tính!$Q$39:$Q$83,$CD$13)&amp;"/"&amp;$BK$1),IF($AX42=8,IF($CD$13="","",INDEX(Tính!$R$39:$R$83,$CD$13)&amp;"/"&amp;$BL$1),"")))))</f>
        <v/>
      </c>
      <c r="V42" s="31" t="str">
        <f>IF($AX42=3,IF($CD$14="","",INDEX(Tính!$F$39:$F$83,$CD$14)),IF($AX42=4,IF($CD$14="","",INDEX(Tính!$C$182:$V$226,$CD$14,INDEX($BJ$3:$BJ$22,$AY42))),IF($AX42=5,IF($CD$14="","",INDEX(Tính!$P$39:$P$83,$CD$14)&amp;"/"&amp;COUNTIF($BA$3:$BA$22,"?*")),IF($AX42=7,IF($CD$14="","",INDEX(Tính!$Q$39:$Q$83,$CD$14)&amp;"/"&amp;$BK$1),IF($AX42=8,IF($CD$14="","",INDEX(Tính!$R$39:$R$83,$CD$14)&amp;"/"&amp;$BL$1),"")))))</f>
        <v/>
      </c>
      <c r="W42" s="31" t="str">
        <f>IF($AX42=3,IF($CD$15="","",INDEX(Tính!$F$39:$F$83,$CD$15)),IF($AX42=4,IF($CD$15="","",INDEX(Tính!$C$182:$V$226,$CD$15,INDEX($BJ$3:$BJ$22,$AY42))),IF($AX42=5,IF($CD$15="","",INDEX(Tính!$P$39:$P$83,$CD$15)&amp;"/"&amp;COUNTIF($BA$3:$BA$22,"?*")),IF($AX42=7,IF($CD$15="","",INDEX(Tính!$Q$39:$Q$83,$CD$15)&amp;"/"&amp;$BK$1),IF($AX42=8,IF($CD$15="","",INDEX(Tính!$R$39:$R$83,$CD$15)&amp;"/"&amp;$BL$1),"")))))</f>
        <v/>
      </c>
      <c r="X42" s="31" t="str">
        <f>IF($AX42=3,IF($CD$16="","",INDEX(Tính!$F$39:$F$83,$CD$16)),IF($AX42=4,IF($CD$16="","",INDEX(Tính!$C$182:$V$226,$CD$16,INDEX($BJ$3:$BJ$22,$AY42))),IF($AX42=5,IF($CD$16="","",INDEX(Tính!$P$39:$P$83,$CD$16)&amp;"/"&amp;COUNTIF($BA$3:$BA$22,"?*")),IF($AX42=7,IF($CD$16="","",INDEX(Tính!$Q$39:$Q$83,$CD$16)&amp;"/"&amp;$BK$1),IF($AX42=8,IF($CD$16="","",INDEX(Tính!$R$39:$R$83,$CD$16)&amp;"/"&amp;$BL$1),"")))))</f>
        <v/>
      </c>
      <c r="Y42" s="31" t="str">
        <f>IF($AX42=3,IF($CD$17="","",INDEX(Tính!$F$39:$F$83,$CD$17)),IF($AX42=4,IF($CD$17="","",INDEX(Tính!$C$182:$V$226,$CD$17,INDEX($BJ$3:$BJ$22,$AY42))),IF($AX42=5,IF($CD$17="","",INDEX(Tính!$P$39:$P$83,$CD$17)&amp;"/"&amp;COUNTIF($BA$3:$BA$22,"?*")),IF($AX42=7,IF($CD$17="","",INDEX(Tính!$Q$39:$Q$83,$CD$17)&amp;"/"&amp;$BK$1),IF($AX42=8,IF($CD$17="","",INDEX(Tính!$R$39:$R$83,$CD$17)&amp;"/"&amp;$BL$1),"")))))</f>
        <v/>
      </c>
      <c r="Z42" s="31" t="str">
        <f>IF($AX42=3,IF($CD$18="","",INDEX(Tính!$F$39:$F$83,$CD$18)),IF($AX42=4,IF($CD$18="","",INDEX(Tính!$C$182:$V$226,$CD$18,INDEX($BJ$3:$BJ$22,$AY42))),IF($AX42=5,IF($CD$18="","",INDEX(Tính!$P$39:$P$83,$CD$18)&amp;"/"&amp;COUNTIF($BA$3:$BA$22,"?*")),IF($AX42=7,IF($CD$18="","",INDEX(Tính!$Q$39:$Q$83,$CD$18)&amp;"/"&amp;$BK$1),IF($AX42=8,IF($CD$18="","",INDEX(Tính!$R$39:$R$83,$CD$18)&amp;"/"&amp;$BL$1),"")))))</f>
        <v/>
      </c>
      <c r="AA42" s="31" t="str">
        <f>IF($AX42=3,IF($CD$19="","",INDEX(Tính!$F$39:$F$83,$CD$19)),IF($AX42=4,IF($CD$19="","",INDEX(Tính!$C$182:$V$226,$CD$19,INDEX($BJ$3:$BJ$22,$AY42))),IF($AX42=5,IF($CD$19="","",INDEX(Tính!$P$39:$P$83,$CD$19)&amp;"/"&amp;COUNTIF($BA$3:$BA$22,"?*")),IF($AX42=7,IF($CD$19="","",INDEX(Tính!$Q$39:$Q$83,$CD$19)&amp;"/"&amp;$BK$1),IF($AX42=8,IF($CD$19="","",INDEX(Tính!$R$39:$R$83,$CD$19)&amp;"/"&amp;$BL$1),"")))))</f>
        <v/>
      </c>
      <c r="AB42" s="31" t="str">
        <f>IF($AX42=3,IF($CD$20="","",INDEX(Tính!$F$39:$F$83,$CD$20)),IF($AX42=4,IF($CD$20="","",INDEX(Tính!$C$182:$V$226,$CD$20,INDEX($BJ$3:$BJ$22,$AY42))),IF($AX42=5,IF($CD$20="","",INDEX(Tính!$P$39:$P$83,$CD$20)&amp;"/"&amp;COUNTIF($BA$3:$BA$22,"?*")),IF($AX42=7,IF($CD$20="","",INDEX(Tính!$Q$39:$Q$83,$CD$20)&amp;"/"&amp;$BK$1),IF($AX42=8,IF($CD$20="","",INDEX(Tính!$R$39:$R$83,$CD$20)&amp;"/"&amp;$BL$1),"")))))</f>
        <v/>
      </c>
      <c r="AC42" s="31" t="str">
        <f>IF($AX42=3,IF($CD$21="","",INDEX(Tính!$F$39:$F$83,$CD$21)),IF($AX42=4,IF($CD$21="","",INDEX(Tính!$C$182:$V$226,$CD$21,INDEX($BJ$3:$BJ$22,$AY42))),IF($AX42=5,IF($CD$21="","",INDEX(Tính!$P$39:$P$83,$CD$21)&amp;"/"&amp;COUNTIF($BA$3:$BA$22,"?*")),IF($AX42=7,IF($CD$21="","",INDEX(Tính!$Q$39:$Q$83,$CD$21)&amp;"/"&amp;$BK$1),IF($AX42=8,IF($CD$21="","",INDEX(Tính!$R$39:$R$83,$CD$21)&amp;"/"&amp;$BL$1),"")))))</f>
        <v/>
      </c>
      <c r="AD42" s="31" t="str">
        <f>IF($AX42=3,IF($CD$22="","",INDEX(Tính!$F$39:$F$83,$CD$22)),IF($AX42=4,IF($CD$22="","",INDEX(Tính!$C$182:$V$226,$CD$22,INDEX($BJ$3:$BJ$22,$AY42))),IF($AX42=5,IF($CD$22="","",INDEX(Tính!$P$39:$P$83,$CD$22)&amp;"/"&amp;COUNTIF($BA$3:$BA$22,"?*")),IF($AX42=7,IF($CD$22="","",INDEX(Tính!$Q$39:$Q$83,$CD$22)&amp;"/"&amp;$BK$1),IF($AX42=8,IF($CD$22="","",INDEX(Tính!$R$39:$R$83,$CD$22)&amp;"/"&amp;$BL$1),"")))))</f>
        <v/>
      </c>
      <c r="AX42">
        <f>IF(38=0,0,IF(38&lt;=$AX$1,1,IF(38=$AX$1+1,2,IF(38=$AX$1+2,3,IF((38-$AX$1-2)&lt;=$AX$3,IF(INDEX($BK$3:$BK$24,(38-$AX$1-2))="C",7,IF(INDEX($BK$3:$BK$24,(38-$AX$1-2))="V",8,4)),IF((38-$AX$1-2)=$AX$3+1,5,6))))))</f>
        <v>6</v>
      </c>
      <c r="AY42">
        <f>IF(AX42=1,38,IF(AX42=4,INDEX($BL$3:$BL$24,(38-$AX$1-2)),0))</f>
        <v>0</v>
      </c>
      <c r="CA42">
        <v>40</v>
      </c>
      <c r="CB42">
        <f>IF(Tính!B78="",0,IF(OR($AZ$1=0,Tính!D78=$AZ$1),1,0))</f>
        <v>0</v>
      </c>
      <c r="CC42">
        <f>IF(CB42=1,Tính!M78+1+(45-40)/1000000,-1)</f>
        <v>-1</v>
      </c>
      <c r="CD42" t="str">
        <f>IF(LARGE($CC$3:$CC$47,40)&lt;0,"",MATCH(LARGE($CC$3:$CC$47,40),$CC$3:$CC$47,0))</f>
        <v/>
      </c>
    </row>
    <row r="43" spans="8:82" x14ac:dyDescent="0.3">
      <c r="H43" s="29" t="str">
        <f t="shared" si="2"/>
        <v/>
      </c>
      <c r="I43" s="12" t="str">
        <f>IF($AX43=0,"Nhân viên",IF($AX43=1,INDEX(Tính!$F$39:$F$83,INDEX($CD$3:$CD$47,$AY43))&amp;" · "&amp;INDEX(Tính!$O$39:$O$83,INDEX($CD$3:$CD$47,$AY43)),IF($AX43=3,"Nhóm hàng",IF($AX43=4,INDEX($BA$3:$BA$22,INDEX($BJ$3:$BJ$22,$AY43)),IF($AX43=5,"Số nhóm đạt",IF($AX43=7,"NHÓM CHÍNH",IF($AX43=8,"NHÓM VƯỢT TRỘI","")))))))</f>
        <v/>
      </c>
      <c r="J43" s="30" t="str">
        <f>IF($AX43=0,"Mục tiêu",IF($AX43=1,FIXED(INDEX(Tính!$J$39:$J$83,INDEX($CD$3:$CD$47,$AY43)),0),IF($AX43=3,"Cả shop",IF($AX43=4,INDEX($BG$3:$BG$22,INDEX($BJ$3:$BJ$22,$AY43)),IF($AX43=5,COUNTIF($BG$3:$BG$22,"&gt;=0.995")&amp;"/"&amp;COUNTIF($BA$3:$BA$22,"?*"),IF($AX43=7,COUNTIFS($BB$3:$BB$22,"Chính",$BG$3:$BG$22,"&gt;=0.995")&amp;"/"&amp;$BK$1,IF($AX43=8,COUNTIFS($BB$3:$BB$22,"Vượt trội",$BG$3:$BG$22,"&gt;=0.995")&amp;"/"&amp;$BL$1,"")))))))</f>
        <v/>
      </c>
      <c r="K43" s="30" t="str">
        <f>IF($AX43=0,"DT QĐ",IF($AX43=1,FIXED(INDEX(Tính!$K$39:$K$83,INDEX($CD$3:$CD$47,$AY43)),1),IF($AX43=3,IF($CD$3="","",INDEX(Tính!$F$39:$F$83,$CD$3)),IF($AX43=4,IF($CD$3="","",INDEX(Tính!$C$182:$V$226,$CD$3,INDEX($BJ$3:$BJ$22,$AY43))),IF($AX43=5,IF($CD$3="","",INDEX(Tính!$P$39:$P$83,$CD$3)&amp;"/"&amp;COUNTIF($BA$3:$BA$22,"?*")),IF($AX43=7,IF($CD$3="","",INDEX(Tính!$Q$39:$Q$83,$CD$3)&amp;"/"&amp;$BK$1),IF($AX43=8,IF($CD$3="","",INDEX(Tính!$R$39:$R$83,$CD$3)&amp;"/"&amp;$BL$1),"")))))))</f>
        <v/>
      </c>
      <c r="L43" s="31" t="str">
        <f>IF($AX43=0,"% HT",IF($AX43=1,INDEX(Tính!$N$39:$N$83,INDEX($CD$3:$CD$47,$AY43)),IF($AX43=3,IF($CD$4="","",INDEX(Tính!$F$39:$F$83,$CD$4)),IF($AX43=4,IF($CD$4="","",INDEX(Tính!$C$182:$V$226,$CD$4,INDEX($BJ$3:$BJ$22,$AY43))),IF($AX43=5,IF($CD$4="","",INDEX(Tính!$P$39:$P$83,$CD$4)&amp;"/"&amp;COUNTIF($BA$3:$BA$22,"?*")),IF($AX43=7,IF($CD$4="","",INDEX(Tính!$Q$39:$Q$83,$CD$4)&amp;"/"&amp;$BK$1),IF($AX43=8,IF($CD$4="","",INDEX(Tính!$R$39:$R$83,$CD$4)&amp;"/"&amp;$BL$1),"")))))))</f>
        <v/>
      </c>
      <c r="M43" s="31" t="str">
        <f>IF($AX43=0,"Dự kiến",IF($AX43=1,INDEX(Tính!$M$39:$M$83,INDEX($CD$3:$CD$47,$AY43)),IF($AX43=3,IF($CD$5="","",INDEX(Tính!$F$39:$F$83,$CD$5)),IF($AX43=4,IF($CD$5="","",INDEX(Tính!$C$182:$V$226,$CD$5,INDEX($BJ$3:$BJ$22,$AY43))),IF($AX43=5,IF($CD$5="","",INDEX(Tính!$P$39:$P$83,$CD$5)&amp;"/"&amp;COUNTIF($BA$3:$BA$22,"?*")),IF($AX43=7,IF($CD$5="","",INDEX(Tính!$Q$39:$Q$83,$CD$5)&amp;"/"&amp;$BK$1),IF($AX43=8,IF($CD$5="","",INDEX(Tính!$R$39:$R$83,$CD$5)&amp;"/"&amp;$BL$1),"")))))))</f>
        <v/>
      </c>
      <c r="N43" s="31" t="str">
        <f>IF($AX43=0,"NH đạt",IF($AX43=1,INDEX(Tính!$P$39:$P$83,INDEX($CD$3:$CD$47,$AY43))&amp;"/"&amp;COUNTIF($BA$3:$BA$22,"?*"),IF($AX43=3,IF($CD$6="","",INDEX(Tính!$F$39:$F$83,$CD$6)),IF($AX43=4,IF($CD$6="","",INDEX(Tính!$C$182:$V$226,$CD$6,INDEX($BJ$3:$BJ$22,$AY43))),IF($AX43=5,IF($CD$6="","",INDEX(Tính!$P$39:$P$83,$CD$6)&amp;"/"&amp;COUNTIF($BA$3:$BA$22,"?*")),IF($AX43=7,IF($CD$6="","",INDEX(Tính!$Q$39:$Q$83,$CD$6)&amp;"/"&amp;$BK$1),IF($AX43=8,IF($CD$6="","",INDEX(Tính!$R$39:$R$83,$CD$6)&amp;"/"&amp;$BL$1),"")))))))</f>
        <v/>
      </c>
      <c r="O43" s="31" t="str">
        <f>IF($AX43=3,IF($CD$7="","",INDEX(Tính!$F$39:$F$83,$CD$7)),IF($AX43=4,IF($CD$7="","",INDEX(Tính!$C$182:$V$226,$CD$7,INDEX($BJ$3:$BJ$22,$AY43))),IF($AX43=5,IF($CD$7="","",INDEX(Tính!$P$39:$P$83,$CD$7)&amp;"/"&amp;COUNTIF($BA$3:$BA$22,"?*")),IF($AX43=7,IF($CD$7="","",INDEX(Tính!$Q$39:$Q$83,$CD$7)&amp;"/"&amp;$BK$1),IF($AX43=8,IF($CD$7="","",INDEX(Tính!$R$39:$R$83,$CD$7)&amp;"/"&amp;$BL$1),"")))))</f>
        <v/>
      </c>
      <c r="P43" s="31" t="str">
        <f>IF($AX43=3,IF($CD$8="","",INDEX(Tính!$F$39:$F$83,$CD$8)),IF($AX43=4,IF($CD$8="","",INDEX(Tính!$C$182:$V$226,$CD$8,INDEX($BJ$3:$BJ$22,$AY43))),IF($AX43=5,IF($CD$8="","",INDEX(Tính!$P$39:$P$83,$CD$8)&amp;"/"&amp;COUNTIF($BA$3:$BA$22,"?*")),IF($AX43=7,IF($CD$8="","",INDEX(Tính!$Q$39:$Q$83,$CD$8)&amp;"/"&amp;$BK$1),IF($AX43=8,IF($CD$8="","",INDEX(Tính!$R$39:$R$83,$CD$8)&amp;"/"&amp;$BL$1),"")))))</f>
        <v/>
      </c>
      <c r="Q43" s="31" t="str">
        <f>IF($AX43=3,IF($CD$9="","",INDEX(Tính!$F$39:$F$83,$CD$9)),IF($AX43=4,IF($CD$9="","",INDEX(Tính!$C$182:$V$226,$CD$9,INDEX($BJ$3:$BJ$22,$AY43))),IF($AX43=5,IF($CD$9="","",INDEX(Tính!$P$39:$P$83,$CD$9)&amp;"/"&amp;COUNTIF($BA$3:$BA$22,"?*")),IF($AX43=7,IF($CD$9="","",INDEX(Tính!$Q$39:$Q$83,$CD$9)&amp;"/"&amp;$BK$1),IF($AX43=8,IF($CD$9="","",INDEX(Tính!$R$39:$R$83,$CD$9)&amp;"/"&amp;$BL$1),"")))))</f>
        <v/>
      </c>
      <c r="R43" s="31" t="str">
        <f>IF($AX43=3,IF($CD$10="","",INDEX(Tính!$F$39:$F$83,$CD$10)),IF($AX43=4,IF($CD$10="","",INDEX(Tính!$C$182:$V$226,$CD$10,INDEX($BJ$3:$BJ$22,$AY43))),IF($AX43=5,IF($CD$10="","",INDEX(Tính!$P$39:$P$83,$CD$10)&amp;"/"&amp;COUNTIF($BA$3:$BA$22,"?*")),IF($AX43=7,IF($CD$10="","",INDEX(Tính!$Q$39:$Q$83,$CD$10)&amp;"/"&amp;$BK$1),IF($AX43=8,IF($CD$10="","",INDEX(Tính!$R$39:$R$83,$CD$10)&amp;"/"&amp;$BL$1),"")))))</f>
        <v/>
      </c>
      <c r="S43" s="31" t="str">
        <f>IF($AX43=3,IF($CD$11="","",INDEX(Tính!$F$39:$F$83,$CD$11)),IF($AX43=4,IF($CD$11="","",INDEX(Tính!$C$182:$V$226,$CD$11,INDEX($BJ$3:$BJ$22,$AY43))),IF($AX43=5,IF($CD$11="","",INDEX(Tính!$P$39:$P$83,$CD$11)&amp;"/"&amp;COUNTIF($BA$3:$BA$22,"?*")),IF($AX43=7,IF($CD$11="","",INDEX(Tính!$Q$39:$Q$83,$CD$11)&amp;"/"&amp;$BK$1),IF($AX43=8,IF($CD$11="","",INDEX(Tính!$R$39:$R$83,$CD$11)&amp;"/"&amp;$BL$1),"")))))</f>
        <v/>
      </c>
      <c r="T43" s="31" t="str">
        <f>IF($AX43=3,IF($CD$12="","",INDEX(Tính!$F$39:$F$83,$CD$12)),IF($AX43=4,IF($CD$12="","",INDEX(Tính!$C$182:$V$226,$CD$12,INDEX($BJ$3:$BJ$22,$AY43))),IF($AX43=5,IF($CD$12="","",INDEX(Tính!$P$39:$P$83,$CD$12)&amp;"/"&amp;COUNTIF($BA$3:$BA$22,"?*")),IF($AX43=7,IF($CD$12="","",INDEX(Tính!$Q$39:$Q$83,$CD$12)&amp;"/"&amp;$BK$1),IF($AX43=8,IF($CD$12="","",INDEX(Tính!$R$39:$R$83,$CD$12)&amp;"/"&amp;$BL$1),"")))))</f>
        <v/>
      </c>
      <c r="U43" s="31" t="str">
        <f>IF($AX43=3,IF($CD$13="","",INDEX(Tính!$F$39:$F$83,$CD$13)),IF($AX43=4,IF($CD$13="","",INDEX(Tính!$C$182:$V$226,$CD$13,INDEX($BJ$3:$BJ$22,$AY43))),IF($AX43=5,IF($CD$13="","",INDEX(Tính!$P$39:$P$83,$CD$13)&amp;"/"&amp;COUNTIF($BA$3:$BA$22,"?*")),IF($AX43=7,IF($CD$13="","",INDEX(Tính!$Q$39:$Q$83,$CD$13)&amp;"/"&amp;$BK$1),IF($AX43=8,IF($CD$13="","",INDEX(Tính!$R$39:$R$83,$CD$13)&amp;"/"&amp;$BL$1),"")))))</f>
        <v/>
      </c>
      <c r="V43" s="31" t="str">
        <f>IF($AX43=3,IF($CD$14="","",INDEX(Tính!$F$39:$F$83,$CD$14)),IF($AX43=4,IF($CD$14="","",INDEX(Tính!$C$182:$V$226,$CD$14,INDEX($BJ$3:$BJ$22,$AY43))),IF($AX43=5,IF($CD$14="","",INDEX(Tính!$P$39:$P$83,$CD$14)&amp;"/"&amp;COUNTIF($BA$3:$BA$22,"?*")),IF($AX43=7,IF($CD$14="","",INDEX(Tính!$Q$39:$Q$83,$CD$14)&amp;"/"&amp;$BK$1),IF($AX43=8,IF($CD$14="","",INDEX(Tính!$R$39:$R$83,$CD$14)&amp;"/"&amp;$BL$1),"")))))</f>
        <v/>
      </c>
      <c r="W43" s="31" t="str">
        <f>IF($AX43=3,IF($CD$15="","",INDEX(Tính!$F$39:$F$83,$CD$15)),IF($AX43=4,IF($CD$15="","",INDEX(Tính!$C$182:$V$226,$CD$15,INDEX($BJ$3:$BJ$22,$AY43))),IF($AX43=5,IF($CD$15="","",INDEX(Tính!$P$39:$P$83,$CD$15)&amp;"/"&amp;COUNTIF($BA$3:$BA$22,"?*")),IF($AX43=7,IF($CD$15="","",INDEX(Tính!$Q$39:$Q$83,$CD$15)&amp;"/"&amp;$BK$1),IF($AX43=8,IF($CD$15="","",INDEX(Tính!$R$39:$R$83,$CD$15)&amp;"/"&amp;$BL$1),"")))))</f>
        <v/>
      </c>
      <c r="X43" s="31" t="str">
        <f>IF($AX43=3,IF($CD$16="","",INDEX(Tính!$F$39:$F$83,$CD$16)),IF($AX43=4,IF($CD$16="","",INDEX(Tính!$C$182:$V$226,$CD$16,INDEX($BJ$3:$BJ$22,$AY43))),IF($AX43=5,IF($CD$16="","",INDEX(Tính!$P$39:$P$83,$CD$16)&amp;"/"&amp;COUNTIF($BA$3:$BA$22,"?*")),IF($AX43=7,IF($CD$16="","",INDEX(Tính!$Q$39:$Q$83,$CD$16)&amp;"/"&amp;$BK$1),IF($AX43=8,IF($CD$16="","",INDEX(Tính!$R$39:$R$83,$CD$16)&amp;"/"&amp;$BL$1),"")))))</f>
        <v/>
      </c>
      <c r="Y43" s="31" t="str">
        <f>IF($AX43=3,IF($CD$17="","",INDEX(Tính!$F$39:$F$83,$CD$17)),IF($AX43=4,IF($CD$17="","",INDEX(Tính!$C$182:$V$226,$CD$17,INDEX($BJ$3:$BJ$22,$AY43))),IF($AX43=5,IF($CD$17="","",INDEX(Tính!$P$39:$P$83,$CD$17)&amp;"/"&amp;COUNTIF($BA$3:$BA$22,"?*")),IF($AX43=7,IF($CD$17="","",INDEX(Tính!$Q$39:$Q$83,$CD$17)&amp;"/"&amp;$BK$1),IF($AX43=8,IF($CD$17="","",INDEX(Tính!$R$39:$R$83,$CD$17)&amp;"/"&amp;$BL$1),"")))))</f>
        <v/>
      </c>
      <c r="Z43" s="31" t="str">
        <f>IF($AX43=3,IF($CD$18="","",INDEX(Tính!$F$39:$F$83,$CD$18)),IF($AX43=4,IF($CD$18="","",INDEX(Tính!$C$182:$V$226,$CD$18,INDEX($BJ$3:$BJ$22,$AY43))),IF($AX43=5,IF($CD$18="","",INDEX(Tính!$P$39:$P$83,$CD$18)&amp;"/"&amp;COUNTIF($BA$3:$BA$22,"?*")),IF($AX43=7,IF($CD$18="","",INDEX(Tính!$Q$39:$Q$83,$CD$18)&amp;"/"&amp;$BK$1),IF($AX43=8,IF($CD$18="","",INDEX(Tính!$R$39:$R$83,$CD$18)&amp;"/"&amp;$BL$1),"")))))</f>
        <v/>
      </c>
      <c r="AA43" s="31" t="str">
        <f>IF($AX43=3,IF($CD$19="","",INDEX(Tính!$F$39:$F$83,$CD$19)),IF($AX43=4,IF($CD$19="","",INDEX(Tính!$C$182:$V$226,$CD$19,INDEX($BJ$3:$BJ$22,$AY43))),IF($AX43=5,IF($CD$19="","",INDEX(Tính!$P$39:$P$83,$CD$19)&amp;"/"&amp;COUNTIF($BA$3:$BA$22,"?*")),IF($AX43=7,IF($CD$19="","",INDEX(Tính!$Q$39:$Q$83,$CD$19)&amp;"/"&amp;$BK$1),IF($AX43=8,IF($CD$19="","",INDEX(Tính!$R$39:$R$83,$CD$19)&amp;"/"&amp;$BL$1),"")))))</f>
        <v/>
      </c>
      <c r="AB43" s="31" t="str">
        <f>IF($AX43=3,IF($CD$20="","",INDEX(Tính!$F$39:$F$83,$CD$20)),IF($AX43=4,IF($CD$20="","",INDEX(Tính!$C$182:$V$226,$CD$20,INDEX($BJ$3:$BJ$22,$AY43))),IF($AX43=5,IF($CD$20="","",INDEX(Tính!$P$39:$P$83,$CD$20)&amp;"/"&amp;COUNTIF($BA$3:$BA$22,"?*")),IF($AX43=7,IF($CD$20="","",INDEX(Tính!$Q$39:$Q$83,$CD$20)&amp;"/"&amp;$BK$1),IF($AX43=8,IF($CD$20="","",INDEX(Tính!$R$39:$R$83,$CD$20)&amp;"/"&amp;$BL$1),"")))))</f>
        <v/>
      </c>
      <c r="AC43" s="31" t="str">
        <f>IF($AX43=3,IF($CD$21="","",INDEX(Tính!$F$39:$F$83,$CD$21)),IF($AX43=4,IF($CD$21="","",INDEX(Tính!$C$182:$V$226,$CD$21,INDEX($BJ$3:$BJ$22,$AY43))),IF($AX43=5,IF($CD$21="","",INDEX(Tính!$P$39:$P$83,$CD$21)&amp;"/"&amp;COUNTIF($BA$3:$BA$22,"?*")),IF($AX43=7,IF($CD$21="","",INDEX(Tính!$Q$39:$Q$83,$CD$21)&amp;"/"&amp;$BK$1),IF($AX43=8,IF($CD$21="","",INDEX(Tính!$R$39:$R$83,$CD$21)&amp;"/"&amp;$BL$1),"")))))</f>
        <v/>
      </c>
      <c r="AD43" s="31" t="str">
        <f>IF($AX43=3,IF($CD$22="","",INDEX(Tính!$F$39:$F$83,$CD$22)),IF($AX43=4,IF($CD$22="","",INDEX(Tính!$C$182:$V$226,$CD$22,INDEX($BJ$3:$BJ$22,$AY43))),IF($AX43=5,IF($CD$22="","",INDEX(Tính!$P$39:$P$83,$CD$22)&amp;"/"&amp;COUNTIF($BA$3:$BA$22,"?*")),IF($AX43=7,IF($CD$22="","",INDEX(Tính!$Q$39:$Q$83,$CD$22)&amp;"/"&amp;$BK$1),IF($AX43=8,IF($CD$22="","",INDEX(Tính!$R$39:$R$83,$CD$22)&amp;"/"&amp;$BL$1),"")))))</f>
        <v/>
      </c>
      <c r="AX43">
        <f>IF(39=0,0,IF(39&lt;=$AX$1,1,IF(39=$AX$1+1,2,IF(39=$AX$1+2,3,IF((39-$AX$1-2)&lt;=$AX$3,IF(INDEX($BK$3:$BK$24,(39-$AX$1-2))="C",7,IF(INDEX($BK$3:$BK$24,(39-$AX$1-2))="V",8,4)),IF((39-$AX$1-2)=$AX$3+1,5,6))))))</f>
        <v>6</v>
      </c>
      <c r="AY43">
        <f>IF(AX43=1,39,IF(AX43=4,INDEX($BL$3:$BL$24,(39-$AX$1-2)),0))</f>
        <v>0</v>
      </c>
      <c r="CA43">
        <v>41</v>
      </c>
      <c r="CB43">
        <f>IF(Tính!B79="",0,IF(OR($AZ$1=0,Tính!D79=$AZ$1),1,0))</f>
        <v>0</v>
      </c>
      <c r="CC43">
        <f>IF(CB43=1,Tính!M79+1+(45-41)/1000000,-1)</f>
        <v>-1</v>
      </c>
      <c r="CD43" t="str">
        <f>IF(LARGE($CC$3:$CC$47,41)&lt;0,"",MATCH(LARGE($CC$3:$CC$47,41),$CC$3:$CC$47,0))</f>
        <v/>
      </c>
    </row>
    <row r="44" spans="8:82" x14ac:dyDescent="0.3">
      <c r="H44" s="29" t="str">
        <f t="shared" si="2"/>
        <v/>
      </c>
      <c r="I44" s="12" t="str">
        <f>IF($AX44=0,"Nhân viên",IF($AX44=1,INDEX(Tính!$F$39:$F$83,INDEX($CD$3:$CD$47,$AY44))&amp;" · "&amp;INDEX(Tính!$O$39:$O$83,INDEX($CD$3:$CD$47,$AY44)),IF($AX44=3,"Nhóm hàng",IF($AX44=4,INDEX($BA$3:$BA$22,INDEX($BJ$3:$BJ$22,$AY44)),IF($AX44=5,"Số nhóm đạt",IF($AX44=7,"NHÓM CHÍNH",IF($AX44=8,"NHÓM VƯỢT TRỘI","")))))))</f>
        <v/>
      </c>
      <c r="J44" s="30" t="str">
        <f>IF($AX44=0,"Mục tiêu",IF($AX44=1,FIXED(INDEX(Tính!$J$39:$J$83,INDEX($CD$3:$CD$47,$AY44)),0),IF($AX44=3,"Cả shop",IF($AX44=4,INDEX($BG$3:$BG$22,INDEX($BJ$3:$BJ$22,$AY44)),IF($AX44=5,COUNTIF($BG$3:$BG$22,"&gt;=0.995")&amp;"/"&amp;COUNTIF($BA$3:$BA$22,"?*"),IF($AX44=7,COUNTIFS($BB$3:$BB$22,"Chính",$BG$3:$BG$22,"&gt;=0.995")&amp;"/"&amp;$BK$1,IF($AX44=8,COUNTIFS($BB$3:$BB$22,"Vượt trội",$BG$3:$BG$22,"&gt;=0.995")&amp;"/"&amp;$BL$1,"")))))))</f>
        <v/>
      </c>
      <c r="K44" s="30" t="str">
        <f>IF($AX44=0,"DT QĐ",IF($AX44=1,FIXED(INDEX(Tính!$K$39:$K$83,INDEX($CD$3:$CD$47,$AY44)),1),IF($AX44=3,IF($CD$3="","",INDEX(Tính!$F$39:$F$83,$CD$3)),IF($AX44=4,IF($CD$3="","",INDEX(Tính!$C$182:$V$226,$CD$3,INDEX($BJ$3:$BJ$22,$AY44))),IF($AX44=5,IF($CD$3="","",INDEX(Tính!$P$39:$P$83,$CD$3)&amp;"/"&amp;COUNTIF($BA$3:$BA$22,"?*")),IF($AX44=7,IF($CD$3="","",INDEX(Tính!$Q$39:$Q$83,$CD$3)&amp;"/"&amp;$BK$1),IF($AX44=8,IF($CD$3="","",INDEX(Tính!$R$39:$R$83,$CD$3)&amp;"/"&amp;$BL$1),"")))))))</f>
        <v/>
      </c>
      <c r="L44" s="31" t="str">
        <f>IF($AX44=0,"% HT",IF($AX44=1,INDEX(Tính!$N$39:$N$83,INDEX($CD$3:$CD$47,$AY44)),IF($AX44=3,IF($CD$4="","",INDEX(Tính!$F$39:$F$83,$CD$4)),IF($AX44=4,IF($CD$4="","",INDEX(Tính!$C$182:$V$226,$CD$4,INDEX($BJ$3:$BJ$22,$AY44))),IF($AX44=5,IF($CD$4="","",INDEX(Tính!$P$39:$P$83,$CD$4)&amp;"/"&amp;COUNTIF($BA$3:$BA$22,"?*")),IF($AX44=7,IF($CD$4="","",INDEX(Tính!$Q$39:$Q$83,$CD$4)&amp;"/"&amp;$BK$1),IF($AX44=8,IF($CD$4="","",INDEX(Tính!$R$39:$R$83,$CD$4)&amp;"/"&amp;$BL$1),"")))))))</f>
        <v/>
      </c>
      <c r="M44" s="31" t="str">
        <f>IF($AX44=0,"Dự kiến",IF($AX44=1,INDEX(Tính!$M$39:$M$83,INDEX($CD$3:$CD$47,$AY44)),IF($AX44=3,IF($CD$5="","",INDEX(Tính!$F$39:$F$83,$CD$5)),IF($AX44=4,IF($CD$5="","",INDEX(Tính!$C$182:$V$226,$CD$5,INDEX($BJ$3:$BJ$22,$AY44))),IF($AX44=5,IF($CD$5="","",INDEX(Tính!$P$39:$P$83,$CD$5)&amp;"/"&amp;COUNTIF($BA$3:$BA$22,"?*")),IF($AX44=7,IF($CD$5="","",INDEX(Tính!$Q$39:$Q$83,$CD$5)&amp;"/"&amp;$BK$1),IF($AX44=8,IF($CD$5="","",INDEX(Tính!$R$39:$R$83,$CD$5)&amp;"/"&amp;$BL$1),"")))))))</f>
        <v/>
      </c>
      <c r="N44" s="31" t="str">
        <f>IF($AX44=0,"NH đạt",IF($AX44=1,INDEX(Tính!$P$39:$P$83,INDEX($CD$3:$CD$47,$AY44))&amp;"/"&amp;COUNTIF($BA$3:$BA$22,"?*"),IF($AX44=3,IF($CD$6="","",INDEX(Tính!$F$39:$F$83,$CD$6)),IF($AX44=4,IF($CD$6="","",INDEX(Tính!$C$182:$V$226,$CD$6,INDEX($BJ$3:$BJ$22,$AY44))),IF($AX44=5,IF($CD$6="","",INDEX(Tính!$P$39:$P$83,$CD$6)&amp;"/"&amp;COUNTIF($BA$3:$BA$22,"?*")),IF($AX44=7,IF($CD$6="","",INDEX(Tính!$Q$39:$Q$83,$CD$6)&amp;"/"&amp;$BK$1),IF($AX44=8,IF($CD$6="","",INDEX(Tính!$R$39:$R$83,$CD$6)&amp;"/"&amp;$BL$1),"")))))))</f>
        <v/>
      </c>
      <c r="O44" s="31" t="str">
        <f>IF($AX44=3,IF($CD$7="","",INDEX(Tính!$F$39:$F$83,$CD$7)),IF($AX44=4,IF($CD$7="","",INDEX(Tính!$C$182:$V$226,$CD$7,INDEX($BJ$3:$BJ$22,$AY44))),IF($AX44=5,IF($CD$7="","",INDEX(Tính!$P$39:$P$83,$CD$7)&amp;"/"&amp;COUNTIF($BA$3:$BA$22,"?*")),IF($AX44=7,IF($CD$7="","",INDEX(Tính!$Q$39:$Q$83,$CD$7)&amp;"/"&amp;$BK$1),IF($AX44=8,IF($CD$7="","",INDEX(Tính!$R$39:$R$83,$CD$7)&amp;"/"&amp;$BL$1),"")))))</f>
        <v/>
      </c>
      <c r="P44" s="31" t="str">
        <f>IF($AX44=3,IF($CD$8="","",INDEX(Tính!$F$39:$F$83,$CD$8)),IF($AX44=4,IF($CD$8="","",INDEX(Tính!$C$182:$V$226,$CD$8,INDEX($BJ$3:$BJ$22,$AY44))),IF($AX44=5,IF($CD$8="","",INDEX(Tính!$P$39:$P$83,$CD$8)&amp;"/"&amp;COUNTIF($BA$3:$BA$22,"?*")),IF($AX44=7,IF($CD$8="","",INDEX(Tính!$Q$39:$Q$83,$CD$8)&amp;"/"&amp;$BK$1),IF($AX44=8,IF($CD$8="","",INDEX(Tính!$R$39:$R$83,$CD$8)&amp;"/"&amp;$BL$1),"")))))</f>
        <v/>
      </c>
      <c r="Q44" s="31" t="str">
        <f>IF($AX44=3,IF($CD$9="","",INDEX(Tính!$F$39:$F$83,$CD$9)),IF($AX44=4,IF($CD$9="","",INDEX(Tính!$C$182:$V$226,$CD$9,INDEX($BJ$3:$BJ$22,$AY44))),IF($AX44=5,IF($CD$9="","",INDEX(Tính!$P$39:$P$83,$CD$9)&amp;"/"&amp;COUNTIF($BA$3:$BA$22,"?*")),IF($AX44=7,IF($CD$9="","",INDEX(Tính!$Q$39:$Q$83,$CD$9)&amp;"/"&amp;$BK$1),IF($AX44=8,IF($CD$9="","",INDEX(Tính!$R$39:$R$83,$CD$9)&amp;"/"&amp;$BL$1),"")))))</f>
        <v/>
      </c>
      <c r="R44" s="31" t="str">
        <f>IF($AX44=3,IF($CD$10="","",INDEX(Tính!$F$39:$F$83,$CD$10)),IF($AX44=4,IF($CD$10="","",INDEX(Tính!$C$182:$V$226,$CD$10,INDEX($BJ$3:$BJ$22,$AY44))),IF($AX44=5,IF($CD$10="","",INDEX(Tính!$P$39:$P$83,$CD$10)&amp;"/"&amp;COUNTIF($BA$3:$BA$22,"?*")),IF($AX44=7,IF($CD$10="","",INDEX(Tính!$Q$39:$Q$83,$CD$10)&amp;"/"&amp;$BK$1),IF($AX44=8,IF($CD$10="","",INDEX(Tính!$R$39:$R$83,$CD$10)&amp;"/"&amp;$BL$1),"")))))</f>
        <v/>
      </c>
      <c r="S44" s="31" t="str">
        <f>IF($AX44=3,IF($CD$11="","",INDEX(Tính!$F$39:$F$83,$CD$11)),IF($AX44=4,IF($CD$11="","",INDEX(Tính!$C$182:$V$226,$CD$11,INDEX($BJ$3:$BJ$22,$AY44))),IF($AX44=5,IF($CD$11="","",INDEX(Tính!$P$39:$P$83,$CD$11)&amp;"/"&amp;COUNTIF($BA$3:$BA$22,"?*")),IF($AX44=7,IF($CD$11="","",INDEX(Tính!$Q$39:$Q$83,$CD$11)&amp;"/"&amp;$BK$1),IF($AX44=8,IF($CD$11="","",INDEX(Tính!$R$39:$R$83,$CD$11)&amp;"/"&amp;$BL$1),"")))))</f>
        <v/>
      </c>
      <c r="T44" s="31" t="str">
        <f>IF($AX44=3,IF($CD$12="","",INDEX(Tính!$F$39:$F$83,$CD$12)),IF($AX44=4,IF($CD$12="","",INDEX(Tính!$C$182:$V$226,$CD$12,INDEX($BJ$3:$BJ$22,$AY44))),IF($AX44=5,IF($CD$12="","",INDEX(Tính!$P$39:$P$83,$CD$12)&amp;"/"&amp;COUNTIF($BA$3:$BA$22,"?*")),IF($AX44=7,IF($CD$12="","",INDEX(Tính!$Q$39:$Q$83,$CD$12)&amp;"/"&amp;$BK$1),IF($AX44=8,IF($CD$12="","",INDEX(Tính!$R$39:$R$83,$CD$12)&amp;"/"&amp;$BL$1),"")))))</f>
        <v/>
      </c>
      <c r="U44" s="31" t="str">
        <f>IF($AX44=3,IF($CD$13="","",INDEX(Tính!$F$39:$F$83,$CD$13)),IF($AX44=4,IF($CD$13="","",INDEX(Tính!$C$182:$V$226,$CD$13,INDEX($BJ$3:$BJ$22,$AY44))),IF($AX44=5,IF($CD$13="","",INDEX(Tính!$P$39:$P$83,$CD$13)&amp;"/"&amp;COUNTIF($BA$3:$BA$22,"?*")),IF($AX44=7,IF($CD$13="","",INDEX(Tính!$Q$39:$Q$83,$CD$13)&amp;"/"&amp;$BK$1),IF($AX44=8,IF($CD$13="","",INDEX(Tính!$R$39:$R$83,$CD$13)&amp;"/"&amp;$BL$1),"")))))</f>
        <v/>
      </c>
      <c r="V44" s="31" t="str">
        <f>IF($AX44=3,IF($CD$14="","",INDEX(Tính!$F$39:$F$83,$CD$14)),IF($AX44=4,IF($CD$14="","",INDEX(Tính!$C$182:$V$226,$CD$14,INDEX($BJ$3:$BJ$22,$AY44))),IF($AX44=5,IF($CD$14="","",INDEX(Tính!$P$39:$P$83,$CD$14)&amp;"/"&amp;COUNTIF($BA$3:$BA$22,"?*")),IF($AX44=7,IF($CD$14="","",INDEX(Tính!$Q$39:$Q$83,$CD$14)&amp;"/"&amp;$BK$1),IF($AX44=8,IF($CD$14="","",INDEX(Tính!$R$39:$R$83,$CD$14)&amp;"/"&amp;$BL$1),"")))))</f>
        <v/>
      </c>
      <c r="W44" s="31" t="str">
        <f>IF($AX44=3,IF($CD$15="","",INDEX(Tính!$F$39:$F$83,$CD$15)),IF($AX44=4,IF($CD$15="","",INDEX(Tính!$C$182:$V$226,$CD$15,INDEX($BJ$3:$BJ$22,$AY44))),IF($AX44=5,IF($CD$15="","",INDEX(Tính!$P$39:$P$83,$CD$15)&amp;"/"&amp;COUNTIF($BA$3:$BA$22,"?*")),IF($AX44=7,IF($CD$15="","",INDEX(Tính!$Q$39:$Q$83,$CD$15)&amp;"/"&amp;$BK$1),IF($AX44=8,IF($CD$15="","",INDEX(Tính!$R$39:$R$83,$CD$15)&amp;"/"&amp;$BL$1),"")))))</f>
        <v/>
      </c>
      <c r="X44" s="31" t="str">
        <f>IF($AX44=3,IF($CD$16="","",INDEX(Tính!$F$39:$F$83,$CD$16)),IF($AX44=4,IF($CD$16="","",INDEX(Tính!$C$182:$V$226,$CD$16,INDEX($BJ$3:$BJ$22,$AY44))),IF($AX44=5,IF($CD$16="","",INDEX(Tính!$P$39:$P$83,$CD$16)&amp;"/"&amp;COUNTIF($BA$3:$BA$22,"?*")),IF($AX44=7,IF($CD$16="","",INDEX(Tính!$Q$39:$Q$83,$CD$16)&amp;"/"&amp;$BK$1),IF($AX44=8,IF($CD$16="","",INDEX(Tính!$R$39:$R$83,$CD$16)&amp;"/"&amp;$BL$1),"")))))</f>
        <v/>
      </c>
      <c r="Y44" s="31" t="str">
        <f>IF($AX44=3,IF($CD$17="","",INDEX(Tính!$F$39:$F$83,$CD$17)),IF($AX44=4,IF($CD$17="","",INDEX(Tính!$C$182:$V$226,$CD$17,INDEX($BJ$3:$BJ$22,$AY44))),IF($AX44=5,IF($CD$17="","",INDEX(Tính!$P$39:$P$83,$CD$17)&amp;"/"&amp;COUNTIF($BA$3:$BA$22,"?*")),IF($AX44=7,IF($CD$17="","",INDEX(Tính!$Q$39:$Q$83,$CD$17)&amp;"/"&amp;$BK$1),IF($AX44=8,IF($CD$17="","",INDEX(Tính!$R$39:$R$83,$CD$17)&amp;"/"&amp;$BL$1),"")))))</f>
        <v/>
      </c>
      <c r="Z44" s="31" t="str">
        <f>IF($AX44=3,IF($CD$18="","",INDEX(Tính!$F$39:$F$83,$CD$18)),IF($AX44=4,IF($CD$18="","",INDEX(Tính!$C$182:$V$226,$CD$18,INDEX($BJ$3:$BJ$22,$AY44))),IF($AX44=5,IF($CD$18="","",INDEX(Tính!$P$39:$P$83,$CD$18)&amp;"/"&amp;COUNTIF($BA$3:$BA$22,"?*")),IF($AX44=7,IF($CD$18="","",INDEX(Tính!$Q$39:$Q$83,$CD$18)&amp;"/"&amp;$BK$1),IF($AX44=8,IF($CD$18="","",INDEX(Tính!$R$39:$R$83,$CD$18)&amp;"/"&amp;$BL$1),"")))))</f>
        <v/>
      </c>
      <c r="AA44" s="31" t="str">
        <f>IF($AX44=3,IF($CD$19="","",INDEX(Tính!$F$39:$F$83,$CD$19)),IF($AX44=4,IF($CD$19="","",INDEX(Tính!$C$182:$V$226,$CD$19,INDEX($BJ$3:$BJ$22,$AY44))),IF($AX44=5,IF($CD$19="","",INDEX(Tính!$P$39:$P$83,$CD$19)&amp;"/"&amp;COUNTIF($BA$3:$BA$22,"?*")),IF($AX44=7,IF($CD$19="","",INDEX(Tính!$Q$39:$Q$83,$CD$19)&amp;"/"&amp;$BK$1),IF($AX44=8,IF($CD$19="","",INDEX(Tính!$R$39:$R$83,$CD$19)&amp;"/"&amp;$BL$1),"")))))</f>
        <v/>
      </c>
      <c r="AB44" s="31" t="str">
        <f>IF($AX44=3,IF($CD$20="","",INDEX(Tính!$F$39:$F$83,$CD$20)),IF($AX44=4,IF($CD$20="","",INDEX(Tính!$C$182:$V$226,$CD$20,INDEX($BJ$3:$BJ$22,$AY44))),IF($AX44=5,IF($CD$20="","",INDEX(Tính!$P$39:$P$83,$CD$20)&amp;"/"&amp;COUNTIF($BA$3:$BA$22,"?*")),IF($AX44=7,IF($CD$20="","",INDEX(Tính!$Q$39:$Q$83,$CD$20)&amp;"/"&amp;$BK$1),IF($AX44=8,IF($CD$20="","",INDEX(Tính!$R$39:$R$83,$CD$20)&amp;"/"&amp;$BL$1),"")))))</f>
        <v/>
      </c>
      <c r="AC44" s="31" t="str">
        <f>IF($AX44=3,IF($CD$21="","",INDEX(Tính!$F$39:$F$83,$CD$21)),IF($AX44=4,IF($CD$21="","",INDEX(Tính!$C$182:$V$226,$CD$21,INDEX($BJ$3:$BJ$22,$AY44))),IF($AX44=5,IF($CD$21="","",INDEX(Tính!$P$39:$P$83,$CD$21)&amp;"/"&amp;COUNTIF($BA$3:$BA$22,"?*")),IF($AX44=7,IF($CD$21="","",INDEX(Tính!$Q$39:$Q$83,$CD$21)&amp;"/"&amp;$BK$1),IF($AX44=8,IF($CD$21="","",INDEX(Tính!$R$39:$R$83,$CD$21)&amp;"/"&amp;$BL$1),"")))))</f>
        <v/>
      </c>
      <c r="AD44" s="31" t="str">
        <f>IF($AX44=3,IF($CD$22="","",INDEX(Tính!$F$39:$F$83,$CD$22)),IF($AX44=4,IF($CD$22="","",INDEX(Tính!$C$182:$V$226,$CD$22,INDEX($BJ$3:$BJ$22,$AY44))),IF($AX44=5,IF($CD$22="","",INDEX(Tính!$P$39:$P$83,$CD$22)&amp;"/"&amp;COUNTIF($BA$3:$BA$22,"?*")),IF($AX44=7,IF($CD$22="","",INDEX(Tính!$Q$39:$Q$83,$CD$22)&amp;"/"&amp;$BK$1),IF($AX44=8,IF($CD$22="","",INDEX(Tính!$R$39:$R$83,$CD$22)&amp;"/"&amp;$BL$1),"")))))</f>
        <v/>
      </c>
      <c r="AX44">
        <f>IF(40=0,0,IF(40&lt;=$AX$1,1,IF(40=$AX$1+1,2,IF(40=$AX$1+2,3,IF((40-$AX$1-2)&lt;=$AX$3,IF(INDEX($BK$3:$BK$24,(40-$AX$1-2))="C",7,IF(INDEX($BK$3:$BK$24,(40-$AX$1-2))="V",8,4)),IF((40-$AX$1-2)=$AX$3+1,5,6))))))</f>
        <v>6</v>
      </c>
      <c r="AY44">
        <f>IF(AX44=1,40,IF(AX44=4,INDEX($BL$3:$BL$24,(40-$AX$1-2)),0))</f>
        <v>0</v>
      </c>
      <c r="CA44">
        <v>42</v>
      </c>
      <c r="CB44">
        <f>IF(Tính!B80="",0,IF(OR($AZ$1=0,Tính!D80=$AZ$1),1,0))</f>
        <v>0</v>
      </c>
      <c r="CC44">
        <f>IF(CB44=1,Tính!M80+1+(45-42)/1000000,-1)</f>
        <v>-1</v>
      </c>
      <c r="CD44" t="str">
        <f>IF(LARGE($CC$3:$CC$47,42)&lt;0,"",MATCH(LARGE($CC$3:$CC$47,42),$CC$3:$CC$47,0))</f>
        <v/>
      </c>
    </row>
    <row r="45" spans="8:82" x14ac:dyDescent="0.3">
      <c r="H45" s="29" t="str">
        <f t="shared" si="2"/>
        <v/>
      </c>
      <c r="I45" s="12" t="str">
        <f>IF($AX45=0,"Nhân viên",IF($AX45=1,INDEX(Tính!$F$39:$F$83,INDEX($CD$3:$CD$47,$AY45))&amp;" · "&amp;INDEX(Tính!$O$39:$O$83,INDEX($CD$3:$CD$47,$AY45)),IF($AX45=3,"Nhóm hàng",IF($AX45=4,INDEX($BA$3:$BA$22,INDEX($BJ$3:$BJ$22,$AY45)),IF($AX45=5,"Số nhóm đạt",IF($AX45=7,"NHÓM CHÍNH",IF($AX45=8,"NHÓM VƯỢT TRỘI","")))))))</f>
        <v/>
      </c>
      <c r="J45" s="30" t="str">
        <f>IF($AX45=0,"Mục tiêu",IF($AX45=1,FIXED(INDEX(Tính!$J$39:$J$83,INDEX($CD$3:$CD$47,$AY45)),0),IF($AX45=3,"Cả shop",IF($AX45=4,INDEX($BG$3:$BG$22,INDEX($BJ$3:$BJ$22,$AY45)),IF($AX45=5,COUNTIF($BG$3:$BG$22,"&gt;=0.995")&amp;"/"&amp;COUNTIF($BA$3:$BA$22,"?*"),IF($AX45=7,COUNTIFS($BB$3:$BB$22,"Chính",$BG$3:$BG$22,"&gt;=0.995")&amp;"/"&amp;$BK$1,IF($AX45=8,COUNTIFS($BB$3:$BB$22,"Vượt trội",$BG$3:$BG$22,"&gt;=0.995")&amp;"/"&amp;$BL$1,"")))))))</f>
        <v/>
      </c>
      <c r="K45" s="30" t="str">
        <f>IF($AX45=0,"DT QĐ",IF($AX45=1,FIXED(INDEX(Tính!$K$39:$K$83,INDEX($CD$3:$CD$47,$AY45)),1),IF($AX45=3,IF($CD$3="","",INDEX(Tính!$F$39:$F$83,$CD$3)),IF($AX45=4,IF($CD$3="","",INDEX(Tính!$C$182:$V$226,$CD$3,INDEX($BJ$3:$BJ$22,$AY45))),IF($AX45=5,IF($CD$3="","",INDEX(Tính!$P$39:$P$83,$CD$3)&amp;"/"&amp;COUNTIF($BA$3:$BA$22,"?*")),IF($AX45=7,IF($CD$3="","",INDEX(Tính!$Q$39:$Q$83,$CD$3)&amp;"/"&amp;$BK$1),IF($AX45=8,IF($CD$3="","",INDEX(Tính!$R$39:$R$83,$CD$3)&amp;"/"&amp;$BL$1),"")))))))</f>
        <v/>
      </c>
      <c r="L45" s="31" t="str">
        <f>IF($AX45=0,"% HT",IF($AX45=1,INDEX(Tính!$N$39:$N$83,INDEX($CD$3:$CD$47,$AY45)),IF($AX45=3,IF($CD$4="","",INDEX(Tính!$F$39:$F$83,$CD$4)),IF($AX45=4,IF($CD$4="","",INDEX(Tính!$C$182:$V$226,$CD$4,INDEX($BJ$3:$BJ$22,$AY45))),IF($AX45=5,IF($CD$4="","",INDEX(Tính!$P$39:$P$83,$CD$4)&amp;"/"&amp;COUNTIF($BA$3:$BA$22,"?*")),IF($AX45=7,IF($CD$4="","",INDEX(Tính!$Q$39:$Q$83,$CD$4)&amp;"/"&amp;$BK$1),IF($AX45=8,IF($CD$4="","",INDEX(Tính!$R$39:$R$83,$CD$4)&amp;"/"&amp;$BL$1),"")))))))</f>
        <v/>
      </c>
      <c r="M45" s="31" t="str">
        <f>IF($AX45=0,"Dự kiến",IF($AX45=1,INDEX(Tính!$M$39:$M$83,INDEX($CD$3:$CD$47,$AY45)),IF($AX45=3,IF($CD$5="","",INDEX(Tính!$F$39:$F$83,$CD$5)),IF($AX45=4,IF($CD$5="","",INDEX(Tính!$C$182:$V$226,$CD$5,INDEX($BJ$3:$BJ$22,$AY45))),IF($AX45=5,IF($CD$5="","",INDEX(Tính!$P$39:$P$83,$CD$5)&amp;"/"&amp;COUNTIF($BA$3:$BA$22,"?*")),IF($AX45=7,IF($CD$5="","",INDEX(Tính!$Q$39:$Q$83,$CD$5)&amp;"/"&amp;$BK$1),IF($AX45=8,IF($CD$5="","",INDEX(Tính!$R$39:$R$83,$CD$5)&amp;"/"&amp;$BL$1),"")))))))</f>
        <v/>
      </c>
      <c r="N45" s="31" t="str">
        <f>IF($AX45=0,"NH đạt",IF($AX45=1,INDEX(Tính!$P$39:$P$83,INDEX($CD$3:$CD$47,$AY45))&amp;"/"&amp;COUNTIF($BA$3:$BA$22,"?*"),IF($AX45=3,IF($CD$6="","",INDEX(Tính!$F$39:$F$83,$CD$6)),IF($AX45=4,IF($CD$6="","",INDEX(Tính!$C$182:$V$226,$CD$6,INDEX($BJ$3:$BJ$22,$AY45))),IF($AX45=5,IF($CD$6="","",INDEX(Tính!$P$39:$P$83,$CD$6)&amp;"/"&amp;COUNTIF($BA$3:$BA$22,"?*")),IF($AX45=7,IF($CD$6="","",INDEX(Tính!$Q$39:$Q$83,$CD$6)&amp;"/"&amp;$BK$1),IF($AX45=8,IF($CD$6="","",INDEX(Tính!$R$39:$R$83,$CD$6)&amp;"/"&amp;$BL$1),"")))))))</f>
        <v/>
      </c>
      <c r="O45" s="31" t="str">
        <f>IF($AX45=3,IF($CD$7="","",INDEX(Tính!$F$39:$F$83,$CD$7)),IF($AX45=4,IF($CD$7="","",INDEX(Tính!$C$182:$V$226,$CD$7,INDEX($BJ$3:$BJ$22,$AY45))),IF($AX45=5,IF($CD$7="","",INDEX(Tính!$P$39:$P$83,$CD$7)&amp;"/"&amp;COUNTIF($BA$3:$BA$22,"?*")),IF($AX45=7,IF($CD$7="","",INDEX(Tính!$Q$39:$Q$83,$CD$7)&amp;"/"&amp;$BK$1),IF($AX45=8,IF($CD$7="","",INDEX(Tính!$R$39:$R$83,$CD$7)&amp;"/"&amp;$BL$1),"")))))</f>
        <v/>
      </c>
      <c r="P45" s="31" t="str">
        <f>IF($AX45=3,IF($CD$8="","",INDEX(Tính!$F$39:$F$83,$CD$8)),IF($AX45=4,IF($CD$8="","",INDEX(Tính!$C$182:$V$226,$CD$8,INDEX($BJ$3:$BJ$22,$AY45))),IF($AX45=5,IF($CD$8="","",INDEX(Tính!$P$39:$P$83,$CD$8)&amp;"/"&amp;COUNTIF($BA$3:$BA$22,"?*")),IF($AX45=7,IF($CD$8="","",INDEX(Tính!$Q$39:$Q$83,$CD$8)&amp;"/"&amp;$BK$1),IF($AX45=8,IF($CD$8="","",INDEX(Tính!$R$39:$R$83,$CD$8)&amp;"/"&amp;$BL$1),"")))))</f>
        <v/>
      </c>
      <c r="Q45" s="31" t="str">
        <f>IF($AX45=3,IF($CD$9="","",INDEX(Tính!$F$39:$F$83,$CD$9)),IF($AX45=4,IF($CD$9="","",INDEX(Tính!$C$182:$V$226,$CD$9,INDEX($BJ$3:$BJ$22,$AY45))),IF($AX45=5,IF($CD$9="","",INDEX(Tính!$P$39:$P$83,$CD$9)&amp;"/"&amp;COUNTIF($BA$3:$BA$22,"?*")),IF($AX45=7,IF($CD$9="","",INDEX(Tính!$Q$39:$Q$83,$CD$9)&amp;"/"&amp;$BK$1),IF($AX45=8,IF($CD$9="","",INDEX(Tính!$R$39:$R$83,$CD$9)&amp;"/"&amp;$BL$1),"")))))</f>
        <v/>
      </c>
      <c r="R45" s="31" t="str">
        <f>IF($AX45=3,IF($CD$10="","",INDEX(Tính!$F$39:$F$83,$CD$10)),IF($AX45=4,IF($CD$10="","",INDEX(Tính!$C$182:$V$226,$CD$10,INDEX($BJ$3:$BJ$22,$AY45))),IF($AX45=5,IF($CD$10="","",INDEX(Tính!$P$39:$P$83,$CD$10)&amp;"/"&amp;COUNTIF($BA$3:$BA$22,"?*")),IF($AX45=7,IF($CD$10="","",INDEX(Tính!$Q$39:$Q$83,$CD$10)&amp;"/"&amp;$BK$1),IF($AX45=8,IF($CD$10="","",INDEX(Tính!$R$39:$R$83,$CD$10)&amp;"/"&amp;$BL$1),"")))))</f>
        <v/>
      </c>
      <c r="S45" s="31" t="str">
        <f>IF($AX45=3,IF($CD$11="","",INDEX(Tính!$F$39:$F$83,$CD$11)),IF($AX45=4,IF($CD$11="","",INDEX(Tính!$C$182:$V$226,$CD$11,INDEX($BJ$3:$BJ$22,$AY45))),IF($AX45=5,IF($CD$11="","",INDEX(Tính!$P$39:$P$83,$CD$11)&amp;"/"&amp;COUNTIF($BA$3:$BA$22,"?*")),IF($AX45=7,IF($CD$11="","",INDEX(Tính!$Q$39:$Q$83,$CD$11)&amp;"/"&amp;$BK$1),IF($AX45=8,IF($CD$11="","",INDEX(Tính!$R$39:$R$83,$CD$11)&amp;"/"&amp;$BL$1),"")))))</f>
        <v/>
      </c>
      <c r="T45" s="31" t="str">
        <f>IF($AX45=3,IF($CD$12="","",INDEX(Tính!$F$39:$F$83,$CD$12)),IF($AX45=4,IF($CD$12="","",INDEX(Tính!$C$182:$V$226,$CD$12,INDEX($BJ$3:$BJ$22,$AY45))),IF($AX45=5,IF($CD$12="","",INDEX(Tính!$P$39:$P$83,$CD$12)&amp;"/"&amp;COUNTIF($BA$3:$BA$22,"?*")),IF($AX45=7,IF($CD$12="","",INDEX(Tính!$Q$39:$Q$83,$CD$12)&amp;"/"&amp;$BK$1),IF($AX45=8,IF($CD$12="","",INDEX(Tính!$R$39:$R$83,$CD$12)&amp;"/"&amp;$BL$1),"")))))</f>
        <v/>
      </c>
      <c r="U45" s="31" t="str">
        <f>IF($AX45=3,IF($CD$13="","",INDEX(Tính!$F$39:$F$83,$CD$13)),IF($AX45=4,IF($CD$13="","",INDEX(Tính!$C$182:$V$226,$CD$13,INDEX($BJ$3:$BJ$22,$AY45))),IF($AX45=5,IF($CD$13="","",INDEX(Tính!$P$39:$P$83,$CD$13)&amp;"/"&amp;COUNTIF($BA$3:$BA$22,"?*")),IF($AX45=7,IF($CD$13="","",INDEX(Tính!$Q$39:$Q$83,$CD$13)&amp;"/"&amp;$BK$1),IF($AX45=8,IF($CD$13="","",INDEX(Tính!$R$39:$R$83,$CD$13)&amp;"/"&amp;$BL$1),"")))))</f>
        <v/>
      </c>
      <c r="V45" s="31" t="str">
        <f>IF($AX45=3,IF($CD$14="","",INDEX(Tính!$F$39:$F$83,$CD$14)),IF($AX45=4,IF($CD$14="","",INDEX(Tính!$C$182:$V$226,$CD$14,INDEX($BJ$3:$BJ$22,$AY45))),IF($AX45=5,IF($CD$14="","",INDEX(Tính!$P$39:$P$83,$CD$14)&amp;"/"&amp;COUNTIF($BA$3:$BA$22,"?*")),IF($AX45=7,IF($CD$14="","",INDEX(Tính!$Q$39:$Q$83,$CD$14)&amp;"/"&amp;$BK$1),IF($AX45=8,IF($CD$14="","",INDEX(Tính!$R$39:$R$83,$CD$14)&amp;"/"&amp;$BL$1),"")))))</f>
        <v/>
      </c>
      <c r="W45" s="31" t="str">
        <f>IF($AX45=3,IF($CD$15="","",INDEX(Tính!$F$39:$F$83,$CD$15)),IF($AX45=4,IF($CD$15="","",INDEX(Tính!$C$182:$V$226,$CD$15,INDEX($BJ$3:$BJ$22,$AY45))),IF($AX45=5,IF($CD$15="","",INDEX(Tính!$P$39:$P$83,$CD$15)&amp;"/"&amp;COUNTIF($BA$3:$BA$22,"?*")),IF($AX45=7,IF($CD$15="","",INDEX(Tính!$Q$39:$Q$83,$CD$15)&amp;"/"&amp;$BK$1),IF($AX45=8,IF($CD$15="","",INDEX(Tính!$R$39:$R$83,$CD$15)&amp;"/"&amp;$BL$1),"")))))</f>
        <v/>
      </c>
      <c r="X45" s="31" t="str">
        <f>IF($AX45=3,IF($CD$16="","",INDEX(Tính!$F$39:$F$83,$CD$16)),IF($AX45=4,IF($CD$16="","",INDEX(Tính!$C$182:$V$226,$CD$16,INDEX($BJ$3:$BJ$22,$AY45))),IF($AX45=5,IF($CD$16="","",INDEX(Tính!$P$39:$P$83,$CD$16)&amp;"/"&amp;COUNTIF($BA$3:$BA$22,"?*")),IF($AX45=7,IF($CD$16="","",INDEX(Tính!$Q$39:$Q$83,$CD$16)&amp;"/"&amp;$BK$1),IF($AX45=8,IF($CD$16="","",INDEX(Tính!$R$39:$R$83,$CD$16)&amp;"/"&amp;$BL$1),"")))))</f>
        <v/>
      </c>
      <c r="Y45" s="31" t="str">
        <f>IF($AX45=3,IF($CD$17="","",INDEX(Tính!$F$39:$F$83,$CD$17)),IF($AX45=4,IF($CD$17="","",INDEX(Tính!$C$182:$V$226,$CD$17,INDEX($BJ$3:$BJ$22,$AY45))),IF($AX45=5,IF($CD$17="","",INDEX(Tính!$P$39:$P$83,$CD$17)&amp;"/"&amp;COUNTIF($BA$3:$BA$22,"?*")),IF($AX45=7,IF($CD$17="","",INDEX(Tính!$Q$39:$Q$83,$CD$17)&amp;"/"&amp;$BK$1),IF($AX45=8,IF($CD$17="","",INDEX(Tính!$R$39:$R$83,$CD$17)&amp;"/"&amp;$BL$1),"")))))</f>
        <v/>
      </c>
      <c r="Z45" s="31" t="str">
        <f>IF($AX45=3,IF($CD$18="","",INDEX(Tính!$F$39:$F$83,$CD$18)),IF($AX45=4,IF($CD$18="","",INDEX(Tính!$C$182:$V$226,$CD$18,INDEX($BJ$3:$BJ$22,$AY45))),IF($AX45=5,IF($CD$18="","",INDEX(Tính!$P$39:$P$83,$CD$18)&amp;"/"&amp;COUNTIF($BA$3:$BA$22,"?*")),IF($AX45=7,IF($CD$18="","",INDEX(Tính!$Q$39:$Q$83,$CD$18)&amp;"/"&amp;$BK$1),IF($AX45=8,IF($CD$18="","",INDEX(Tính!$R$39:$R$83,$CD$18)&amp;"/"&amp;$BL$1),"")))))</f>
        <v/>
      </c>
      <c r="AA45" s="31" t="str">
        <f>IF($AX45=3,IF($CD$19="","",INDEX(Tính!$F$39:$F$83,$CD$19)),IF($AX45=4,IF($CD$19="","",INDEX(Tính!$C$182:$V$226,$CD$19,INDEX($BJ$3:$BJ$22,$AY45))),IF($AX45=5,IF($CD$19="","",INDEX(Tính!$P$39:$P$83,$CD$19)&amp;"/"&amp;COUNTIF($BA$3:$BA$22,"?*")),IF($AX45=7,IF($CD$19="","",INDEX(Tính!$Q$39:$Q$83,$CD$19)&amp;"/"&amp;$BK$1),IF($AX45=8,IF($CD$19="","",INDEX(Tính!$R$39:$R$83,$CD$19)&amp;"/"&amp;$BL$1),"")))))</f>
        <v/>
      </c>
      <c r="AB45" s="31" t="str">
        <f>IF($AX45=3,IF($CD$20="","",INDEX(Tính!$F$39:$F$83,$CD$20)),IF($AX45=4,IF($CD$20="","",INDEX(Tính!$C$182:$V$226,$CD$20,INDEX($BJ$3:$BJ$22,$AY45))),IF($AX45=5,IF($CD$20="","",INDEX(Tính!$P$39:$P$83,$CD$20)&amp;"/"&amp;COUNTIF($BA$3:$BA$22,"?*")),IF($AX45=7,IF($CD$20="","",INDEX(Tính!$Q$39:$Q$83,$CD$20)&amp;"/"&amp;$BK$1),IF($AX45=8,IF($CD$20="","",INDEX(Tính!$R$39:$R$83,$CD$20)&amp;"/"&amp;$BL$1),"")))))</f>
        <v/>
      </c>
      <c r="AC45" s="31" t="str">
        <f>IF($AX45=3,IF($CD$21="","",INDEX(Tính!$F$39:$F$83,$CD$21)),IF($AX45=4,IF($CD$21="","",INDEX(Tính!$C$182:$V$226,$CD$21,INDEX($BJ$3:$BJ$22,$AY45))),IF($AX45=5,IF($CD$21="","",INDEX(Tính!$P$39:$P$83,$CD$21)&amp;"/"&amp;COUNTIF($BA$3:$BA$22,"?*")),IF($AX45=7,IF($CD$21="","",INDEX(Tính!$Q$39:$Q$83,$CD$21)&amp;"/"&amp;$BK$1),IF($AX45=8,IF($CD$21="","",INDEX(Tính!$R$39:$R$83,$CD$21)&amp;"/"&amp;$BL$1),"")))))</f>
        <v/>
      </c>
      <c r="AD45" s="31" t="str">
        <f>IF($AX45=3,IF($CD$22="","",INDEX(Tính!$F$39:$F$83,$CD$22)),IF($AX45=4,IF($CD$22="","",INDEX(Tính!$C$182:$V$226,$CD$22,INDEX($BJ$3:$BJ$22,$AY45))),IF($AX45=5,IF($CD$22="","",INDEX(Tính!$P$39:$P$83,$CD$22)&amp;"/"&amp;COUNTIF($BA$3:$BA$22,"?*")),IF($AX45=7,IF($CD$22="","",INDEX(Tính!$Q$39:$Q$83,$CD$22)&amp;"/"&amp;$BK$1),IF($AX45=8,IF($CD$22="","",INDEX(Tính!$R$39:$R$83,$CD$22)&amp;"/"&amp;$BL$1),"")))))</f>
        <v/>
      </c>
      <c r="AX45">
        <f>IF(41=0,0,IF(41&lt;=$AX$1,1,IF(41=$AX$1+1,2,IF(41=$AX$1+2,3,IF((41-$AX$1-2)&lt;=$AX$3,IF(INDEX($BK$3:$BK$24,(41-$AX$1-2))="C",7,IF(INDEX($BK$3:$BK$24,(41-$AX$1-2))="V",8,4)),IF((41-$AX$1-2)=$AX$3+1,5,6))))))</f>
        <v>6</v>
      </c>
      <c r="AY45">
        <f>IF(AX45=1,41,IF(AX45=4,INDEX($BL$3:$BL$24,(41-$AX$1-2)),0))</f>
        <v>0</v>
      </c>
      <c r="CA45">
        <v>43</v>
      </c>
      <c r="CB45">
        <f>IF(Tính!B81="",0,IF(OR($AZ$1=0,Tính!D81=$AZ$1),1,0))</f>
        <v>0</v>
      </c>
      <c r="CC45">
        <f>IF(CB45=1,Tính!M81+1+(45-43)/1000000,-1)</f>
        <v>-1</v>
      </c>
      <c r="CD45" t="str">
        <f>IF(LARGE($CC$3:$CC$47,43)&lt;0,"",MATCH(LARGE($CC$3:$CC$47,43),$CC$3:$CC$47,0))</f>
        <v/>
      </c>
    </row>
    <row r="46" spans="8:82" x14ac:dyDescent="0.3">
      <c r="H46" s="29" t="str">
        <f t="shared" si="2"/>
        <v/>
      </c>
      <c r="I46" s="12" t="str">
        <f>IF($AX46=0,"Nhân viên",IF($AX46=1,INDEX(Tính!$F$39:$F$83,INDEX($CD$3:$CD$47,$AY46))&amp;" · "&amp;INDEX(Tính!$O$39:$O$83,INDEX($CD$3:$CD$47,$AY46)),IF($AX46=3,"Nhóm hàng",IF($AX46=4,INDEX($BA$3:$BA$22,INDEX($BJ$3:$BJ$22,$AY46)),IF($AX46=5,"Số nhóm đạt",IF($AX46=7,"NHÓM CHÍNH",IF($AX46=8,"NHÓM VƯỢT TRỘI","")))))))</f>
        <v/>
      </c>
      <c r="J46" s="30" t="str">
        <f>IF($AX46=0,"Mục tiêu",IF($AX46=1,FIXED(INDEX(Tính!$J$39:$J$83,INDEX($CD$3:$CD$47,$AY46)),0),IF($AX46=3,"Cả shop",IF($AX46=4,INDEX($BG$3:$BG$22,INDEX($BJ$3:$BJ$22,$AY46)),IF($AX46=5,COUNTIF($BG$3:$BG$22,"&gt;=0.995")&amp;"/"&amp;COUNTIF($BA$3:$BA$22,"?*"),IF($AX46=7,COUNTIFS($BB$3:$BB$22,"Chính",$BG$3:$BG$22,"&gt;=0.995")&amp;"/"&amp;$BK$1,IF($AX46=8,COUNTIFS($BB$3:$BB$22,"Vượt trội",$BG$3:$BG$22,"&gt;=0.995")&amp;"/"&amp;$BL$1,"")))))))</f>
        <v/>
      </c>
      <c r="K46" s="30" t="str">
        <f>IF($AX46=0,"DT QĐ",IF($AX46=1,FIXED(INDEX(Tính!$K$39:$K$83,INDEX($CD$3:$CD$47,$AY46)),1),IF($AX46=3,IF($CD$3="","",INDEX(Tính!$F$39:$F$83,$CD$3)),IF($AX46=4,IF($CD$3="","",INDEX(Tính!$C$182:$V$226,$CD$3,INDEX($BJ$3:$BJ$22,$AY46))),IF($AX46=5,IF($CD$3="","",INDEX(Tính!$P$39:$P$83,$CD$3)&amp;"/"&amp;COUNTIF($BA$3:$BA$22,"?*")),IF($AX46=7,IF($CD$3="","",INDEX(Tính!$Q$39:$Q$83,$CD$3)&amp;"/"&amp;$BK$1),IF($AX46=8,IF($CD$3="","",INDEX(Tính!$R$39:$R$83,$CD$3)&amp;"/"&amp;$BL$1),"")))))))</f>
        <v/>
      </c>
      <c r="L46" s="31" t="str">
        <f>IF($AX46=0,"% HT",IF($AX46=1,INDEX(Tính!$N$39:$N$83,INDEX($CD$3:$CD$47,$AY46)),IF($AX46=3,IF($CD$4="","",INDEX(Tính!$F$39:$F$83,$CD$4)),IF($AX46=4,IF($CD$4="","",INDEX(Tính!$C$182:$V$226,$CD$4,INDEX($BJ$3:$BJ$22,$AY46))),IF($AX46=5,IF($CD$4="","",INDEX(Tính!$P$39:$P$83,$CD$4)&amp;"/"&amp;COUNTIF($BA$3:$BA$22,"?*")),IF($AX46=7,IF($CD$4="","",INDEX(Tính!$Q$39:$Q$83,$CD$4)&amp;"/"&amp;$BK$1),IF($AX46=8,IF($CD$4="","",INDEX(Tính!$R$39:$R$83,$CD$4)&amp;"/"&amp;$BL$1),"")))))))</f>
        <v/>
      </c>
      <c r="M46" s="31" t="str">
        <f>IF($AX46=0,"Dự kiến",IF($AX46=1,INDEX(Tính!$M$39:$M$83,INDEX($CD$3:$CD$47,$AY46)),IF($AX46=3,IF($CD$5="","",INDEX(Tính!$F$39:$F$83,$CD$5)),IF($AX46=4,IF($CD$5="","",INDEX(Tính!$C$182:$V$226,$CD$5,INDEX($BJ$3:$BJ$22,$AY46))),IF($AX46=5,IF($CD$5="","",INDEX(Tính!$P$39:$P$83,$CD$5)&amp;"/"&amp;COUNTIF($BA$3:$BA$22,"?*")),IF($AX46=7,IF($CD$5="","",INDEX(Tính!$Q$39:$Q$83,$CD$5)&amp;"/"&amp;$BK$1),IF($AX46=8,IF($CD$5="","",INDEX(Tính!$R$39:$R$83,$CD$5)&amp;"/"&amp;$BL$1),"")))))))</f>
        <v/>
      </c>
      <c r="N46" s="31" t="str">
        <f>IF($AX46=0,"NH đạt",IF($AX46=1,INDEX(Tính!$P$39:$P$83,INDEX($CD$3:$CD$47,$AY46))&amp;"/"&amp;COUNTIF($BA$3:$BA$22,"?*"),IF($AX46=3,IF($CD$6="","",INDEX(Tính!$F$39:$F$83,$CD$6)),IF($AX46=4,IF($CD$6="","",INDEX(Tính!$C$182:$V$226,$CD$6,INDEX($BJ$3:$BJ$22,$AY46))),IF($AX46=5,IF($CD$6="","",INDEX(Tính!$P$39:$P$83,$CD$6)&amp;"/"&amp;COUNTIF($BA$3:$BA$22,"?*")),IF($AX46=7,IF($CD$6="","",INDEX(Tính!$Q$39:$Q$83,$CD$6)&amp;"/"&amp;$BK$1),IF($AX46=8,IF($CD$6="","",INDEX(Tính!$R$39:$R$83,$CD$6)&amp;"/"&amp;$BL$1),"")))))))</f>
        <v/>
      </c>
      <c r="O46" s="31" t="str">
        <f>IF($AX46=3,IF($CD$7="","",INDEX(Tính!$F$39:$F$83,$CD$7)),IF($AX46=4,IF($CD$7="","",INDEX(Tính!$C$182:$V$226,$CD$7,INDEX($BJ$3:$BJ$22,$AY46))),IF($AX46=5,IF($CD$7="","",INDEX(Tính!$P$39:$P$83,$CD$7)&amp;"/"&amp;COUNTIF($BA$3:$BA$22,"?*")),IF($AX46=7,IF($CD$7="","",INDEX(Tính!$Q$39:$Q$83,$CD$7)&amp;"/"&amp;$BK$1),IF($AX46=8,IF($CD$7="","",INDEX(Tính!$R$39:$R$83,$CD$7)&amp;"/"&amp;$BL$1),"")))))</f>
        <v/>
      </c>
      <c r="P46" s="31" t="str">
        <f>IF($AX46=3,IF($CD$8="","",INDEX(Tính!$F$39:$F$83,$CD$8)),IF($AX46=4,IF($CD$8="","",INDEX(Tính!$C$182:$V$226,$CD$8,INDEX($BJ$3:$BJ$22,$AY46))),IF($AX46=5,IF($CD$8="","",INDEX(Tính!$P$39:$P$83,$CD$8)&amp;"/"&amp;COUNTIF($BA$3:$BA$22,"?*")),IF($AX46=7,IF($CD$8="","",INDEX(Tính!$Q$39:$Q$83,$CD$8)&amp;"/"&amp;$BK$1),IF($AX46=8,IF($CD$8="","",INDEX(Tính!$R$39:$R$83,$CD$8)&amp;"/"&amp;$BL$1),"")))))</f>
        <v/>
      </c>
      <c r="Q46" s="31" t="str">
        <f>IF($AX46=3,IF($CD$9="","",INDEX(Tính!$F$39:$F$83,$CD$9)),IF($AX46=4,IF($CD$9="","",INDEX(Tính!$C$182:$V$226,$CD$9,INDEX($BJ$3:$BJ$22,$AY46))),IF($AX46=5,IF($CD$9="","",INDEX(Tính!$P$39:$P$83,$CD$9)&amp;"/"&amp;COUNTIF($BA$3:$BA$22,"?*")),IF($AX46=7,IF($CD$9="","",INDEX(Tính!$Q$39:$Q$83,$CD$9)&amp;"/"&amp;$BK$1),IF($AX46=8,IF($CD$9="","",INDEX(Tính!$R$39:$R$83,$CD$9)&amp;"/"&amp;$BL$1),"")))))</f>
        <v/>
      </c>
      <c r="R46" s="31" t="str">
        <f>IF($AX46=3,IF($CD$10="","",INDEX(Tính!$F$39:$F$83,$CD$10)),IF($AX46=4,IF($CD$10="","",INDEX(Tính!$C$182:$V$226,$CD$10,INDEX($BJ$3:$BJ$22,$AY46))),IF($AX46=5,IF($CD$10="","",INDEX(Tính!$P$39:$P$83,$CD$10)&amp;"/"&amp;COUNTIF($BA$3:$BA$22,"?*")),IF($AX46=7,IF($CD$10="","",INDEX(Tính!$Q$39:$Q$83,$CD$10)&amp;"/"&amp;$BK$1),IF($AX46=8,IF($CD$10="","",INDEX(Tính!$R$39:$R$83,$CD$10)&amp;"/"&amp;$BL$1),"")))))</f>
        <v/>
      </c>
      <c r="S46" s="31" t="str">
        <f>IF($AX46=3,IF($CD$11="","",INDEX(Tính!$F$39:$F$83,$CD$11)),IF($AX46=4,IF($CD$11="","",INDEX(Tính!$C$182:$V$226,$CD$11,INDEX($BJ$3:$BJ$22,$AY46))),IF($AX46=5,IF($CD$11="","",INDEX(Tính!$P$39:$P$83,$CD$11)&amp;"/"&amp;COUNTIF($BA$3:$BA$22,"?*")),IF($AX46=7,IF($CD$11="","",INDEX(Tính!$Q$39:$Q$83,$CD$11)&amp;"/"&amp;$BK$1),IF($AX46=8,IF($CD$11="","",INDEX(Tính!$R$39:$R$83,$CD$11)&amp;"/"&amp;$BL$1),"")))))</f>
        <v/>
      </c>
      <c r="T46" s="31" t="str">
        <f>IF($AX46=3,IF($CD$12="","",INDEX(Tính!$F$39:$F$83,$CD$12)),IF($AX46=4,IF($CD$12="","",INDEX(Tính!$C$182:$V$226,$CD$12,INDEX($BJ$3:$BJ$22,$AY46))),IF($AX46=5,IF($CD$12="","",INDEX(Tính!$P$39:$P$83,$CD$12)&amp;"/"&amp;COUNTIF($BA$3:$BA$22,"?*")),IF($AX46=7,IF($CD$12="","",INDEX(Tính!$Q$39:$Q$83,$CD$12)&amp;"/"&amp;$BK$1),IF($AX46=8,IF($CD$12="","",INDEX(Tính!$R$39:$R$83,$CD$12)&amp;"/"&amp;$BL$1),"")))))</f>
        <v/>
      </c>
      <c r="U46" s="31" t="str">
        <f>IF($AX46=3,IF($CD$13="","",INDEX(Tính!$F$39:$F$83,$CD$13)),IF($AX46=4,IF($CD$13="","",INDEX(Tính!$C$182:$V$226,$CD$13,INDEX($BJ$3:$BJ$22,$AY46))),IF($AX46=5,IF($CD$13="","",INDEX(Tính!$P$39:$P$83,$CD$13)&amp;"/"&amp;COUNTIF($BA$3:$BA$22,"?*")),IF($AX46=7,IF($CD$13="","",INDEX(Tính!$Q$39:$Q$83,$CD$13)&amp;"/"&amp;$BK$1),IF($AX46=8,IF($CD$13="","",INDEX(Tính!$R$39:$R$83,$CD$13)&amp;"/"&amp;$BL$1),"")))))</f>
        <v/>
      </c>
      <c r="V46" s="31" t="str">
        <f>IF($AX46=3,IF($CD$14="","",INDEX(Tính!$F$39:$F$83,$CD$14)),IF($AX46=4,IF($CD$14="","",INDEX(Tính!$C$182:$V$226,$CD$14,INDEX($BJ$3:$BJ$22,$AY46))),IF($AX46=5,IF($CD$14="","",INDEX(Tính!$P$39:$P$83,$CD$14)&amp;"/"&amp;COUNTIF($BA$3:$BA$22,"?*")),IF($AX46=7,IF($CD$14="","",INDEX(Tính!$Q$39:$Q$83,$CD$14)&amp;"/"&amp;$BK$1),IF($AX46=8,IF($CD$14="","",INDEX(Tính!$R$39:$R$83,$CD$14)&amp;"/"&amp;$BL$1),"")))))</f>
        <v/>
      </c>
      <c r="W46" s="31" t="str">
        <f>IF($AX46=3,IF($CD$15="","",INDEX(Tính!$F$39:$F$83,$CD$15)),IF($AX46=4,IF($CD$15="","",INDEX(Tính!$C$182:$V$226,$CD$15,INDEX($BJ$3:$BJ$22,$AY46))),IF($AX46=5,IF($CD$15="","",INDEX(Tính!$P$39:$P$83,$CD$15)&amp;"/"&amp;COUNTIF($BA$3:$BA$22,"?*")),IF($AX46=7,IF($CD$15="","",INDEX(Tính!$Q$39:$Q$83,$CD$15)&amp;"/"&amp;$BK$1),IF($AX46=8,IF($CD$15="","",INDEX(Tính!$R$39:$R$83,$CD$15)&amp;"/"&amp;$BL$1),"")))))</f>
        <v/>
      </c>
      <c r="X46" s="31" t="str">
        <f>IF($AX46=3,IF($CD$16="","",INDEX(Tính!$F$39:$F$83,$CD$16)),IF($AX46=4,IF($CD$16="","",INDEX(Tính!$C$182:$V$226,$CD$16,INDEX($BJ$3:$BJ$22,$AY46))),IF($AX46=5,IF($CD$16="","",INDEX(Tính!$P$39:$P$83,$CD$16)&amp;"/"&amp;COUNTIF($BA$3:$BA$22,"?*")),IF($AX46=7,IF($CD$16="","",INDEX(Tính!$Q$39:$Q$83,$CD$16)&amp;"/"&amp;$BK$1),IF($AX46=8,IF($CD$16="","",INDEX(Tính!$R$39:$R$83,$CD$16)&amp;"/"&amp;$BL$1),"")))))</f>
        <v/>
      </c>
      <c r="Y46" s="31" t="str">
        <f>IF($AX46=3,IF($CD$17="","",INDEX(Tính!$F$39:$F$83,$CD$17)),IF($AX46=4,IF($CD$17="","",INDEX(Tính!$C$182:$V$226,$CD$17,INDEX($BJ$3:$BJ$22,$AY46))),IF($AX46=5,IF($CD$17="","",INDEX(Tính!$P$39:$P$83,$CD$17)&amp;"/"&amp;COUNTIF($BA$3:$BA$22,"?*")),IF($AX46=7,IF($CD$17="","",INDEX(Tính!$Q$39:$Q$83,$CD$17)&amp;"/"&amp;$BK$1),IF($AX46=8,IF($CD$17="","",INDEX(Tính!$R$39:$R$83,$CD$17)&amp;"/"&amp;$BL$1),"")))))</f>
        <v/>
      </c>
      <c r="Z46" s="31" t="str">
        <f>IF($AX46=3,IF($CD$18="","",INDEX(Tính!$F$39:$F$83,$CD$18)),IF($AX46=4,IF($CD$18="","",INDEX(Tính!$C$182:$V$226,$CD$18,INDEX($BJ$3:$BJ$22,$AY46))),IF($AX46=5,IF($CD$18="","",INDEX(Tính!$P$39:$P$83,$CD$18)&amp;"/"&amp;COUNTIF($BA$3:$BA$22,"?*")),IF($AX46=7,IF($CD$18="","",INDEX(Tính!$Q$39:$Q$83,$CD$18)&amp;"/"&amp;$BK$1),IF($AX46=8,IF($CD$18="","",INDEX(Tính!$R$39:$R$83,$CD$18)&amp;"/"&amp;$BL$1),"")))))</f>
        <v/>
      </c>
      <c r="AA46" s="31" t="str">
        <f>IF($AX46=3,IF($CD$19="","",INDEX(Tính!$F$39:$F$83,$CD$19)),IF($AX46=4,IF($CD$19="","",INDEX(Tính!$C$182:$V$226,$CD$19,INDEX($BJ$3:$BJ$22,$AY46))),IF($AX46=5,IF($CD$19="","",INDEX(Tính!$P$39:$P$83,$CD$19)&amp;"/"&amp;COUNTIF($BA$3:$BA$22,"?*")),IF($AX46=7,IF($CD$19="","",INDEX(Tính!$Q$39:$Q$83,$CD$19)&amp;"/"&amp;$BK$1),IF($AX46=8,IF($CD$19="","",INDEX(Tính!$R$39:$R$83,$CD$19)&amp;"/"&amp;$BL$1),"")))))</f>
        <v/>
      </c>
      <c r="AB46" s="31" t="str">
        <f>IF($AX46=3,IF($CD$20="","",INDEX(Tính!$F$39:$F$83,$CD$20)),IF($AX46=4,IF($CD$20="","",INDEX(Tính!$C$182:$V$226,$CD$20,INDEX($BJ$3:$BJ$22,$AY46))),IF($AX46=5,IF($CD$20="","",INDEX(Tính!$P$39:$P$83,$CD$20)&amp;"/"&amp;COUNTIF($BA$3:$BA$22,"?*")),IF($AX46=7,IF($CD$20="","",INDEX(Tính!$Q$39:$Q$83,$CD$20)&amp;"/"&amp;$BK$1),IF($AX46=8,IF($CD$20="","",INDEX(Tính!$R$39:$R$83,$CD$20)&amp;"/"&amp;$BL$1),"")))))</f>
        <v/>
      </c>
      <c r="AC46" s="31" t="str">
        <f>IF($AX46=3,IF($CD$21="","",INDEX(Tính!$F$39:$F$83,$CD$21)),IF($AX46=4,IF($CD$21="","",INDEX(Tính!$C$182:$V$226,$CD$21,INDEX($BJ$3:$BJ$22,$AY46))),IF($AX46=5,IF($CD$21="","",INDEX(Tính!$P$39:$P$83,$CD$21)&amp;"/"&amp;COUNTIF($BA$3:$BA$22,"?*")),IF($AX46=7,IF($CD$21="","",INDEX(Tính!$Q$39:$Q$83,$CD$21)&amp;"/"&amp;$BK$1),IF($AX46=8,IF($CD$21="","",INDEX(Tính!$R$39:$R$83,$CD$21)&amp;"/"&amp;$BL$1),"")))))</f>
        <v/>
      </c>
      <c r="AD46" s="31" t="str">
        <f>IF($AX46=3,IF($CD$22="","",INDEX(Tính!$F$39:$F$83,$CD$22)),IF($AX46=4,IF($CD$22="","",INDEX(Tính!$C$182:$V$226,$CD$22,INDEX($BJ$3:$BJ$22,$AY46))),IF($AX46=5,IF($CD$22="","",INDEX(Tính!$P$39:$P$83,$CD$22)&amp;"/"&amp;COUNTIF($BA$3:$BA$22,"?*")),IF($AX46=7,IF($CD$22="","",INDEX(Tính!$Q$39:$Q$83,$CD$22)&amp;"/"&amp;$BK$1),IF($AX46=8,IF($CD$22="","",INDEX(Tính!$R$39:$R$83,$CD$22)&amp;"/"&amp;$BL$1),"")))))</f>
        <v/>
      </c>
      <c r="AX46">
        <f>IF(42=0,0,IF(42&lt;=$AX$1,1,IF(42=$AX$1+1,2,IF(42=$AX$1+2,3,IF((42-$AX$1-2)&lt;=$AX$3,IF(INDEX($BK$3:$BK$24,(42-$AX$1-2))="C",7,IF(INDEX($BK$3:$BK$24,(42-$AX$1-2))="V",8,4)),IF((42-$AX$1-2)=$AX$3+1,5,6))))))</f>
        <v>6</v>
      </c>
      <c r="AY46">
        <f>IF(AX46=1,42,IF(AX46=4,INDEX($BL$3:$BL$24,(42-$AX$1-2)),0))</f>
        <v>0</v>
      </c>
      <c r="CA46">
        <v>44</v>
      </c>
      <c r="CB46">
        <f>IF(Tính!B82="",0,IF(OR($AZ$1=0,Tính!D82=$AZ$1),1,0))</f>
        <v>0</v>
      </c>
      <c r="CC46">
        <f>IF(CB46=1,Tính!M82+1+(45-44)/1000000,-1)</f>
        <v>-1</v>
      </c>
      <c r="CD46" t="str">
        <f>IF(LARGE($CC$3:$CC$47,44)&lt;0,"",MATCH(LARGE($CC$3:$CC$47,44),$CC$3:$CC$47,0))</f>
        <v/>
      </c>
    </row>
    <row r="47" spans="8:82" x14ac:dyDescent="0.3">
      <c r="H47" s="29" t="str">
        <f t="shared" si="2"/>
        <v/>
      </c>
      <c r="I47" s="12" t="str">
        <f>IF($AX47=0,"Nhân viên",IF($AX47=1,INDEX(Tính!$F$39:$F$83,INDEX($CD$3:$CD$47,$AY47))&amp;" · "&amp;INDEX(Tính!$O$39:$O$83,INDEX($CD$3:$CD$47,$AY47)),IF($AX47=3,"Nhóm hàng",IF($AX47=4,INDEX($BA$3:$BA$22,INDEX($BJ$3:$BJ$22,$AY47)),IF($AX47=5,"Số nhóm đạt",IF($AX47=7,"NHÓM CHÍNH",IF($AX47=8,"NHÓM VƯỢT TRỘI","")))))))</f>
        <v/>
      </c>
      <c r="J47" s="30" t="str">
        <f>IF($AX47=0,"Mục tiêu",IF($AX47=1,FIXED(INDEX(Tính!$J$39:$J$83,INDEX($CD$3:$CD$47,$AY47)),0),IF($AX47=3,"Cả shop",IF($AX47=4,INDEX($BG$3:$BG$22,INDEX($BJ$3:$BJ$22,$AY47)),IF($AX47=5,COUNTIF($BG$3:$BG$22,"&gt;=0.995")&amp;"/"&amp;COUNTIF($BA$3:$BA$22,"?*"),IF($AX47=7,COUNTIFS($BB$3:$BB$22,"Chính",$BG$3:$BG$22,"&gt;=0.995")&amp;"/"&amp;$BK$1,IF($AX47=8,COUNTIFS($BB$3:$BB$22,"Vượt trội",$BG$3:$BG$22,"&gt;=0.995")&amp;"/"&amp;$BL$1,"")))))))</f>
        <v/>
      </c>
      <c r="K47" s="30" t="str">
        <f>IF($AX47=0,"DT QĐ",IF($AX47=1,FIXED(INDEX(Tính!$K$39:$K$83,INDEX($CD$3:$CD$47,$AY47)),1),IF($AX47=3,IF($CD$3="","",INDEX(Tính!$F$39:$F$83,$CD$3)),IF($AX47=4,IF($CD$3="","",INDEX(Tính!$C$182:$V$226,$CD$3,INDEX($BJ$3:$BJ$22,$AY47))),IF($AX47=5,IF($CD$3="","",INDEX(Tính!$P$39:$P$83,$CD$3)&amp;"/"&amp;COUNTIF($BA$3:$BA$22,"?*")),IF($AX47=7,IF($CD$3="","",INDEX(Tính!$Q$39:$Q$83,$CD$3)&amp;"/"&amp;$BK$1),IF($AX47=8,IF($CD$3="","",INDEX(Tính!$R$39:$R$83,$CD$3)&amp;"/"&amp;$BL$1),"")))))))</f>
        <v/>
      </c>
      <c r="L47" s="31" t="str">
        <f>IF($AX47=0,"% HT",IF($AX47=1,INDEX(Tính!$N$39:$N$83,INDEX($CD$3:$CD$47,$AY47)),IF($AX47=3,IF($CD$4="","",INDEX(Tính!$F$39:$F$83,$CD$4)),IF($AX47=4,IF($CD$4="","",INDEX(Tính!$C$182:$V$226,$CD$4,INDEX($BJ$3:$BJ$22,$AY47))),IF($AX47=5,IF($CD$4="","",INDEX(Tính!$P$39:$P$83,$CD$4)&amp;"/"&amp;COUNTIF($BA$3:$BA$22,"?*")),IF($AX47=7,IF($CD$4="","",INDEX(Tính!$Q$39:$Q$83,$CD$4)&amp;"/"&amp;$BK$1),IF($AX47=8,IF($CD$4="","",INDEX(Tính!$R$39:$R$83,$CD$4)&amp;"/"&amp;$BL$1),"")))))))</f>
        <v/>
      </c>
      <c r="M47" s="31" t="str">
        <f>IF($AX47=0,"Dự kiến",IF($AX47=1,INDEX(Tính!$M$39:$M$83,INDEX($CD$3:$CD$47,$AY47)),IF($AX47=3,IF($CD$5="","",INDEX(Tính!$F$39:$F$83,$CD$5)),IF($AX47=4,IF($CD$5="","",INDEX(Tính!$C$182:$V$226,$CD$5,INDEX($BJ$3:$BJ$22,$AY47))),IF($AX47=5,IF($CD$5="","",INDEX(Tính!$P$39:$P$83,$CD$5)&amp;"/"&amp;COUNTIF($BA$3:$BA$22,"?*")),IF($AX47=7,IF($CD$5="","",INDEX(Tính!$Q$39:$Q$83,$CD$5)&amp;"/"&amp;$BK$1),IF($AX47=8,IF($CD$5="","",INDEX(Tính!$R$39:$R$83,$CD$5)&amp;"/"&amp;$BL$1),"")))))))</f>
        <v/>
      </c>
      <c r="N47" s="31" t="str">
        <f>IF($AX47=0,"NH đạt",IF($AX47=1,INDEX(Tính!$P$39:$P$83,INDEX($CD$3:$CD$47,$AY47))&amp;"/"&amp;COUNTIF($BA$3:$BA$22,"?*"),IF($AX47=3,IF($CD$6="","",INDEX(Tính!$F$39:$F$83,$CD$6)),IF($AX47=4,IF($CD$6="","",INDEX(Tính!$C$182:$V$226,$CD$6,INDEX($BJ$3:$BJ$22,$AY47))),IF($AX47=5,IF($CD$6="","",INDEX(Tính!$P$39:$P$83,$CD$6)&amp;"/"&amp;COUNTIF($BA$3:$BA$22,"?*")),IF($AX47=7,IF($CD$6="","",INDEX(Tính!$Q$39:$Q$83,$CD$6)&amp;"/"&amp;$BK$1),IF($AX47=8,IF($CD$6="","",INDEX(Tính!$R$39:$R$83,$CD$6)&amp;"/"&amp;$BL$1),"")))))))</f>
        <v/>
      </c>
      <c r="O47" s="31" t="str">
        <f>IF($AX47=3,IF($CD$7="","",INDEX(Tính!$F$39:$F$83,$CD$7)),IF($AX47=4,IF($CD$7="","",INDEX(Tính!$C$182:$V$226,$CD$7,INDEX($BJ$3:$BJ$22,$AY47))),IF($AX47=5,IF($CD$7="","",INDEX(Tính!$P$39:$P$83,$CD$7)&amp;"/"&amp;COUNTIF($BA$3:$BA$22,"?*")),IF($AX47=7,IF($CD$7="","",INDEX(Tính!$Q$39:$Q$83,$CD$7)&amp;"/"&amp;$BK$1),IF($AX47=8,IF($CD$7="","",INDEX(Tính!$R$39:$R$83,$CD$7)&amp;"/"&amp;$BL$1),"")))))</f>
        <v/>
      </c>
      <c r="P47" s="31" t="str">
        <f>IF($AX47=3,IF($CD$8="","",INDEX(Tính!$F$39:$F$83,$CD$8)),IF($AX47=4,IF($CD$8="","",INDEX(Tính!$C$182:$V$226,$CD$8,INDEX($BJ$3:$BJ$22,$AY47))),IF($AX47=5,IF($CD$8="","",INDEX(Tính!$P$39:$P$83,$CD$8)&amp;"/"&amp;COUNTIF($BA$3:$BA$22,"?*")),IF($AX47=7,IF($CD$8="","",INDEX(Tính!$Q$39:$Q$83,$CD$8)&amp;"/"&amp;$BK$1),IF($AX47=8,IF($CD$8="","",INDEX(Tính!$R$39:$R$83,$CD$8)&amp;"/"&amp;$BL$1),"")))))</f>
        <v/>
      </c>
      <c r="Q47" s="31" t="str">
        <f>IF($AX47=3,IF($CD$9="","",INDEX(Tính!$F$39:$F$83,$CD$9)),IF($AX47=4,IF($CD$9="","",INDEX(Tính!$C$182:$V$226,$CD$9,INDEX($BJ$3:$BJ$22,$AY47))),IF($AX47=5,IF($CD$9="","",INDEX(Tính!$P$39:$P$83,$CD$9)&amp;"/"&amp;COUNTIF($BA$3:$BA$22,"?*")),IF($AX47=7,IF($CD$9="","",INDEX(Tính!$Q$39:$Q$83,$CD$9)&amp;"/"&amp;$BK$1),IF($AX47=8,IF($CD$9="","",INDEX(Tính!$R$39:$R$83,$CD$9)&amp;"/"&amp;$BL$1),"")))))</f>
        <v/>
      </c>
      <c r="R47" s="31" t="str">
        <f>IF($AX47=3,IF($CD$10="","",INDEX(Tính!$F$39:$F$83,$CD$10)),IF($AX47=4,IF($CD$10="","",INDEX(Tính!$C$182:$V$226,$CD$10,INDEX($BJ$3:$BJ$22,$AY47))),IF($AX47=5,IF($CD$10="","",INDEX(Tính!$P$39:$P$83,$CD$10)&amp;"/"&amp;COUNTIF($BA$3:$BA$22,"?*")),IF($AX47=7,IF($CD$10="","",INDEX(Tính!$Q$39:$Q$83,$CD$10)&amp;"/"&amp;$BK$1),IF($AX47=8,IF($CD$10="","",INDEX(Tính!$R$39:$R$83,$CD$10)&amp;"/"&amp;$BL$1),"")))))</f>
        <v/>
      </c>
      <c r="S47" s="31" t="str">
        <f>IF($AX47=3,IF($CD$11="","",INDEX(Tính!$F$39:$F$83,$CD$11)),IF($AX47=4,IF($CD$11="","",INDEX(Tính!$C$182:$V$226,$CD$11,INDEX($BJ$3:$BJ$22,$AY47))),IF($AX47=5,IF($CD$11="","",INDEX(Tính!$P$39:$P$83,$CD$11)&amp;"/"&amp;COUNTIF($BA$3:$BA$22,"?*")),IF($AX47=7,IF($CD$11="","",INDEX(Tính!$Q$39:$Q$83,$CD$11)&amp;"/"&amp;$BK$1),IF($AX47=8,IF($CD$11="","",INDEX(Tính!$R$39:$R$83,$CD$11)&amp;"/"&amp;$BL$1),"")))))</f>
        <v/>
      </c>
      <c r="T47" s="31" t="str">
        <f>IF($AX47=3,IF($CD$12="","",INDEX(Tính!$F$39:$F$83,$CD$12)),IF($AX47=4,IF($CD$12="","",INDEX(Tính!$C$182:$V$226,$CD$12,INDEX($BJ$3:$BJ$22,$AY47))),IF($AX47=5,IF($CD$12="","",INDEX(Tính!$P$39:$P$83,$CD$12)&amp;"/"&amp;COUNTIF($BA$3:$BA$22,"?*")),IF($AX47=7,IF($CD$12="","",INDEX(Tính!$Q$39:$Q$83,$CD$12)&amp;"/"&amp;$BK$1),IF($AX47=8,IF($CD$12="","",INDEX(Tính!$R$39:$R$83,$CD$12)&amp;"/"&amp;$BL$1),"")))))</f>
        <v/>
      </c>
      <c r="U47" s="31" t="str">
        <f>IF($AX47=3,IF($CD$13="","",INDEX(Tính!$F$39:$F$83,$CD$13)),IF($AX47=4,IF($CD$13="","",INDEX(Tính!$C$182:$V$226,$CD$13,INDEX($BJ$3:$BJ$22,$AY47))),IF($AX47=5,IF($CD$13="","",INDEX(Tính!$P$39:$P$83,$CD$13)&amp;"/"&amp;COUNTIF($BA$3:$BA$22,"?*")),IF($AX47=7,IF($CD$13="","",INDEX(Tính!$Q$39:$Q$83,$CD$13)&amp;"/"&amp;$BK$1),IF($AX47=8,IF($CD$13="","",INDEX(Tính!$R$39:$R$83,$CD$13)&amp;"/"&amp;$BL$1),"")))))</f>
        <v/>
      </c>
      <c r="V47" s="31" t="str">
        <f>IF($AX47=3,IF($CD$14="","",INDEX(Tính!$F$39:$F$83,$CD$14)),IF($AX47=4,IF($CD$14="","",INDEX(Tính!$C$182:$V$226,$CD$14,INDEX($BJ$3:$BJ$22,$AY47))),IF($AX47=5,IF($CD$14="","",INDEX(Tính!$P$39:$P$83,$CD$14)&amp;"/"&amp;COUNTIF($BA$3:$BA$22,"?*")),IF($AX47=7,IF($CD$14="","",INDEX(Tính!$Q$39:$Q$83,$CD$14)&amp;"/"&amp;$BK$1),IF($AX47=8,IF($CD$14="","",INDEX(Tính!$R$39:$R$83,$CD$14)&amp;"/"&amp;$BL$1),"")))))</f>
        <v/>
      </c>
      <c r="W47" s="31" t="str">
        <f>IF($AX47=3,IF($CD$15="","",INDEX(Tính!$F$39:$F$83,$CD$15)),IF($AX47=4,IF($CD$15="","",INDEX(Tính!$C$182:$V$226,$CD$15,INDEX($BJ$3:$BJ$22,$AY47))),IF($AX47=5,IF($CD$15="","",INDEX(Tính!$P$39:$P$83,$CD$15)&amp;"/"&amp;COUNTIF($BA$3:$BA$22,"?*")),IF($AX47=7,IF($CD$15="","",INDEX(Tính!$Q$39:$Q$83,$CD$15)&amp;"/"&amp;$BK$1),IF($AX47=8,IF($CD$15="","",INDEX(Tính!$R$39:$R$83,$CD$15)&amp;"/"&amp;$BL$1),"")))))</f>
        <v/>
      </c>
      <c r="X47" s="31" t="str">
        <f>IF($AX47=3,IF($CD$16="","",INDEX(Tính!$F$39:$F$83,$CD$16)),IF($AX47=4,IF($CD$16="","",INDEX(Tính!$C$182:$V$226,$CD$16,INDEX($BJ$3:$BJ$22,$AY47))),IF($AX47=5,IF($CD$16="","",INDEX(Tính!$P$39:$P$83,$CD$16)&amp;"/"&amp;COUNTIF($BA$3:$BA$22,"?*")),IF($AX47=7,IF($CD$16="","",INDEX(Tính!$Q$39:$Q$83,$CD$16)&amp;"/"&amp;$BK$1),IF($AX47=8,IF($CD$16="","",INDEX(Tính!$R$39:$R$83,$CD$16)&amp;"/"&amp;$BL$1),"")))))</f>
        <v/>
      </c>
      <c r="Y47" s="31" t="str">
        <f>IF($AX47=3,IF($CD$17="","",INDEX(Tính!$F$39:$F$83,$CD$17)),IF($AX47=4,IF($CD$17="","",INDEX(Tính!$C$182:$V$226,$CD$17,INDEX($BJ$3:$BJ$22,$AY47))),IF($AX47=5,IF($CD$17="","",INDEX(Tính!$P$39:$P$83,$CD$17)&amp;"/"&amp;COUNTIF($BA$3:$BA$22,"?*")),IF($AX47=7,IF($CD$17="","",INDEX(Tính!$Q$39:$Q$83,$CD$17)&amp;"/"&amp;$BK$1),IF($AX47=8,IF($CD$17="","",INDEX(Tính!$R$39:$R$83,$CD$17)&amp;"/"&amp;$BL$1),"")))))</f>
        <v/>
      </c>
      <c r="Z47" s="31" t="str">
        <f>IF($AX47=3,IF($CD$18="","",INDEX(Tính!$F$39:$F$83,$CD$18)),IF($AX47=4,IF($CD$18="","",INDEX(Tính!$C$182:$V$226,$CD$18,INDEX($BJ$3:$BJ$22,$AY47))),IF($AX47=5,IF($CD$18="","",INDEX(Tính!$P$39:$P$83,$CD$18)&amp;"/"&amp;COUNTIF($BA$3:$BA$22,"?*")),IF($AX47=7,IF($CD$18="","",INDEX(Tính!$Q$39:$Q$83,$CD$18)&amp;"/"&amp;$BK$1),IF($AX47=8,IF($CD$18="","",INDEX(Tính!$R$39:$R$83,$CD$18)&amp;"/"&amp;$BL$1),"")))))</f>
        <v/>
      </c>
      <c r="AA47" s="31" t="str">
        <f>IF($AX47=3,IF($CD$19="","",INDEX(Tính!$F$39:$F$83,$CD$19)),IF($AX47=4,IF($CD$19="","",INDEX(Tính!$C$182:$V$226,$CD$19,INDEX($BJ$3:$BJ$22,$AY47))),IF($AX47=5,IF($CD$19="","",INDEX(Tính!$P$39:$P$83,$CD$19)&amp;"/"&amp;COUNTIF($BA$3:$BA$22,"?*")),IF($AX47=7,IF($CD$19="","",INDEX(Tính!$Q$39:$Q$83,$CD$19)&amp;"/"&amp;$BK$1),IF($AX47=8,IF($CD$19="","",INDEX(Tính!$R$39:$R$83,$CD$19)&amp;"/"&amp;$BL$1),"")))))</f>
        <v/>
      </c>
      <c r="AB47" s="31" t="str">
        <f>IF($AX47=3,IF($CD$20="","",INDEX(Tính!$F$39:$F$83,$CD$20)),IF($AX47=4,IF($CD$20="","",INDEX(Tính!$C$182:$V$226,$CD$20,INDEX($BJ$3:$BJ$22,$AY47))),IF($AX47=5,IF($CD$20="","",INDEX(Tính!$P$39:$P$83,$CD$20)&amp;"/"&amp;COUNTIF($BA$3:$BA$22,"?*")),IF($AX47=7,IF($CD$20="","",INDEX(Tính!$Q$39:$Q$83,$CD$20)&amp;"/"&amp;$BK$1),IF($AX47=8,IF($CD$20="","",INDEX(Tính!$R$39:$R$83,$CD$20)&amp;"/"&amp;$BL$1),"")))))</f>
        <v/>
      </c>
      <c r="AC47" s="31" t="str">
        <f>IF($AX47=3,IF($CD$21="","",INDEX(Tính!$F$39:$F$83,$CD$21)),IF($AX47=4,IF($CD$21="","",INDEX(Tính!$C$182:$V$226,$CD$21,INDEX($BJ$3:$BJ$22,$AY47))),IF($AX47=5,IF($CD$21="","",INDEX(Tính!$P$39:$P$83,$CD$21)&amp;"/"&amp;COUNTIF($BA$3:$BA$22,"?*")),IF($AX47=7,IF($CD$21="","",INDEX(Tính!$Q$39:$Q$83,$CD$21)&amp;"/"&amp;$BK$1),IF($AX47=8,IF($CD$21="","",INDEX(Tính!$R$39:$R$83,$CD$21)&amp;"/"&amp;$BL$1),"")))))</f>
        <v/>
      </c>
      <c r="AD47" s="31" t="str">
        <f>IF($AX47=3,IF($CD$22="","",INDEX(Tính!$F$39:$F$83,$CD$22)),IF($AX47=4,IF($CD$22="","",INDEX(Tính!$C$182:$V$226,$CD$22,INDEX($BJ$3:$BJ$22,$AY47))),IF($AX47=5,IF($CD$22="","",INDEX(Tính!$P$39:$P$83,$CD$22)&amp;"/"&amp;COUNTIF($BA$3:$BA$22,"?*")),IF($AX47=7,IF($CD$22="","",INDEX(Tính!$Q$39:$Q$83,$CD$22)&amp;"/"&amp;$BK$1),IF($AX47=8,IF($CD$22="","",INDEX(Tính!$R$39:$R$83,$CD$22)&amp;"/"&amp;$BL$1),"")))))</f>
        <v/>
      </c>
      <c r="AX47">
        <f>IF(43=0,0,IF(43&lt;=$AX$1,1,IF(43=$AX$1+1,2,IF(43=$AX$1+2,3,IF((43-$AX$1-2)&lt;=$AX$3,IF(INDEX($BK$3:$BK$24,(43-$AX$1-2))="C",7,IF(INDEX($BK$3:$BK$24,(43-$AX$1-2))="V",8,4)),IF((43-$AX$1-2)=$AX$3+1,5,6))))))</f>
        <v>6</v>
      </c>
      <c r="AY47">
        <f>IF(AX47=1,43,IF(AX47=4,INDEX($BL$3:$BL$24,(43-$AX$1-2)),0))</f>
        <v>0</v>
      </c>
      <c r="CA47">
        <v>45</v>
      </c>
      <c r="CB47">
        <f>IF(Tính!B83="",0,IF(OR($AZ$1=0,Tính!D83=$AZ$1),1,0))</f>
        <v>0</v>
      </c>
      <c r="CC47">
        <f>IF(CB47=1,Tính!M83+1+(45-45)/1000000,-1)</f>
        <v>-1</v>
      </c>
      <c r="CD47" t="str">
        <f>IF(LARGE($CC$3:$CC$47,45)&lt;0,"",MATCH(LARGE($CC$3:$CC$47,45),$CC$3:$CC$47,0))</f>
        <v/>
      </c>
    </row>
    <row r="48" spans="8:82" x14ac:dyDescent="0.3">
      <c r="H48" s="29" t="str">
        <f t="shared" si="2"/>
        <v/>
      </c>
      <c r="I48" s="12" t="str">
        <f>IF($AX48=0,"Nhân viên",IF($AX48=1,INDEX(Tính!$F$39:$F$83,INDEX($CD$3:$CD$47,$AY48))&amp;" · "&amp;INDEX(Tính!$O$39:$O$83,INDEX($CD$3:$CD$47,$AY48)),IF($AX48=3,"Nhóm hàng",IF($AX48=4,INDEX($BA$3:$BA$22,INDEX($BJ$3:$BJ$22,$AY48)),IF($AX48=5,"Số nhóm đạt",IF($AX48=7,"NHÓM CHÍNH",IF($AX48=8,"NHÓM VƯỢT TRỘI","")))))))</f>
        <v/>
      </c>
      <c r="J48" s="30" t="str">
        <f>IF($AX48=0,"Mục tiêu",IF($AX48=1,FIXED(INDEX(Tính!$J$39:$J$83,INDEX($CD$3:$CD$47,$AY48)),0),IF($AX48=3,"Cả shop",IF($AX48=4,INDEX($BG$3:$BG$22,INDEX($BJ$3:$BJ$22,$AY48)),IF($AX48=5,COUNTIF($BG$3:$BG$22,"&gt;=0.995")&amp;"/"&amp;COUNTIF($BA$3:$BA$22,"?*"),IF($AX48=7,COUNTIFS($BB$3:$BB$22,"Chính",$BG$3:$BG$22,"&gt;=0.995")&amp;"/"&amp;$BK$1,IF($AX48=8,COUNTIFS($BB$3:$BB$22,"Vượt trội",$BG$3:$BG$22,"&gt;=0.995")&amp;"/"&amp;$BL$1,"")))))))</f>
        <v/>
      </c>
      <c r="K48" s="30" t="str">
        <f>IF($AX48=0,"DT QĐ",IF($AX48=1,FIXED(INDEX(Tính!$K$39:$K$83,INDEX($CD$3:$CD$47,$AY48)),1),IF($AX48=3,IF($CD$3="","",INDEX(Tính!$F$39:$F$83,$CD$3)),IF($AX48=4,IF($CD$3="","",INDEX(Tính!$C$182:$V$226,$CD$3,INDEX($BJ$3:$BJ$22,$AY48))),IF($AX48=5,IF($CD$3="","",INDEX(Tính!$P$39:$P$83,$CD$3)&amp;"/"&amp;COUNTIF($BA$3:$BA$22,"?*")),IF($AX48=7,IF($CD$3="","",INDEX(Tính!$Q$39:$Q$83,$CD$3)&amp;"/"&amp;$BK$1),IF($AX48=8,IF($CD$3="","",INDEX(Tính!$R$39:$R$83,$CD$3)&amp;"/"&amp;$BL$1),"")))))))</f>
        <v/>
      </c>
      <c r="L48" s="31" t="str">
        <f>IF($AX48=0,"% HT",IF($AX48=1,INDEX(Tính!$N$39:$N$83,INDEX($CD$3:$CD$47,$AY48)),IF($AX48=3,IF($CD$4="","",INDEX(Tính!$F$39:$F$83,$CD$4)),IF($AX48=4,IF($CD$4="","",INDEX(Tính!$C$182:$V$226,$CD$4,INDEX($BJ$3:$BJ$22,$AY48))),IF($AX48=5,IF($CD$4="","",INDEX(Tính!$P$39:$P$83,$CD$4)&amp;"/"&amp;COUNTIF($BA$3:$BA$22,"?*")),IF($AX48=7,IF($CD$4="","",INDEX(Tính!$Q$39:$Q$83,$CD$4)&amp;"/"&amp;$BK$1),IF($AX48=8,IF($CD$4="","",INDEX(Tính!$R$39:$R$83,$CD$4)&amp;"/"&amp;$BL$1),"")))))))</f>
        <v/>
      </c>
      <c r="M48" s="31" t="str">
        <f>IF($AX48=0,"Dự kiến",IF($AX48=1,INDEX(Tính!$M$39:$M$83,INDEX($CD$3:$CD$47,$AY48)),IF($AX48=3,IF($CD$5="","",INDEX(Tính!$F$39:$F$83,$CD$5)),IF($AX48=4,IF($CD$5="","",INDEX(Tính!$C$182:$V$226,$CD$5,INDEX($BJ$3:$BJ$22,$AY48))),IF($AX48=5,IF($CD$5="","",INDEX(Tính!$P$39:$P$83,$CD$5)&amp;"/"&amp;COUNTIF($BA$3:$BA$22,"?*")),IF($AX48=7,IF($CD$5="","",INDEX(Tính!$Q$39:$Q$83,$CD$5)&amp;"/"&amp;$BK$1),IF($AX48=8,IF($CD$5="","",INDEX(Tính!$R$39:$R$83,$CD$5)&amp;"/"&amp;$BL$1),"")))))))</f>
        <v/>
      </c>
      <c r="N48" s="31" t="str">
        <f>IF($AX48=0,"NH đạt",IF($AX48=1,INDEX(Tính!$P$39:$P$83,INDEX($CD$3:$CD$47,$AY48))&amp;"/"&amp;COUNTIF($BA$3:$BA$22,"?*"),IF($AX48=3,IF($CD$6="","",INDEX(Tính!$F$39:$F$83,$CD$6)),IF($AX48=4,IF($CD$6="","",INDEX(Tính!$C$182:$V$226,$CD$6,INDEX($BJ$3:$BJ$22,$AY48))),IF($AX48=5,IF($CD$6="","",INDEX(Tính!$P$39:$P$83,$CD$6)&amp;"/"&amp;COUNTIF($BA$3:$BA$22,"?*")),IF($AX48=7,IF($CD$6="","",INDEX(Tính!$Q$39:$Q$83,$CD$6)&amp;"/"&amp;$BK$1),IF($AX48=8,IF($CD$6="","",INDEX(Tính!$R$39:$R$83,$CD$6)&amp;"/"&amp;$BL$1),"")))))))</f>
        <v/>
      </c>
      <c r="O48" s="31" t="str">
        <f>IF($AX48=3,IF($CD$7="","",INDEX(Tính!$F$39:$F$83,$CD$7)),IF($AX48=4,IF($CD$7="","",INDEX(Tính!$C$182:$V$226,$CD$7,INDEX($BJ$3:$BJ$22,$AY48))),IF($AX48=5,IF($CD$7="","",INDEX(Tính!$P$39:$P$83,$CD$7)&amp;"/"&amp;COUNTIF($BA$3:$BA$22,"?*")),IF($AX48=7,IF($CD$7="","",INDEX(Tính!$Q$39:$Q$83,$CD$7)&amp;"/"&amp;$BK$1),IF($AX48=8,IF($CD$7="","",INDEX(Tính!$R$39:$R$83,$CD$7)&amp;"/"&amp;$BL$1),"")))))</f>
        <v/>
      </c>
      <c r="P48" s="31" t="str">
        <f>IF($AX48=3,IF($CD$8="","",INDEX(Tính!$F$39:$F$83,$CD$8)),IF($AX48=4,IF($CD$8="","",INDEX(Tính!$C$182:$V$226,$CD$8,INDEX($BJ$3:$BJ$22,$AY48))),IF($AX48=5,IF($CD$8="","",INDEX(Tính!$P$39:$P$83,$CD$8)&amp;"/"&amp;COUNTIF($BA$3:$BA$22,"?*")),IF($AX48=7,IF($CD$8="","",INDEX(Tính!$Q$39:$Q$83,$CD$8)&amp;"/"&amp;$BK$1),IF($AX48=8,IF($CD$8="","",INDEX(Tính!$R$39:$R$83,$CD$8)&amp;"/"&amp;$BL$1),"")))))</f>
        <v/>
      </c>
      <c r="Q48" s="31" t="str">
        <f>IF($AX48=3,IF($CD$9="","",INDEX(Tính!$F$39:$F$83,$CD$9)),IF($AX48=4,IF($CD$9="","",INDEX(Tính!$C$182:$V$226,$CD$9,INDEX($BJ$3:$BJ$22,$AY48))),IF($AX48=5,IF($CD$9="","",INDEX(Tính!$P$39:$P$83,$CD$9)&amp;"/"&amp;COUNTIF($BA$3:$BA$22,"?*")),IF($AX48=7,IF($CD$9="","",INDEX(Tính!$Q$39:$Q$83,$CD$9)&amp;"/"&amp;$BK$1),IF($AX48=8,IF($CD$9="","",INDEX(Tính!$R$39:$R$83,$CD$9)&amp;"/"&amp;$BL$1),"")))))</f>
        <v/>
      </c>
      <c r="R48" s="31" t="str">
        <f>IF($AX48=3,IF($CD$10="","",INDEX(Tính!$F$39:$F$83,$CD$10)),IF($AX48=4,IF($CD$10="","",INDEX(Tính!$C$182:$V$226,$CD$10,INDEX($BJ$3:$BJ$22,$AY48))),IF($AX48=5,IF($CD$10="","",INDEX(Tính!$P$39:$P$83,$CD$10)&amp;"/"&amp;COUNTIF($BA$3:$BA$22,"?*")),IF($AX48=7,IF($CD$10="","",INDEX(Tính!$Q$39:$Q$83,$CD$10)&amp;"/"&amp;$BK$1),IF($AX48=8,IF($CD$10="","",INDEX(Tính!$R$39:$R$83,$CD$10)&amp;"/"&amp;$BL$1),"")))))</f>
        <v/>
      </c>
      <c r="S48" s="31" t="str">
        <f>IF($AX48=3,IF($CD$11="","",INDEX(Tính!$F$39:$F$83,$CD$11)),IF($AX48=4,IF($CD$11="","",INDEX(Tính!$C$182:$V$226,$CD$11,INDEX($BJ$3:$BJ$22,$AY48))),IF($AX48=5,IF($CD$11="","",INDEX(Tính!$P$39:$P$83,$CD$11)&amp;"/"&amp;COUNTIF($BA$3:$BA$22,"?*")),IF($AX48=7,IF($CD$11="","",INDEX(Tính!$Q$39:$Q$83,$CD$11)&amp;"/"&amp;$BK$1),IF($AX48=8,IF($CD$11="","",INDEX(Tính!$R$39:$R$83,$CD$11)&amp;"/"&amp;$BL$1),"")))))</f>
        <v/>
      </c>
      <c r="T48" s="31" t="str">
        <f>IF($AX48=3,IF($CD$12="","",INDEX(Tính!$F$39:$F$83,$CD$12)),IF($AX48=4,IF($CD$12="","",INDEX(Tính!$C$182:$V$226,$CD$12,INDEX($BJ$3:$BJ$22,$AY48))),IF($AX48=5,IF($CD$12="","",INDEX(Tính!$P$39:$P$83,$CD$12)&amp;"/"&amp;COUNTIF($BA$3:$BA$22,"?*")),IF($AX48=7,IF($CD$12="","",INDEX(Tính!$Q$39:$Q$83,$CD$12)&amp;"/"&amp;$BK$1),IF($AX48=8,IF($CD$12="","",INDEX(Tính!$R$39:$R$83,$CD$12)&amp;"/"&amp;$BL$1),"")))))</f>
        <v/>
      </c>
      <c r="U48" s="31" t="str">
        <f>IF($AX48=3,IF($CD$13="","",INDEX(Tính!$F$39:$F$83,$CD$13)),IF($AX48=4,IF($CD$13="","",INDEX(Tính!$C$182:$V$226,$CD$13,INDEX($BJ$3:$BJ$22,$AY48))),IF($AX48=5,IF($CD$13="","",INDEX(Tính!$P$39:$P$83,$CD$13)&amp;"/"&amp;COUNTIF($BA$3:$BA$22,"?*")),IF($AX48=7,IF($CD$13="","",INDEX(Tính!$Q$39:$Q$83,$CD$13)&amp;"/"&amp;$BK$1),IF($AX48=8,IF($CD$13="","",INDEX(Tính!$R$39:$R$83,$CD$13)&amp;"/"&amp;$BL$1),"")))))</f>
        <v/>
      </c>
      <c r="V48" s="31" t="str">
        <f>IF($AX48=3,IF($CD$14="","",INDEX(Tính!$F$39:$F$83,$CD$14)),IF($AX48=4,IF($CD$14="","",INDEX(Tính!$C$182:$V$226,$CD$14,INDEX($BJ$3:$BJ$22,$AY48))),IF($AX48=5,IF($CD$14="","",INDEX(Tính!$P$39:$P$83,$CD$14)&amp;"/"&amp;COUNTIF($BA$3:$BA$22,"?*")),IF($AX48=7,IF($CD$14="","",INDEX(Tính!$Q$39:$Q$83,$CD$14)&amp;"/"&amp;$BK$1),IF($AX48=8,IF($CD$14="","",INDEX(Tính!$R$39:$R$83,$CD$14)&amp;"/"&amp;$BL$1),"")))))</f>
        <v/>
      </c>
      <c r="W48" s="31" t="str">
        <f>IF($AX48=3,IF($CD$15="","",INDEX(Tính!$F$39:$F$83,$CD$15)),IF($AX48=4,IF($CD$15="","",INDEX(Tính!$C$182:$V$226,$CD$15,INDEX($BJ$3:$BJ$22,$AY48))),IF($AX48=5,IF($CD$15="","",INDEX(Tính!$P$39:$P$83,$CD$15)&amp;"/"&amp;COUNTIF($BA$3:$BA$22,"?*")),IF($AX48=7,IF($CD$15="","",INDEX(Tính!$Q$39:$Q$83,$CD$15)&amp;"/"&amp;$BK$1),IF($AX48=8,IF($CD$15="","",INDEX(Tính!$R$39:$R$83,$CD$15)&amp;"/"&amp;$BL$1),"")))))</f>
        <v/>
      </c>
      <c r="X48" s="31" t="str">
        <f>IF($AX48=3,IF($CD$16="","",INDEX(Tính!$F$39:$F$83,$CD$16)),IF($AX48=4,IF($CD$16="","",INDEX(Tính!$C$182:$V$226,$CD$16,INDEX($BJ$3:$BJ$22,$AY48))),IF($AX48=5,IF($CD$16="","",INDEX(Tính!$P$39:$P$83,$CD$16)&amp;"/"&amp;COUNTIF($BA$3:$BA$22,"?*")),IF($AX48=7,IF($CD$16="","",INDEX(Tính!$Q$39:$Q$83,$CD$16)&amp;"/"&amp;$BK$1),IF($AX48=8,IF($CD$16="","",INDEX(Tính!$R$39:$R$83,$CD$16)&amp;"/"&amp;$BL$1),"")))))</f>
        <v/>
      </c>
      <c r="Y48" s="31" t="str">
        <f>IF($AX48=3,IF($CD$17="","",INDEX(Tính!$F$39:$F$83,$CD$17)),IF($AX48=4,IF($CD$17="","",INDEX(Tính!$C$182:$V$226,$CD$17,INDEX($BJ$3:$BJ$22,$AY48))),IF($AX48=5,IF($CD$17="","",INDEX(Tính!$P$39:$P$83,$CD$17)&amp;"/"&amp;COUNTIF($BA$3:$BA$22,"?*")),IF($AX48=7,IF($CD$17="","",INDEX(Tính!$Q$39:$Q$83,$CD$17)&amp;"/"&amp;$BK$1),IF($AX48=8,IF($CD$17="","",INDEX(Tính!$R$39:$R$83,$CD$17)&amp;"/"&amp;$BL$1),"")))))</f>
        <v/>
      </c>
      <c r="Z48" s="31" t="str">
        <f>IF($AX48=3,IF($CD$18="","",INDEX(Tính!$F$39:$F$83,$CD$18)),IF($AX48=4,IF($CD$18="","",INDEX(Tính!$C$182:$V$226,$CD$18,INDEX($BJ$3:$BJ$22,$AY48))),IF($AX48=5,IF($CD$18="","",INDEX(Tính!$P$39:$P$83,$CD$18)&amp;"/"&amp;COUNTIF($BA$3:$BA$22,"?*")),IF($AX48=7,IF($CD$18="","",INDEX(Tính!$Q$39:$Q$83,$CD$18)&amp;"/"&amp;$BK$1),IF($AX48=8,IF($CD$18="","",INDEX(Tính!$R$39:$R$83,$CD$18)&amp;"/"&amp;$BL$1),"")))))</f>
        <v/>
      </c>
      <c r="AA48" s="31" t="str">
        <f>IF($AX48=3,IF($CD$19="","",INDEX(Tính!$F$39:$F$83,$CD$19)),IF($AX48=4,IF($CD$19="","",INDEX(Tính!$C$182:$V$226,$CD$19,INDEX($BJ$3:$BJ$22,$AY48))),IF($AX48=5,IF($CD$19="","",INDEX(Tính!$P$39:$P$83,$CD$19)&amp;"/"&amp;COUNTIF($BA$3:$BA$22,"?*")),IF($AX48=7,IF($CD$19="","",INDEX(Tính!$Q$39:$Q$83,$CD$19)&amp;"/"&amp;$BK$1),IF($AX48=8,IF($CD$19="","",INDEX(Tính!$R$39:$R$83,$CD$19)&amp;"/"&amp;$BL$1),"")))))</f>
        <v/>
      </c>
      <c r="AB48" s="31" t="str">
        <f>IF($AX48=3,IF($CD$20="","",INDEX(Tính!$F$39:$F$83,$CD$20)),IF($AX48=4,IF($CD$20="","",INDEX(Tính!$C$182:$V$226,$CD$20,INDEX($BJ$3:$BJ$22,$AY48))),IF($AX48=5,IF($CD$20="","",INDEX(Tính!$P$39:$P$83,$CD$20)&amp;"/"&amp;COUNTIF($BA$3:$BA$22,"?*")),IF($AX48=7,IF($CD$20="","",INDEX(Tính!$Q$39:$Q$83,$CD$20)&amp;"/"&amp;$BK$1),IF($AX48=8,IF($CD$20="","",INDEX(Tính!$R$39:$R$83,$CD$20)&amp;"/"&amp;$BL$1),"")))))</f>
        <v/>
      </c>
      <c r="AC48" s="31" t="str">
        <f>IF($AX48=3,IF($CD$21="","",INDEX(Tính!$F$39:$F$83,$CD$21)),IF($AX48=4,IF($CD$21="","",INDEX(Tính!$C$182:$V$226,$CD$21,INDEX($BJ$3:$BJ$22,$AY48))),IF($AX48=5,IF($CD$21="","",INDEX(Tính!$P$39:$P$83,$CD$21)&amp;"/"&amp;COUNTIF($BA$3:$BA$22,"?*")),IF($AX48=7,IF($CD$21="","",INDEX(Tính!$Q$39:$Q$83,$CD$21)&amp;"/"&amp;$BK$1),IF($AX48=8,IF($CD$21="","",INDEX(Tính!$R$39:$R$83,$CD$21)&amp;"/"&amp;$BL$1),"")))))</f>
        <v/>
      </c>
      <c r="AD48" s="31" t="str">
        <f>IF($AX48=3,IF($CD$22="","",INDEX(Tính!$F$39:$F$83,$CD$22)),IF($AX48=4,IF($CD$22="","",INDEX(Tính!$C$182:$V$226,$CD$22,INDEX($BJ$3:$BJ$22,$AY48))),IF($AX48=5,IF($CD$22="","",INDEX(Tính!$P$39:$P$83,$CD$22)&amp;"/"&amp;COUNTIF($BA$3:$BA$22,"?*")),IF($AX48=7,IF($CD$22="","",INDEX(Tính!$Q$39:$Q$83,$CD$22)&amp;"/"&amp;$BK$1),IF($AX48=8,IF($CD$22="","",INDEX(Tính!$R$39:$R$83,$CD$22)&amp;"/"&amp;$BL$1),"")))))</f>
        <v/>
      </c>
      <c r="AX48">
        <f>IF(44=0,0,IF(44&lt;=$AX$1,1,IF(44=$AX$1+1,2,IF(44=$AX$1+2,3,IF((44-$AX$1-2)&lt;=$AX$3,IF(INDEX($BK$3:$BK$24,(44-$AX$1-2))="C",7,IF(INDEX($BK$3:$BK$24,(44-$AX$1-2))="V",8,4)),IF((44-$AX$1-2)=$AX$3+1,5,6))))))</f>
        <v>6</v>
      </c>
      <c r="AY48">
        <f>IF(AX48=1,44,IF(AX48=4,INDEX($BL$3:$BL$24,(44-$AX$1-2)),0))</f>
        <v>0</v>
      </c>
    </row>
    <row r="49" spans="1:51" x14ac:dyDescent="0.3">
      <c r="H49" s="29" t="str">
        <f t="shared" si="2"/>
        <v/>
      </c>
      <c r="I49" s="12" t="str">
        <f>IF($AX49=0,"Nhân viên",IF($AX49=1,INDEX(Tính!$F$39:$F$83,INDEX($CD$3:$CD$47,$AY49))&amp;" · "&amp;INDEX(Tính!$O$39:$O$83,INDEX($CD$3:$CD$47,$AY49)),IF($AX49=3,"Nhóm hàng",IF($AX49=4,INDEX($BA$3:$BA$22,INDEX($BJ$3:$BJ$22,$AY49)),IF($AX49=5,"Số nhóm đạt",IF($AX49=7,"NHÓM CHÍNH",IF($AX49=8,"NHÓM VƯỢT TRỘI","")))))))</f>
        <v/>
      </c>
      <c r="J49" s="30" t="str">
        <f>IF($AX49=0,"Mục tiêu",IF($AX49=1,FIXED(INDEX(Tính!$J$39:$J$83,INDEX($CD$3:$CD$47,$AY49)),0),IF($AX49=3,"Cả shop",IF($AX49=4,INDEX($BG$3:$BG$22,INDEX($BJ$3:$BJ$22,$AY49)),IF($AX49=5,COUNTIF($BG$3:$BG$22,"&gt;=0.995")&amp;"/"&amp;COUNTIF($BA$3:$BA$22,"?*"),IF($AX49=7,COUNTIFS($BB$3:$BB$22,"Chính",$BG$3:$BG$22,"&gt;=0.995")&amp;"/"&amp;$BK$1,IF($AX49=8,COUNTIFS($BB$3:$BB$22,"Vượt trội",$BG$3:$BG$22,"&gt;=0.995")&amp;"/"&amp;$BL$1,"")))))))</f>
        <v/>
      </c>
      <c r="K49" s="30" t="str">
        <f>IF($AX49=0,"DT QĐ",IF($AX49=1,FIXED(INDEX(Tính!$K$39:$K$83,INDEX($CD$3:$CD$47,$AY49)),1),IF($AX49=3,IF($CD$3="","",INDEX(Tính!$F$39:$F$83,$CD$3)),IF($AX49=4,IF($CD$3="","",INDEX(Tính!$C$182:$V$226,$CD$3,INDEX($BJ$3:$BJ$22,$AY49))),IF($AX49=5,IF($CD$3="","",INDEX(Tính!$P$39:$P$83,$CD$3)&amp;"/"&amp;COUNTIF($BA$3:$BA$22,"?*")),IF($AX49=7,IF($CD$3="","",INDEX(Tính!$Q$39:$Q$83,$CD$3)&amp;"/"&amp;$BK$1),IF($AX49=8,IF($CD$3="","",INDEX(Tính!$R$39:$R$83,$CD$3)&amp;"/"&amp;$BL$1),"")))))))</f>
        <v/>
      </c>
      <c r="L49" s="31" t="str">
        <f>IF($AX49=0,"% HT",IF($AX49=1,INDEX(Tính!$N$39:$N$83,INDEX($CD$3:$CD$47,$AY49)),IF($AX49=3,IF($CD$4="","",INDEX(Tính!$F$39:$F$83,$CD$4)),IF($AX49=4,IF($CD$4="","",INDEX(Tính!$C$182:$V$226,$CD$4,INDEX($BJ$3:$BJ$22,$AY49))),IF($AX49=5,IF($CD$4="","",INDEX(Tính!$P$39:$P$83,$CD$4)&amp;"/"&amp;COUNTIF($BA$3:$BA$22,"?*")),IF($AX49=7,IF($CD$4="","",INDEX(Tính!$Q$39:$Q$83,$CD$4)&amp;"/"&amp;$BK$1),IF($AX49=8,IF($CD$4="","",INDEX(Tính!$R$39:$R$83,$CD$4)&amp;"/"&amp;$BL$1),"")))))))</f>
        <v/>
      </c>
      <c r="M49" s="31" t="str">
        <f>IF($AX49=0,"Dự kiến",IF($AX49=1,INDEX(Tính!$M$39:$M$83,INDEX($CD$3:$CD$47,$AY49)),IF($AX49=3,IF($CD$5="","",INDEX(Tính!$F$39:$F$83,$CD$5)),IF($AX49=4,IF($CD$5="","",INDEX(Tính!$C$182:$V$226,$CD$5,INDEX($BJ$3:$BJ$22,$AY49))),IF($AX49=5,IF($CD$5="","",INDEX(Tính!$P$39:$P$83,$CD$5)&amp;"/"&amp;COUNTIF($BA$3:$BA$22,"?*")),IF($AX49=7,IF($CD$5="","",INDEX(Tính!$Q$39:$Q$83,$CD$5)&amp;"/"&amp;$BK$1),IF($AX49=8,IF($CD$5="","",INDEX(Tính!$R$39:$R$83,$CD$5)&amp;"/"&amp;$BL$1),"")))))))</f>
        <v/>
      </c>
      <c r="N49" s="31" t="str">
        <f>IF($AX49=0,"NH đạt",IF($AX49=1,INDEX(Tính!$P$39:$P$83,INDEX($CD$3:$CD$47,$AY49))&amp;"/"&amp;COUNTIF($BA$3:$BA$22,"?*"),IF($AX49=3,IF($CD$6="","",INDEX(Tính!$F$39:$F$83,$CD$6)),IF($AX49=4,IF($CD$6="","",INDEX(Tính!$C$182:$V$226,$CD$6,INDEX($BJ$3:$BJ$22,$AY49))),IF($AX49=5,IF($CD$6="","",INDEX(Tính!$P$39:$P$83,$CD$6)&amp;"/"&amp;COUNTIF($BA$3:$BA$22,"?*")),IF($AX49=7,IF($CD$6="","",INDEX(Tính!$Q$39:$Q$83,$CD$6)&amp;"/"&amp;$BK$1),IF($AX49=8,IF($CD$6="","",INDEX(Tính!$R$39:$R$83,$CD$6)&amp;"/"&amp;$BL$1),"")))))))</f>
        <v/>
      </c>
      <c r="O49" s="31" t="str">
        <f>IF($AX49=3,IF($CD$7="","",INDEX(Tính!$F$39:$F$83,$CD$7)),IF($AX49=4,IF($CD$7="","",INDEX(Tính!$C$182:$V$226,$CD$7,INDEX($BJ$3:$BJ$22,$AY49))),IF($AX49=5,IF($CD$7="","",INDEX(Tính!$P$39:$P$83,$CD$7)&amp;"/"&amp;COUNTIF($BA$3:$BA$22,"?*")),IF($AX49=7,IF($CD$7="","",INDEX(Tính!$Q$39:$Q$83,$CD$7)&amp;"/"&amp;$BK$1),IF($AX49=8,IF($CD$7="","",INDEX(Tính!$R$39:$R$83,$CD$7)&amp;"/"&amp;$BL$1),"")))))</f>
        <v/>
      </c>
      <c r="P49" s="31" t="str">
        <f>IF($AX49=3,IF($CD$8="","",INDEX(Tính!$F$39:$F$83,$CD$8)),IF($AX49=4,IF($CD$8="","",INDEX(Tính!$C$182:$V$226,$CD$8,INDEX($BJ$3:$BJ$22,$AY49))),IF($AX49=5,IF($CD$8="","",INDEX(Tính!$P$39:$P$83,$CD$8)&amp;"/"&amp;COUNTIF($BA$3:$BA$22,"?*")),IF($AX49=7,IF($CD$8="","",INDEX(Tính!$Q$39:$Q$83,$CD$8)&amp;"/"&amp;$BK$1),IF($AX49=8,IF($CD$8="","",INDEX(Tính!$R$39:$R$83,$CD$8)&amp;"/"&amp;$BL$1),"")))))</f>
        <v/>
      </c>
      <c r="Q49" s="31" t="str">
        <f>IF($AX49=3,IF($CD$9="","",INDEX(Tính!$F$39:$F$83,$CD$9)),IF($AX49=4,IF($CD$9="","",INDEX(Tính!$C$182:$V$226,$CD$9,INDEX($BJ$3:$BJ$22,$AY49))),IF($AX49=5,IF($CD$9="","",INDEX(Tính!$P$39:$P$83,$CD$9)&amp;"/"&amp;COUNTIF($BA$3:$BA$22,"?*")),IF($AX49=7,IF($CD$9="","",INDEX(Tính!$Q$39:$Q$83,$CD$9)&amp;"/"&amp;$BK$1),IF($AX49=8,IF($CD$9="","",INDEX(Tính!$R$39:$R$83,$CD$9)&amp;"/"&amp;$BL$1),"")))))</f>
        <v/>
      </c>
      <c r="R49" s="31" t="str">
        <f>IF($AX49=3,IF($CD$10="","",INDEX(Tính!$F$39:$F$83,$CD$10)),IF($AX49=4,IF($CD$10="","",INDEX(Tính!$C$182:$V$226,$CD$10,INDEX($BJ$3:$BJ$22,$AY49))),IF($AX49=5,IF($CD$10="","",INDEX(Tính!$P$39:$P$83,$CD$10)&amp;"/"&amp;COUNTIF($BA$3:$BA$22,"?*")),IF($AX49=7,IF($CD$10="","",INDEX(Tính!$Q$39:$Q$83,$CD$10)&amp;"/"&amp;$BK$1),IF($AX49=8,IF($CD$10="","",INDEX(Tính!$R$39:$R$83,$CD$10)&amp;"/"&amp;$BL$1),"")))))</f>
        <v/>
      </c>
      <c r="S49" s="31" t="str">
        <f>IF($AX49=3,IF($CD$11="","",INDEX(Tính!$F$39:$F$83,$CD$11)),IF($AX49=4,IF($CD$11="","",INDEX(Tính!$C$182:$V$226,$CD$11,INDEX($BJ$3:$BJ$22,$AY49))),IF($AX49=5,IF($CD$11="","",INDEX(Tính!$P$39:$P$83,$CD$11)&amp;"/"&amp;COUNTIF($BA$3:$BA$22,"?*")),IF($AX49=7,IF($CD$11="","",INDEX(Tính!$Q$39:$Q$83,$CD$11)&amp;"/"&amp;$BK$1),IF($AX49=8,IF($CD$11="","",INDEX(Tính!$R$39:$R$83,$CD$11)&amp;"/"&amp;$BL$1),"")))))</f>
        <v/>
      </c>
      <c r="T49" s="31" t="str">
        <f>IF($AX49=3,IF($CD$12="","",INDEX(Tính!$F$39:$F$83,$CD$12)),IF($AX49=4,IF($CD$12="","",INDEX(Tính!$C$182:$V$226,$CD$12,INDEX($BJ$3:$BJ$22,$AY49))),IF($AX49=5,IF($CD$12="","",INDEX(Tính!$P$39:$P$83,$CD$12)&amp;"/"&amp;COUNTIF($BA$3:$BA$22,"?*")),IF($AX49=7,IF($CD$12="","",INDEX(Tính!$Q$39:$Q$83,$CD$12)&amp;"/"&amp;$BK$1),IF($AX49=8,IF($CD$12="","",INDEX(Tính!$R$39:$R$83,$CD$12)&amp;"/"&amp;$BL$1),"")))))</f>
        <v/>
      </c>
      <c r="U49" s="31" t="str">
        <f>IF($AX49=3,IF($CD$13="","",INDEX(Tính!$F$39:$F$83,$CD$13)),IF($AX49=4,IF($CD$13="","",INDEX(Tính!$C$182:$V$226,$CD$13,INDEX($BJ$3:$BJ$22,$AY49))),IF($AX49=5,IF($CD$13="","",INDEX(Tính!$P$39:$P$83,$CD$13)&amp;"/"&amp;COUNTIF($BA$3:$BA$22,"?*")),IF($AX49=7,IF($CD$13="","",INDEX(Tính!$Q$39:$Q$83,$CD$13)&amp;"/"&amp;$BK$1),IF($AX49=8,IF($CD$13="","",INDEX(Tính!$R$39:$R$83,$CD$13)&amp;"/"&amp;$BL$1),"")))))</f>
        <v/>
      </c>
      <c r="V49" s="31" t="str">
        <f>IF($AX49=3,IF($CD$14="","",INDEX(Tính!$F$39:$F$83,$CD$14)),IF($AX49=4,IF($CD$14="","",INDEX(Tính!$C$182:$V$226,$CD$14,INDEX($BJ$3:$BJ$22,$AY49))),IF($AX49=5,IF($CD$14="","",INDEX(Tính!$P$39:$P$83,$CD$14)&amp;"/"&amp;COUNTIF($BA$3:$BA$22,"?*")),IF($AX49=7,IF($CD$14="","",INDEX(Tính!$Q$39:$Q$83,$CD$14)&amp;"/"&amp;$BK$1),IF($AX49=8,IF($CD$14="","",INDEX(Tính!$R$39:$R$83,$CD$14)&amp;"/"&amp;$BL$1),"")))))</f>
        <v/>
      </c>
      <c r="W49" s="31" t="str">
        <f>IF($AX49=3,IF($CD$15="","",INDEX(Tính!$F$39:$F$83,$CD$15)),IF($AX49=4,IF($CD$15="","",INDEX(Tính!$C$182:$V$226,$CD$15,INDEX($BJ$3:$BJ$22,$AY49))),IF($AX49=5,IF($CD$15="","",INDEX(Tính!$P$39:$P$83,$CD$15)&amp;"/"&amp;COUNTIF($BA$3:$BA$22,"?*")),IF($AX49=7,IF($CD$15="","",INDEX(Tính!$Q$39:$Q$83,$CD$15)&amp;"/"&amp;$BK$1),IF($AX49=8,IF($CD$15="","",INDEX(Tính!$R$39:$R$83,$CD$15)&amp;"/"&amp;$BL$1),"")))))</f>
        <v/>
      </c>
      <c r="X49" s="31" t="str">
        <f>IF($AX49=3,IF($CD$16="","",INDEX(Tính!$F$39:$F$83,$CD$16)),IF($AX49=4,IF($CD$16="","",INDEX(Tính!$C$182:$V$226,$CD$16,INDEX($BJ$3:$BJ$22,$AY49))),IF($AX49=5,IF($CD$16="","",INDEX(Tính!$P$39:$P$83,$CD$16)&amp;"/"&amp;COUNTIF($BA$3:$BA$22,"?*")),IF($AX49=7,IF($CD$16="","",INDEX(Tính!$Q$39:$Q$83,$CD$16)&amp;"/"&amp;$BK$1),IF($AX49=8,IF($CD$16="","",INDEX(Tính!$R$39:$R$83,$CD$16)&amp;"/"&amp;$BL$1),"")))))</f>
        <v/>
      </c>
      <c r="Y49" s="31" t="str">
        <f>IF($AX49=3,IF($CD$17="","",INDEX(Tính!$F$39:$F$83,$CD$17)),IF($AX49=4,IF($CD$17="","",INDEX(Tính!$C$182:$V$226,$CD$17,INDEX($BJ$3:$BJ$22,$AY49))),IF($AX49=5,IF($CD$17="","",INDEX(Tính!$P$39:$P$83,$CD$17)&amp;"/"&amp;COUNTIF($BA$3:$BA$22,"?*")),IF($AX49=7,IF($CD$17="","",INDEX(Tính!$Q$39:$Q$83,$CD$17)&amp;"/"&amp;$BK$1),IF($AX49=8,IF($CD$17="","",INDEX(Tính!$R$39:$R$83,$CD$17)&amp;"/"&amp;$BL$1),"")))))</f>
        <v/>
      </c>
      <c r="Z49" s="31" t="str">
        <f>IF($AX49=3,IF($CD$18="","",INDEX(Tính!$F$39:$F$83,$CD$18)),IF($AX49=4,IF($CD$18="","",INDEX(Tính!$C$182:$V$226,$CD$18,INDEX($BJ$3:$BJ$22,$AY49))),IF($AX49=5,IF($CD$18="","",INDEX(Tính!$P$39:$P$83,$CD$18)&amp;"/"&amp;COUNTIF($BA$3:$BA$22,"?*")),IF($AX49=7,IF($CD$18="","",INDEX(Tính!$Q$39:$Q$83,$CD$18)&amp;"/"&amp;$BK$1),IF($AX49=8,IF($CD$18="","",INDEX(Tính!$R$39:$R$83,$CD$18)&amp;"/"&amp;$BL$1),"")))))</f>
        <v/>
      </c>
      <c r="AA49" s="31" t="str">
        <f>IF($AX49=3,IF($CD$19="","",INDEX(Tính!$F$39:$F$83,$CD$19)),IF($AX49=4,IF($CD$19="","",INDEX(Tính!$C$182:$V$226,$CD$19,INDEX($BJ$3:$BJ$22,$AY49))),IF($AX49=5,IF($CD$19="","",INDEX(Tính!$P$39:$P$83,$CD$19)&amp;"/"&amp;COUNTIF($BA$3:$BA$22,"?*")),IF($AX49=7,IF($CD$19="","",INDEX(Tính!$Q$39:$Q$83,$CD$19)&amp;"/"&amp;$BK$1),IF($AX49=8,IF($CD$19="","",INDEX(Tính!$R$39:$R$83,$CD$19)&amp;"/"&amp;$BL$1),"")))))</f>
        <v/>
      </c>
      <c r="AB49" s="31" t="str">
        <f>IF($AX49=3,IF($CD$20="","",INDEX(Tính!$F$39:$F$83,$CD$20)),IF($AX49=4,IF($CD$20="","",INDEX(Tính!$C$182:$V$226,$CD$20,INDEX($BJ$3:$BJ$22,$AY49))),IF($AX49=5,IF($CD$20="","",INDEX(Tính!$P$39:$P$83,$CD$20)&amp;"/"&amp;COUNTIF($BA$3:$BA$22,"?*")),IF($AX49=7,IF($CD$20="","",INDEX(Tính!$Q$39:$Q$83,$CD$20)&amp;"/"&amp;$BK$1),IF($AX49=8,IF($CD$20="","",INDEX(Tính!$R$39:$R$83,$CD$20)&amp;"/"&amp;$BL$1),"")))))</f>
        <v/>
      </c>
      <c r="AC49" s="31" t="str">
        <f>IF($AX49=3,IF($CD$21="","",INDEX(Tính!$F$39:$F$83,$CD$21)),IF($AX49=4,IF($CD$21="","",INDEX(Tính!$C$182:$V$226,$CD$21,INDEX($BJ$3:$BJ$22,$AY49))),IF($AX49=5,IF($CD$21="","",INDEX(Tính!$P$39:$P$83,$CD$21)&amp;"/"&amp;COUNTIF($BA$3:$BA$22,"?*")),IF($AX49=7,IF($CD$21="","",INDEX(Tính!$Q$39:$Q$83,$CD$21)&amp;"/"&amp;$BK$1),IF($AX49=8,IF($CD$21="","",INDEX(Tính!$R$39:$R$83,$CD$21)&amp;"/"&amp;$BL$1),"")))))</f>
        <v/>
      </c>
      <c r="AD49" s="31" t="str">
        <f>IF($AX49=3,IF($CD$22="","",INDEX(Tính!$F$39:$F$83,$CD$22)),IF($AX49=4,IF($CD$22="","",INDEX(Tính!$C$182:$V$226,$CD$22,INDEX($BJ$3:$BJ$22,$AY49))),IF($AX49=5,IF($CD$22="","",INDEX(Tính!$P$39:$P$83,$CD$22)&amp;"/"&amp;COUNTIF($BA$3:$BA$22,"?*")),IF($AX49=7,IF($CD$22="","",INDEX(Tính!$Q$39:$Q$83,$CD$22)&amp;"/"&amp;$BK$1),IF($AX49=8,IF($CD$22="","",INDEX(Tính!$R$39:$R$83,$CD$22)&amp;"/"&amp;$BL$1),"")))))</f>
        <v/>
      </c>
      <c r="AX49">
        <f>IF(45=0,0,IF(45&lt;=$AX$1,1,IF(45=$AX$1+1,2,IF(45=$AX$1+2,3,IF((45-$AX$1-2)&lt;=$AX$3,IF(INDEX($BK$3:$BK$24,(45-$AX$1-2))="C",7,IF(INDEX($BK$3:$BK$24,(45-$AX$1-2))="V",8,4)),IF((45-$AX$1-2)=$AX$3+1,5,6))))))</f>
        <v>6</v>
      </c>
      <c r="AY49">
        <f>IF(AX49=1,45,IF(AX49=4,INDEX($BL$3:$BL$24,(45-$AX$1-2)),0))</f>
        <v>0</v>
      </c>
    </row>
    <row r="51" spans="1:51" x14ac:dyDescent="0.3">
      <c r="A51" s="8" t="s">
        <v>97</v>
      </c>
    </row>
  </sheetData>
  <mergeCells count="34">
    <mergeCell ref="A28:B28"/>
    <mergeCell ref="F2:L2"/>
    <mergeCell ref="A13:B13"/>
    <mergeCell ref="A9:B9"/>
    <mergeCell ref="A31:B31"/>
    <mergeCell ref="B2:D2"/>
    <mergeCell ref="A6:B6"/>
    <mergeCell ref="A1:N1"/>
    <mergeCell ref="A4:B5"/>
    <mergeCell ref="A16:B16"/>
    <mergeCell ref="A7:B7"/>
    <mergeCell ref="A12:B12"/>
    <mergeCell ref="C4:F4"/>
    <mergeCell ref="A14:B14"/>
    <mergeCell ref="A8:B8"/>
    <mergeCell ref="C8:D8"/>
    <mergeCell ref="E7:F7"/>
    <mergeCell ref="A10:B10"/>
    <mergeCell ref="A24:B24"/>
    <mergeCell ref="A30:B30"/>
    <mergeCell ref="A15:B15"/>
    <mergeCell ref="A11:B11"/>
    <mergeCell ref="E8:F8"/>
    <mergeCell ref="A25:B25"/>
    <mergeCell ref="A18:B18"/>
    <mergeCell ref="A27:B27"/>
    <mergeCell ref="A26:B26"/>
    <mergeCell ref="A21:B21"/>
    <mergeCell ref="A17:B17"/>
    <mergeCell ref="A23:B23"/>
    <mergeCell ref="A22:B22"/>
    <mergeCell ref="A20:B20"/>
    <mergeCell ref="A29:B29"/>
    <mergeCell ref="A19:B19"/>
  </mergeCells>
  <conditionalFormatting sqref="A10:A31">
    <cfRule type="expression" dxfId="436" priority="14" stopIfTrue="1">
      <formula>AND(ISNUMBER($F10),$F10&gt;=1)</formula>
    </cfRule>
    <cfRule type="expression" dxfId="435" priority="15" stopIfTrue="1">
      <formula>AND(ISNUMBER($F10),$F10&gt;=1*0.8)</formula>
    </cfRule>
    <cfRule type="expression" dxfId="434" priority="16" stopIfTrue="1">
      <formula>ISNUMBER($F10)</formula>
    </cfRule>
    <cfRule type="expression" dxfId="433" priority="13" stopIfTrue="1">
      <formula>AND(ISNUMBER($F10),ROUND($F10,2)=0)</formula>
    </cfRule>
  </conditionalFormatting>
  <conditionalFormatting sqref="A10:F31">
    <cfRule type="expression" dxfId="432" priority="38">
      <formula>$A10&lt;&gt;""</formula>
    </cfRule>
    <cfRule type="expression" dxfId="431" priority="7" stopIfTrue="1">
      <formula>$AW10="C"</formula>
    </cfRule>
    <cfRule type="expression" dxfId="430" priority="8" stopIfTrue="1">
      <formula>$AW10="V"</formula>
    </cfRule>
  </conditionalFormatting>
  <conditionalFormatting sqref="E7">
    <cfRule type="expression" dxfId="429" priority="5" stopIfTrue="1">
      <formula>$D7&gt;=$C7</formula>
    </cfRule>
    <cfRule type="expression" dxfId="428" priority="6">
      <formula>$D7&lt;$C7</formula>
    </cfRule>
  </conditionalFormatting>
  <conditionalFormatting sqref="E10:E31">
    <cfRule type="expression" dxfId="427" priority="19" stopIfTrue="1">
      <formula>AND(ISNUMBER(E10),E10&gt;=NgayQua/SoNgay*0.8)</formula>
    </cfRule>
    <cfRule type="expression" dxfId="426" priority="20" stopIfTrue="1">
      <formula>ISNUMBER(E10)</formula>
    </cfRule>
    <cfRule type="expression" dxfId="425" priority="18" stopIfTrue="1">
      <formula>AND(ISNUMBER(E10),E10&gt;=NgayQua/SoNgay)</formula>
    </cfRule>
  </conditionalFormatting>
  <conditionalFormatting sqref="E10:F31">
    <cfRule type="expression" dxfId="424" priority="9" stopIfTrue="1">
      <formula>AND(ISNUMBER(E10),ROUND(E10,2)=0)</formula>
    </cfRule>
  </conditionalFormatting>
  <conditionalFormatting sqref="F6">
    <cfRule type="expression" dxfId="423" priority="2" stopIfTrue="1">
      <formula>AND(ISNUMBER(F6),F6&gt;=1)</formula>
    </cfRule>
    <cfRule type="expression" dxfId="422" priority="3" stopIfTrue="1">
      <formula>AND(ISNUMBER(F6),F6&gt;=1*0.8)</formula>
    </cfRule>
    <cfRule type="expression" dxfId="421" priority="4" stopIfTrue="1">
      <formula>ISNUMBER(F6)</formula>
    </cfRule>
    <cfRule type="expression" dxfId="420" priority="1" stopIfTrue="1">
      <formula>AND(ISNUMBER(F6),ROUND(F6,2)=0)</formula>
    </cfRule>
  </conditionalFormatting>
  <conditionalFormatting sqref="F10:F31">
    <cfRule type="expression" dxfId="419" priority="10" stopIfTrue="1">
      <formula>AND(ISNUMBER(F10),F10&gt;=1)</formula>
    </cfRule>
    <cfRule type="expression" dxfId="418" priority="11" stopIfTrue="1">
      <formula>AND(ISNUMBER(F10),F10&gt;=1*0.8)</formula>
    </cfRule>
    <cfRule type="expression" dxfId="417" priority="12" stopIfTrue="1">
      <formula>ISNUMBER(F10)</formula>
    </cfRule>
  </conditionalFormatting>
  <conditionalFormatting sqref="H4:AD49">
    <cfRule type="expression" dxfId="416" priority="21" stopIfTrue="1">
      <formula>AND($AX4=0,COLUMN(H4)&lt;=14)</formula>
    </cfRule>
    <cfRule type="expression" dxfId="415" priority="22" stopIfTrue="1">
      <formula>AND($AX4=3,H4&lt;&gt;"")</formula>
    </cfRule>
    <cfRule type="expression" dxfId="414" priority="23" stopIfTrue="1">
      <formula>AND($AX4=5,H4&lt;&gt;"")</formula>
    </cfRule>
    <cfRule type="expression" dxfId="413" priority="24" stopIfTrue="1">
      <formula>AND($AX4=7,COLUMN(H4)&gt;=9,COLUMN(H4)&lt;=10+$AX$1)</formula>
    </cfRule>
    <cfRule type="expression" dxfId="412" priority="25" stopIfTrue="1">
      <formula>AND($AX4=8,COLUMN(H4)&gt;=9,COLUMN(H4)&lt;=10+$AX$1)</formula>
    </cfRule>
    <cfRule type="expression" dxfId="411" priority="26" stopIfTrue="1">
      <formula>AND(AND($AX4=1,COLUMN(H4)=12),ISNUMBER(H4),H4&gt;=NgayQua/SoNgay)</formula>
    </cfRule>
    <cfRule type="expression" dxfId="410" priority="27" stopIfTrue="1">
      <formula>AND(AND($AX4=1,COLUMN(H4)=12),ISNUMBER(H4),H4&gt;=NgayQua/SoNgay*0.8)</formula>
    </cfRule>
    <cfRule type="expression" dxfId="409" priority="28" stopIfTrue="1">
      <formula>AND(AND($AX4=1,COLUMN(H4)=12),ISNUMBER(H4))</formula>
    </cfRule>
    <cfRule type="expression" dxfId="408" priority="29" stopIfTrue="1">
      <formula>AND(AND($AX4=1,COLUMN(H4)=13),ISNUMBER(H4),H4&gt;=1)</formula>
    </cfRule>
    <cfRule type="expression" dxfId="407" priority="30" stopIfTrue="1">
      <formula>AND(AND($AX4=1,COLUMN(H4)=13),ISNUMBER(H4),H4&gt;=1*0.8)</formula>
    </cfRule>
    <cfRule type="expression" dxfId="406" priority="31" stopIfTrue="1">
      <formula>AND(AND($AX4=1,COLUMN(H4)=13),ISNUMBER(H4))</formula>
    </cfRule>
    <cfRule type="expression" dxfId="405" priority="32" stopIfTrue="1">
      <formula>AND($AX4=1,COLUMN(H4)&lt;=14)</formula>
    </cfRule>
    <cfRule type="expression" dxfId="404" priority="33" stopIfTrue="1">
      <formula>AND(AND($AX4=4,COLUMN(H4)&gt;=10,ISNUMBER(H4)),ROUND(H4,2)=0)</formula>
    </cfRule>
    <cfRule type="expression" dxfId="403" priority="34" stopIfTrue="1">
      <formula>AND(AND($AX4=4,COLUMN(H4)&gt;=10,ISNUMBER(H4)),H4&gt;=1)</formula>
    </cfRule>
    <cfRule type="expression" dxfId="402" priority="35" stopIfTrue="1">
      <formula>AND(AND($AX4=4,COLUMN(H4)&gt;=10,ISNUMBER(H4)),H4&gt;=0.8)</formula>
    </cfRule>
    <cfRule type="expression" dxfId="401" priority="36" stopIfTrue="1">
      <formula>AND($AX4=4,COLUMN(H4)&gt;=10,ISNUMBER(H4))</formula>
    </cfRule>
    <cfRule type="expression" dxfId="400" priority="37" stopIfTrue="1">
      <formula>AND($AX4=4,H4&lt;&gt;"")</formula>
    </cfRule>
  </conditionalFormatting>
  <dataValidations count="1">
    <dataValidation type="list" allowBlank="1" sqref="B2">
      <formula1>Tính!$Z$31:$Z$35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Tính!$Z$31:$Z$35</xm:f>
          </x14:formula1>
          <xm:sqref>B2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D14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17" customWidth="1"/>
    <col min="2" max="3" width="9" customWidth="1"/>
    <col min="4" max="4" width="8" customWidth="1"/>
    <col min="5" max="5" width="2.44140625" customWidth="1"/>
    <col min="6" max="6" width="17" customWidth="1"/>
    <col min="7" max="8" width="9" customWidth="1"/>
    <col min="9" max="9" width="8" customWidth="1"/>
    <col min="10" max="10" width="2.44140625" customWidth="1"/>
    <col min="11" max="11" width="17" customWidth="1"/>
    <col min="12" max="13" width="9" customWidth="1"/>
    <col min="14" max="14" width="8" customWidth="1"/>
    <col min="15" max="15" width="2.44140625" customWidth="1"/>
    <col min="16" max="16" width="17" customWidth="1"/>
    <col min="17" max="18" width="9" customWidth="1"/>
    <col min="19" max="19" width="8" customWidth="1"/>
    <col min="20" max="20" width="2.44140625" customWidth="1"/>
    <col min="49" max="65" width="13" hidden="1" customWidth="1"/>
    <col min="79" max="82" width="13" hidden="1" customWidth="1"/>
  </cols>
  <sheetData>
    <row r="1" spans="1:82" ht="17.399999999999999" x14ac:dyDescent="0.3">
      <c r="A1" s="74" t="str">
        <f ca="1">"CHI TIẾT NHÂN VIÊN — "&amp;'Khai báo'!B3&amp;" · số đến hết "&amp;TEXT(NgayQua,"00")&amp;"/"&amp;'Khai báo'!B4</f>
        <v>CHI TIẾT NHÂN VIÊN —  · số đến hết 25/10/2026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AZ1">
        <f>IF(OR($B$2="",$B$2="Tổng cụm",$B$2="—"),0,IFERROR(MATCH($B$2,Tính!$B$31:$B$34,0),0))</f>
        <v>0</v>
      </c>
      <c r="BK1">
        <f>COUNTIF($BB$3:$BB$22,"Chính")</f>
        <v>0</v>
      </c>
      <c r="BL1">
        <f>COUNTIF($BB$3:$BB$22,"Vượt trội")</f>
        <v>0</v>
      </c>
      <c r="BM1">
        <f>$BK$1+$BL$1+($BK$1&gt;0)+($BL$1&gt;0)</f>
        <v>0</v>
      </c>
    </row>
    <row r="2" spans="1:82" ht="15.6" x14ac:dyDescent="0.3">
      <c r="A2" s="17" t="s">
        <v>59</v>
      </c>
      <c r="B2" s="75" t="s">
        <v>60</v>
      </c>
      <c r="C2" s="49"/>
      <c r="D2" s="50"/>
      <c r="F2" s="65" t="s">
        <v>61</v>
      </c>
      <c r="G2" s="52"/>
      <c r="H2" s="52"/>
      <c r="I2" s="52"/>
      <c r="J2" s="52"/>
      <c r="K2" s="52"/>
      <c r="L2" s="52"/>
      <c r="BA2" t="s">
        <v>62</v>
      </c>
      <c r="BJ2" t="s">
        <v>63</v>
      </c>
    </row>
    <row r="3" spans="1:82" x14ac:dyDescent="0.3">
      <c r="BA3" t="str">
        <f>Tính!B3</f>
        <v/>
      </c>
      <c r="BB3" t="str">
        <f>Tính!D3</f>
        <v/>
      </c>
      <c r="BC3">
        <f>IF($AZ$1=0,Tính!$Z$3,CHOOSE($AZ$1,Tính!$G$3,Tính!$L$3,Tính!$Q$3,Tính!$V$3))</f>
        <v>0</v>
      </c>
      <c r="BD3">
        <f>IF($AZ$1=0,Tính!$Y$3,CHOOSE($AZ$1,Tính!$E$3,Tính!$J$3,Tính!$O$3,Tính!$T$3))</f>
        <v>0</v>
      </c>
      <c r="BE3">
        <f>IF($AZ$1=0,Tính!$AB$3,CHOOSE($AZ$1,Tính!$I$3,Tính!$N$3,Tính!$S$3,Tính!$X$3))</f>
        <v>0</v>
      </c>
      <c r="BF3">
        <f>IF($AZ$1=0,Tính!$AA$3,CHOOSE($AZ$1,Tính!$H$3,Tính!$M$3,Tính!$R$3,Tính!$W$3))</f>
        <v>0</v>
      </c>
      <c r="BG3">
        <f t="shared" ref="BG3:BG22" si="0">IF(BC3&gt;0,BD3/NgayQua*SoNgay/BC3,IF(BD3&gt;0,1,0))</f>
        <v>0</v>
      </c>
      <c r="BH3">
        <f t="shared" ref="BH3:BH22" si="1">IF(CoRTNhom=1,IF(BC3&gt;0,(BD3+BF3)/(NgayQua+1)*SoNgay/BC3,IF(BD3+BF3&gt;0,1,0)),BG3)</f>
        <v>0</v>
      </c>
      <c r="BI3">
        <f>IF(BA3="",-1,IF(BB3="Chính",1000,0)+BG3+(20-1)/100000)</f>
        <v>-1</v>
      </c>
      <c r="BJ3" t="str">
        <f>IF(LARGE($BI$3:$BI$22,1)&lt;0,"",MATCH(LARGE($BI$3:$BI$22,1),$BI$3:$BI$22,0))</f>
        <v/>
      </c>
      <c r="BK3" t="str">
        <f>IF(1=1,IF($BK$1&gt;0,"C",""),IF(1&lt;=$BK$1+1,"g",IF(1=$BK$1+2,IF($BL$1&gt;0,"V",""),IF(1&lt;=$BK$1+2+$BL$1,"g",""))))</f>
        <v/>
      </c>
      <c r="BL3" t="str">
        <f>IF(BK3="g",IF(1&lt;=$BK$1+1,1-1,1-2),"")</f>
        <v/>
      </c>
      <c r="CA3">
        <v>1</v>
      </c>
      <c r="CB3">
        <f>IF(Tính!B39="",0,IF(OR($AZ$1=0,Tính!D39=$AZ$1),1,0))</f>
        <v>0</v>
      </c>
      <c r="CC3">
        <f>IF(CB3=1,Tính!M39+1+(45-1)/1000000,-1)</f>
        <v>-1</v>
      </c>
      <c r="CD3" t="str">
        <f>IF(LARGE($CC$3:$CC$47,1)&lt;0,"",MATCH(LARGE($CC$3:$CC$47,1),$CC$3:$CC$47,0))</f>
        <v/>
      </c>
    </row>
    <row r="4" spans="1:82" x14ac:dyDescent="0.3">
      <c r="A4" s="81" t="str">
        <f>IF($CD$3="","",1&amp;". "&amp;IF($CD$3="","",INDEX(Tính!$F$39:$F$83,$CD$3))&amp;" · "&amp;IF($CD$3="","",INDEX(Tính!$O$39:$O$83,$CD$3)))</f>
        <v/>
      </c>
      <c r="B4" s="52"/>
      <c r="C4" s="52"/>
      <c r="D4" s="52"/>
      <c r="F4" s="81" t="str">
        <f>IF($CD$4="","",2&amp;". "&amp;IF($CD$4="","",INDEX(Tính!$F$39:$F$83,$CD$4))&amp;" · "&amp;IF($CD$4="","",INDEX(Tính!$O$39:$O$83,$CD$4)))</f>
        <v/>
      </c>
      <c r="G4" s="52"/>
      <c r="H4" s="52"/>
      <c r="I4" s="52"/>
      <c r="K4" s="81" t="str">
        <f>IF($CD$5="","",3&amp;". "&amp;IF($CD$5="","",INDEX(Tính!$F$39:$F$83,$CD$5))&amp;" · "&amp;IF($CD$5="","",INDEX(Tính!$O$39:$O$83,$CD$5)))</f>
        <v/>
      </c>
      <c r="L4" s="52"/>
      <c r="M4" s="52"/>
      <c r="N4" s="52"/>
      <c r="P4" s="81" t="str">
        <f>IF($CD$6="","",4&amp;". "&amp;IF($CD$6="","",INDEX(Tính!$F$39:$F$83,$CD$6))&amp;" · "&amp;IF($CD$6="","",INDEX(Tính!$O$39:$O$83,$CD$6)))</f>
        <v/>
      </c>
      <c r="Q4" s="52"/>
      <c r="R4" s="52"/>
      <c r="S4" s="52"/>
      <c r="BA4" t="str">
        <f>Tính!B4</f>
        <v/>
      </c>
      <c r="BB4" t="str">
        <f>Tính!D4</f>
        <v/>
      </c>
      <c r="BC4">
        <f>IF($AZ$1=0,Tính!$Z$4,CHOOSE($AZ$1,Tính!$G$4,Tính!$L$4,Tính!$Q$4,Tính!$V$4))</f>
        <v>0</v>
      </c>
      <c r="BD4">
        <f>IF($AZ$1=0,Tính!$Y$4,CHOOSE($AZ$1,Tính!$E$4,Tính!$J$4,Tính!$O$4,Tính!$T$4))</f>
        <v>0</v>
      </c>
      <c r="BE4">
        <f>IF($AZ$1=0,Tính!$AB$4,CHOOSE($AZ$1,Tính!$I$4,Tính!$N$4,Tính!$S$4,Tính!$X$4))</f>
        <v>0</v>
      </c>
      <c r="BF4">
        <f>IF($AZ$1=0,Tính!$AA$4,CHOOSE($AZ$1,Tính!$H$4,Tính!$M$4,Tính!$R$4,Tính!$W$4))</f>
        <v>0</v>
      </c>
      <c r="BG4">
        <f t="shared" si="0"/>
        <v>0</v>
      </c>
      <c r="BH4">
        <f t="shared" si="1"/>
        <v>0</v>
      </c>
      <c r="BI4">
        <f>IF(BA4="",-1,IF(BB4="Chính",1000,0)+BG4+(20-2)/100000)</f>
        <v>-1</v>
      </c>
      <c r="BJ4" t="str">
        <f>IF(LARGE($BI$3:$BI$22,2)&lt;0,"",MATCH(LARGE($BI$3:$BI$22,2),$BI$3:$BI$22,0))</f>
        <v/>
      </c>
      <c r="BK4" t="str">
        <f>IF(2=1,IF($BK$1&gt;0,"C",""),IF(2&lt;=$BK$1+1,"g",IF(2=$BK$1+2,IF($BL$1&gt;0,"V",""),IF(2&lt;=$BK$1+2+$BL$1,"g",""))))</f>
        <v/>
      </c>
      <c r="BL4" t="str">
        <f>IF(BK4="g",IF(2&lt;=$BK$1+1,2-1,2-2),"")</f>
        <v/>
      </c>
      <c r="CA4">
        <v>2</v>
      </c>
      <c r="CB4">
        <f>IF(Tính!B40="",0,IF(OR($AZ$1=0,Tính!D40=$AZ$1),1,0))</f>
        <v>0</v>
      </c>
      <c r="CC4">
        <f>IF(CB4=1,Tính!M40+1+(45-2)/1000000,-1)</f>
        <v>-1</v>
      </c>
      <c r="CD4" t="str">
        <f>IF(LARGE($CC$3:$CC$47,2)&lt;0,"",MATCH(LARGE($CC$3:$CC$47,2),$CC$3:$CC$47,0))</f>
        <v/>
      </c>
    </row>
    <row r="5" spans="1:82" x14ac:dyDescent="0.3">
      <c r="A5" s="35" t="str">
        <f>IF($CD$3="","","DỰ KIẾN")</f>
        <v/>
      </c>
      <c r="B5" s="35" t="str">
        <f>IF($CD$3="","","% HT")</f>
        <v/>
      </c>
      <c r="C5" s="35" t="str">
        <f>IF($CD$3="","","NH ĐẠT")</f>
        <v/>
      </c>
      <c r="D5" s="35" t="str">
        <f>IF($CD$3="","","HẠNG")</f>
        <v/>
      </c>
      <c r="F5" s="35" t="str">
        <f>IF($CD$4="","","DỰ KIẾN")</f>
        <v/>
      </c>
      <c r="G5" s="35" t="str">
        <f>IF($CD$4="","","% HT")</f>
        <v/>
      </c>
      <c r="H5" s="35" t="str">
        <f>IF($CD$4="","","NH ĐẠT")</f>
        <v/>
      </c>
      <c r="I5" s="35" t="str">
        <f>IF($CD$4="","","HẠNG")</f>
        <v/>
      </c>
      <c r="K5" s="35" t="str">
        <f>IF($CD$5="","","DỰ KIẾN")</f>
        <v/>
      </c>
      <c r="L5" s="35" t="str">
        <f>IF($CD$5="","","% HT")</f>
        <v/>
      </c>
      <c r="M5" s="35" t="str">
        <f>IF($CD$5="","","NH ĐẠT")</f>
        <v/>
      </c>
      <c r="N5" s="35" t="str">
        <f>IF($CD$5="","","HẠNG")</f>
        <v/>
      </c>
      <c r="P5" s="35" t="str">
        <f>IF($CD$6="","","DỰ KIẾN")</f>
        <v/>
      </c>
      <c r="Q5" s="35" t="str">
        <f>IF($CD$6="","","% HT")</f>
        <v/>
      </c>
      <c r="R5" s="35" t="str">
        <f>IF($CD$6="","","NH ĐẠT")</f>
        <v/>
      </c>
      <c r="S5" s="35" t="str">
        <f>IF($CD$6="","","HẠNG")</f>
        <v/>
      </c>
      <c r="BA5" t="str">
        <f>Tính!B5</f>
        <v/>
      </c>
      <c r="BB5" t="str">
        <f>Tính!D5</f>
        <v/>
      </c>
      <c r="BC5">
        <f>IF($AZ$1=0,Tính!$Z$5,CHOOSE($AZ$1,Tính!$G$5,Tính!$L$5,Tính!$Q$5,Tính!$V$5))</f>
        <v>0</v>
      </c>
      <c r="BD5">
        <f>IF($AZ$1=0,Tính!$Y$5,CHOOSE($AZ$1,Tính!$E$5,Tính!$J$5,Tính!$O$5,Tính!$T$5))</f>
        <v>0</v>
      </c>
      <c r="BE5">
        <f>IF($AZ$1=0,Tính!$AB$5,CHOOSE($AZ$1,Tính!$I$5,Tính!$N$5,Tính!$S$5,Tính!$X$5))</f>
        <v>0</v>
      </c>
      <c r="BF5">
        <f>IF($AZ$1=0,Tính!$AA$5,CHOOSE($AZ$1,Tính!$H$5,Tính!$M$5,Tính!$R$5,Tính!$W$5))</f>
        <v>0</v>
      </c>
      <c r="BG5">
        <f t="shared" si="0"/>
        <v>0</v>
      </c>
      <c r="BH5">
        <f t="shared" si="1"/>
        <v>0</v>
      </c>
      <c r="BI5">
        <f>IF(BA5="",-1,IF(BB5="Chính",1000,0)+BG5+(20-3)/100000)</f>
        <v>-1</v>
      </c>
      <c r="BJ5" t="str">
        <f>IF(LARGE($BI$3:$BI$22,3)&lt;0,"",MATCH(LARGE($BI$3:$BI$22,3),$BI$3:$BI$22,0))</f>
        <v/>
      </c>
      <c r="BK5" t="str">
        <f>IF(3=1,IF($BK$1&gt;0,"C",""),IF(3&lt;=$BK$1+1,"g",IF(3=$BK$1+2,IF($BL$1&gt;0,"V",""),IF(3&lt;=$BK$1+2+$BL$1,"g",""))))</f>
        <v/>
      </c>
      <c r="BL5" t="str">
        <f>IF(BK5="g",IF(3&lt;=$BK$1+1,3-1,3-2),"")</f>
        <v/>
      </c>
      <c r="CA5">
        <v>3</v>
      </c>
      <c r="CB5">
        <f>IF(Tính!B41="",0,IF(OR($AZ$1=0,Tính!D41=$AZ$1),1,0))</f>
        <v>0</v>
      </c>
      <c r="CC5">
        <f>IF(CB5=1,Tính!M41+1+(45-3)/1000000,-1)</f>
        <v>-1</v>
      </c>
      <c r="CD5" t="str">
        <f>IF(LARGE($CC$3:$CC$47,3)&lt;0,"",MATCH(LARGE($CC$3:$CC$47,3),$CC$3:$CC$47,0))</f>
        <v/>
      </c>
    </row>
    <row r="6" spans="1:82" ht="15.6" x14ac:dyDescent="0.3">
      <c r="A6" s="36" t="str">
        <f>IF($CD$3="","",IF($CD$3="","",INDEX(Tính!$M$39:$M$83,$CD$3)))</f>
        <v/>
      </c>
      <c r="B6" s="36" t="str">
        <f>IF($CD$3="","",IF($CD$3="","",INDEX(Tính!$N$39:$N$83,$CD$3)))</f>
        <v/>
      </c>
      <c r="C6" s="37" t="str">
        <f>IF($CD$3="","",IF($CD$3="","",INDEX(Tính!$P$39:$P$83,$CD$3))&amp;"/"&amp;COUNTIF($BA$3:$BA$22,"?*"))</f>
        <v/>
      </c>
      <c r="D6" s="37" t="str">
        <f>IF($CD$3="","",1)</f>
        <v/>
      </c>
      <c r="F6" s="36" t="str">
        <f>IF($CD$4="","",IF($CD$4="","",INDEX(Tính!$M$39:$M$83,$CD$4)))</f>
        <v/>
      </c>
      <c r="G6" s="36" t="str">
        <f>IF($CD$4="","",IF($CD$4="","",INDEX(Tính!$N$39:$N$83,$CD$4)))</f>
        <v/>
      </c>
      <c r="H6" s="37" t="str">
        <f>IF($CD$4="","",IF($CD$4="","",INDEX(Tính!$P$39:$P$83,$CD$4))&amp;"/"&amp;COUNTIF($BA$3:$BA$22,"?*"))</f>
        <v/>
      </c>
      <c r="I6" s="37" t="str">
        <f>IF($CD$4="","",2)</f>
        <v/>
      </c>
      <c r="K6" s="36" t="str">
        <f>IF($CD$5="","",IF($CD$5="","",INDEX(Tính!$M$39:$M$83,$CD$5)))</f>
        <v/>
      </c>
      <c r="L6" s="36" t="str">
        <f>IF($CD$5="","",IF($CD$5="","",INDEX(Tính!$N$39:$N$83,$CD$5)))</f>
        <v/>
      </c>
      <c r="M6" s="37" t="str">
        <f>IF($CD$5="","",IF($CD$5="","",INDEX(Tính!$P$39:$P$83,$CD$5))&amp;"/"&amp;COUNTIF($BA$3:$BA$22,"?*"))</f>
        <v/>
      </c>
      <c r="N6" s="37" t="str">
        <f>IF($CD$5="","",3)</f>
        <v/>
      </c>
      <c r="P6" s="36" t="str">
        <f>IF($CD$6="","",IF($CD$6="","",INDEX(Tính!$M$39:$M$83,$CD$6)))</f>
        <v/>
      </c>
      <c r="Q6" s="36" t="str">
        <f>IF($CD$6="","",IF($CD$6="","",INDEX(Tính!$N$39:$N$83,$CD$6)))</f>
        <v/>
      </c>
      <c r="R6" s="37" t="str">
        <f>IF($CD$6="","",IF($CD$6="","",INDEX(Tính!$P$39:$P$83,$CD$6))&amp;"/"&amp;COUNTIF($BA$3:$BA$22,"?*"))</f>
        <v/>
      </c>
      <c r="S6" s="37" t="str">
        <f>IF($CD$6="","",4)</f>
        <v/>
      </c>
      <c r="BA6" t="str">
        <f>Tính!B6</f>
        <v/>
      </c>
      <c r="BB6" t="str">
        <f>Tính!D6</f>
        <v/>
      </c>
      <c r="BC6">
        <f>IF($AZ$1=0,Tính!$Z$6,CHOOSE($AZ$1,Tính!$G$6,Tính!$L$6,Tính!$Q$6,Tính!$V$6))</f>
        <v>0</v>
      </c>
      <c r="BD6">
        <f>IF($AZ$1=0,Tính!$Y$6,CHOOSE($AZ$1,Tính!$E$6,Tính!$J$6,Tính!$O$6,Tính!$T$6))</f>
        <v>0</v>
      </c>
      <c r="BE6">
        <f>IF($AZ$1=0,Tính!$AB$6,CHOOSE($AZ$1,Tính!$I$6,Tính!$N$6,Tính!$S$6,Tính!$X$6))</f>
        <v>0</v>
      </c>
      <c r="BF6">
        <f>IF($AZ$1=0,Tính!$AA$6,CHOOSE($AZ$1,Tính!$H$6,Tính!$M$6,Tính!$R$6,Tính!$W$6))</f>
        <v>0</v>
      </c>
      <c r="BG6">
        <f t="shared" si="0"/>
        <v>0</v>
      </c>
      <c r="BH6">
        <f t="shared" si="1"/>
        <v>0</v>
      </c>
      <c r="BI6">
        <f>IF(BA6="",-1,IF(BB6="Chính",1000,0)+BG6+(20-4)/100000)</f>
        <v>-1</v>
      </c>
      <c r="BJ6" t="str">
        <f>IF(LARGE($BI$3:$BI$22,4)&lt;0,"",MATCH(LARGE($BI$3:$BI$22,4),$BI$3:$BI$22,0))</f>
        <v/>
      </c>
      <c r="BK6" t="str">
        <f>IF(4=1,IF($BK$1&gt;0,"C",""),IF(4&lt;=$BK$1+1,"g",IF(4=$BK$1+2,IF($BL$1&gt;0,"V",""),IF(4&lt;=$BK$1+2+$BL$1,"g",""))))</f>
        <v/>
      </c>
      <c r="BL6" t="str">
        <f>IF(BK6="g",IF(4&lt;=$BK$1+1,4-1,4-2),"")</f>
        <v/>
      </c>
      <c r="CA6">
        <v>4</v>
      </c>
      <c r="CB6">
        <f>IF(Tính!B42="",0,IF(OR($AZ$1=0,Tính!D42=$AZ$1),1,0))</f>
        <v>0</v>
      </c>
      <c r="CC6">
        <f>IF(CB6=1,Tính!M42+1+(45-4)/1000000,-1)</f>
        <v>-1</v>
      </c>
      <c r="CD6" t="str">
        <f>IF(LARGE($CC$3:$CC$47,4)&lt;0,"",MATCH(LARGE($CC$3:$CC$47,4),$CC$3:$CC$47,0))</f>
        <v/>
      </c>
    </row>
    <row r="7" spans="1:82" x14ac:dyDescent="0.3">
      <c r="A7" s="35" t="str">
        <f>IF($CD$3="","","DT QĐ")</f>
        <v/>
      </c>
      <c r="B7" s="35" t="str">
        <f>IF($CD$3="","","MỤC TIÊU")</f>
        <v/>
      </c>
      <c r="C7" s="35" t="str">
        <f>IF($CD$3="","","HÔM NAY")</f>
        <v/>
      </c>
      <c r="D7" s="35"/>
      <c r="F7" s="35" t="str">
        <f>IF($CD$4="","","DT QĐ")</f>
        <v/>
      </c>
      <c r="G7" s="35" t="str">
        <f>IF($CD$4="","","MỤC TIÊU")</f>
        <v/>
      </c>
      <c r="H7" s="35" t="str">
        <f>IF($CD$4="","","HÔM NAY")</f>
        <v/>
      </c>
      <c r="I7" s="35"/>
      <c r="K7" s="35" t="str">
        <f>IF($CD$5="","","DT QĐ")</f>
        <v/>
      </c>
      <c r="L7" s="35" t="str">
        <f>IF($CD$5="","","MỤC TIÊU")</f>
        <v/>
      </c>
      <c r="M7" s="35" t="str">
        <f>IF($CD$5="","","HÔM NAY")</f>
        <v/>
      </c>
      <c r="N7" s="35"/>
      <c r="P7" s="35" t="str">
        <f>IF($CD$6="","","DT QĐ")</f>
        <v/>
      </c>
      <c r="Q7" s="35" t="str">
        <f>IF($CD$6="","","MỤC TIÊU")</f>
        <v/>
      </c>
      <c r="R7" s="35" t="str">
        <f>IF($CD$6="","","HÔM NAY")</f>
        <v/>
      </c>
      <c r="S7" s="35"/>
      <c r="BA7" t="str">
        <f>Tính!B7</f>
        <v/>
      </c>
      <c r="BB7" t="str">
        <f>Tính!D7</f>
        <v/>
      </c>
      <c r="BC7">
        <f>IF($AZ$1=0,Tính!$Z$7,CHOOSE($AZ$1,Tính!$G$7,Tính!$L$7,Tính!$Q$7,Tính!$V$7))</f>
        <v>0</v>
      </c>
      <c r="BD7">
        <f>IF($AZ$1=0,Tính!$Y$7,CHOOSE($AZ$1,Tính!$E$7,Tính!$J$7,Tính!$O$7,Tính!$T$7))</f>
        <v>0</v>
      </c>
      <c r="BE7">
        <f>IF($AZ$1=0,Tính!$AB$7,CHOOSE($AZ$1,Tính!$I$7,Tính!$N$7,Tính!$S$7,Tính!$X$7))</f>
        <v>0</v>
      </c>
      <c r="BF7">
        <f>IF($AZ$1=0,Tính!$AA$7,CHOOSE($AZ$1,Tính!$H$7,Tính!$M$7,Tính!$R$7,Tính!$W$7))</f>
        <v>0</v>
      </c>
      <c r="BG7">
        <f t="shared" si="0"/>
        <v>0</v>
      </c>
      <c r="BH7">
        <f t="shared" si="1"/>
        <v>0</v>
      </c>
      <c r="BI7">
        <f>IF(BA7="",-1,IF(BB7="Chính",1000,0)+BG7+(20-5)/100000)</f>
        <v>-1</v>
      </c>
      <c r="BJ7" t="str">
        <f>IF(LARGE($BI$3:$BI$22,5)&lt;0,"",MATCH(LARGE($BI$3:$BI$22,5),$BI$3:$BI$22,0))</f>
        <v/>
      </c>
      <c r="BK7" t="str">
        <f>IF(5=1,IF($BK$1&gt;0,"C",""),IF(5&lt;=$BK$1+1,"g",IF(5=$BK$1+2,IF($BL$1&gt;0,"V",""),IF(5&lt;=$BK$1+2+$BL$1,"g",""))))</f>
        <v/>
      </c>
      <c r="BL7" t="str">
        <f>IF(BK7="g",IF(5&lt;=$BK$1+1,5-1,5-2),"")</f>
        <v/>
      </c>
      <c r="CA7">
        <v>5</v>
      </c>
      <c r="CB7">
        <f>IF(Tính!B43="",0,IF(OR($AZ$1=0,Tính!D43=$AZ$1),1,0))</f>
        <v>0</v>
      </c>
      <c r="CC7">
        <f>IF(CB7=1,Tính!M43+1+(45-5)/1000000,-1)</f>
        <v>-1</v>
      </c>
      <c r="CD7" t="str">
        <f>IF(LARGE($CC$3:$CC$47,5)&lt;0,"",MATCH(LARGE($CC$3:$CC$47,5),$CC$3:$CC$47,0))</f>
        <v/>
      </c>
    </row>
    <row r="8" spans="1:82" x14ac:dyDescent="0.3">
      <c r="A8" s="38" t="str">
        <f>IF($CD$3="","",IF($CD$3="","",INDEX(Tính!$K$39:$K$83,$CD$3)))</f>
        <v/>
      </c>
      <c r="B8" s="39" t="str">
        <f>IF($CD$3="","",IF($CD$3="","",INDEX(Tính!$J$39:$J$83,$CD$3)))</f>
        <v/>
      </c>
      <c r="C8" s="38" t="str">
        <f>IF($CD$3="","",IF($CD$3="","",INDEX(Tính!$L$39:$L$83,$CD$3)))</f>
        <v/>
      </c>
      <c r="D8" s="40" t="str">
        <f>IF($CD$3="","","")</f>
        <v/>
      </c>
      <c r="F8" s="38" t="str">
        <f>IF($CD$4="","",IF($CD$4="","",INDEX(Tính!$K$39:$K$83,$CD$4)))</f>
        <v/>
      </c>
      <c r="G8" s="39" t="str">
        <f>IF($CD$4="","",IF($CD$4="","",INDEX(Tính!$J$39:$J$83,$CD$4)))</f>
        <v/>
      </c>
      <c r="H8" s="38" t="str">
        <f>IF($CD$4="","",IF($CD$4="","",INDEX(Tính!$L$39:$L$83,$CD$4)))</f>
        <v/>
      </c>
      <c r="I8" s="40" t="str">
        <f>IF($CD$4="","","")</f>
        <v/>
      </c>
      <c r="K8" s="38" t="str">
        <f>IF($CD$5="","",IF($CD$5="","",INDEX(Tính!$K$39:$K$83,$CD$5)))</f>
        <v/>
      </c>
      <c r="L8" s="39" t="str">
        <f>IF($CD$5="","",IF($CD$5="","",INDEX(Tính!$J$39:$J$83,$CD$5)))</f>
        <v/>
      </c>
      <c r="M8" s="38" t="str">
        <f>IF($CD$5="","",IF($CD$5="","",INDEX(Tính!$L$39:$L$83,$CD$5)))</f>
        <v/>
      </c>
      <c r="N8" s="40" t="str">
        <f>IF($CD$5="","","")</f>
        <v/>
      </c>
      <c r="P8" s="38" t="str">
        <f>IF($CD$6="","",IF($CD$6="","",INDEX(Tính!$K$39:$K$83,$CD$6)))</f>
        <v/>
      </c>
      <c r="Q8" s="39" t="str">
        <f>IF($CD$6="","",IF($CD$6="","",INDEX(Tính!$J$39:$J$83,$CD$6)))</f>
        <v/>
      </c>
      <c r="R8" s="38" t="str">
        <f>IF($CD$6="","",IF($CD$6="","",INDEX(Tính!$L$39:$L$83,$CD$6)))</f>
        <v/>
      </c>
      <c r="S8" s="40" t="str">
        <f>IF($CD$6="","","")</f>
        <v/>
      </c>
      <c r="BA8" t="str">
        <f>Tính!B8</f>
        <v/>
      </c>
      <c r="BB8" t="str">
        <f>Tính!D8</f>
        <v/>
      </c>
      <c r="BC8">
        <f>IF($AZ$1=0,Tính!$Z$8,CHOOSE($AZ$1,Tính!$G$8,Tính!$L$8,Tính!$Q$8,Tính!$V$8))</f>
        <v>0</v>
      </c>
      <c r="BD8">
        <f>IF($AZ$1=0,Tính!$Y$8,CHOOSE($AZ$1,Tính!$E$8,Tính!$J$8,Tính!$O$8,Tính!$T$8))</f>
        <v>0</v>
      </c>
      <c r="BE8">
        <f>IF($AZ$1=0,Tính!$AB$8,CHOOSE($AZ$1,Tính!$I$8,Tính!$N$8,Tính!$S$8,Tính!$X$8))</f>
        <v>0</v>
      </c>
      <c r="BF8">
        <f>IF($AZ$1=0,Tính!$AA$8,CHOOSE($AZ$1,Tính!$H$8,Tính!$M$8,Tính!$R$8,Tính!$W$8))</f>
        <v>0</v>
      </c>
      <c r="BG8">
        <f t="shared" si="0"/>
        <v>0</v>
      </c>
      <c r="BH8">
        <f t="shared" si="1"/>
        <v>0</v>
      </c>
      <c r="BI8">
        <f>IF(BA8="",-1,IF(BB8="Chính",1000,0)+BG8+(20-6)/100000)</f>
        <v>-1</v>
      </c>
      <c r="BJ8" t="str">
        <f>IF(LARGE($BI$3:$BI$22,6)&lt;0,"",MATCH(LARGE($BI$3:$BI$22,6),$BI$3:$BI$22,0))</f>
        <v/>
      </c>
      <c r="BK8" t="str">
        <f>IF(6=1,IF($BK$1&gt;0,"C",""),IF(6&lt;=$BK$1+1,"g",IF(6=$BK$1+2,IF($BL$1&gt;0,"V",""),IF(6&lt;=$BK$1+2+$BL$1,"g",""))))</f>
        <v/>
      </c>
      <c r="BL8" t="str">
        <f>IF(BK8="g",IF(6&lt;=$BK$1+1,6-1,6-2),"")</f>
        <v/>
      </c>
      <c r="CA8">
        <v>6</v>
      </c>
      <c r="CB8">
        <f>IF(Tính!B44="",0,IF(OR($AZ$1=0,Tính!D44=$AZ$1),1,0))</f>
        <v>0</v>
      </c>
      <c r="CC8">
        <f>IF(CB8=1,Tính!M44+1+(45-6)/1000000,-1)</f>
        <v>-1</v>
      </c>
      <c r="CD8" t="str">
        <f>IF(LARGE($CC$3:$CC$47,6)&lt;0,"",MATCH(LARGE($CC$3:$CC$47,6),$CC$3:$CC$47,0))</f>
        <v/>
      </c>
    </row>
    <row r="9" spans="1:82" x14ac:dyDescent="0.3">
      <c r="A9" s="41" t="str">
        <f>IF($CD$3="","","Nhóm hàng")</f>
        <v/>
      </c>
      <c r="B9" s="41" t="str">
        <f>IF($CD$3="","","TH")</f>
        <v/>
      </c>
      <c r="C9" s="41" t="str">
        <f>IF($CD$3="","","Target")</f>
        <v/>
      </c>
      <c r="D9" s="41" t="str">
        <f>IF($CD$3="","","DK")</f>
        <v/>
      </c>
      <c r="F9" s="41" t="str">
        <f>IF($CD$4="","","Nhóm hàng")</f>
        <v/>
      </c>
      <c r="G9" s="41" t="str">
        <f>IF($CD$4="","","TH")</f>
        <v/>
      </c>
      <c r="H9" s="41" t="str">
        <f>IF($CD$4="","","Target")</f>
        <v/>
      </c>
      <c r="I9" s="41" t="str">
        <f>IF($CD$4="","","DK")</f>
        <v/>
      </c>
      <c r="K9" s="41" t="str">
        <f>IF($CD$5="","","Nhóm hàng")</f>
        <v/>
      </c>
      <c r="L9" s="41" t="str">
        <f>IF($CD$5="","","TH")</f>
        <v/>
      </c>
      <c r="M9" s="41" t="str">
        <f>IF($CD$5="","","Target")</f>
        <v/>
      </c>
      <c r="N9" s="41" t="str">
        <f>IF($CD$5="","","DK")</f>
        <v/>
      </c>
      <c r="P9" s="41" t="str">
        <f>IF($CD$6="","","Nhóm hàng")</f>
        <v/>
      </c>
      <c r="Q9" s="41" t="str">
        <f>IF($CD$6="","","TH")</f>
        <v/>
      </c>
      <c r="R9" s="41" t="str">
        <f>IF($CD$6="","","Target")</f>
        <v/>
      </c>
      <c r="S9" s="41" t="str">
        <f>IF($CD$6="","","DK")</f>
        <v/>
      </c>
      <c r="BA9" t="str">
        <f>Tính!B9</f>
        <v/>
      </c>
      <c r="BB9" t="str">
        <f>Tính!D9</f>
        <v/>
      </c>
      <c r="BC9">
        <f>IF($AZ$1=0,Tính!$Z$9,CHOOSE($AZ$1,Tính!$G$9,Tính!$L$9,Tính!$Q$9,Tính!$V$9))</f>
        <v>0</v>
      </c>
      <c r="BD9">
        <f>IF($AZ$1=0,Tính!$Y$9,CHOOSE($AZ$1,Tính!$E$9,Tính!$J$9,Tính!$O$9,Tính!$T$9))</f>
        <v>0</v>
      </c>
      <c r="BE9">
        <f>IF($AZ$1=0,Tính!$AB$9,CHOOSE($AZ$1,Tính!$I$9,Tính!$N$9,Tính!$S$9,Tính!$X$9))</f>
        <v>0</v>
      </c>
      <c r="BF9">
        <f>IF($AZ$1=0,Tính!$AA$9,CHOOSE($AZ$1,Tính!$H$9,Tính!$M$9,Tính!$R$9,Tính!$W$9))</f>
        <v>0</v>
      </c>
      <c r="BG9">
        <f t="shared" si="0"/>
        <v>0</v>
      </c>
      <c r="BH9">
        <f t="shared" si="1"/>
        <v>0</v>
      </c>
      <c r="BI9">
        <f>IF(BA9="",-1,IF(BB9="Chính",1000,0)+BG9+(20-7)/100000)</f>
        <v>-1</v>
      </c>
      <c r="BJ9" t="str">
        <f>IF(LARGE($BI$3:$BI$22,7)&lt;0,"",MATCH(LARGE($BI$3:$BI$22,7),$BI$3:$BI$22,0))</f>
        <v/>
      </c>
      <c r="BK9" t="str">
        <f>IF(7=1,IF($BK$1&gt;0,"C",""),IF(7&lt;=$BK$1+1,"g",IF(7=$BK$1+2,IF($BL$1&gt;0,"V",""),IF(7&lt;=$BK$1+2+$BL$1,"g",""))))</f>
        <v/>
      </c>
      <c r="BL9" t="str">
        <f>IF(BK9="g",IF(7&lt;=$BK$1+1,7-1,7-2),"")</f>
        <v/>
      </c>
      <c r="CA9">
        <v>7</v>
      </c>
      <c r="CB9">
        <f>IF(Tính!B45="",0,IF(OR($AZ$1=0,Tính!D45=$AZ$1),1,0))</f>
        <v>0</v>
      </c>
      <c r="CC9">
        <f>IF(CB9=1,Tính!M45+1+(45-7)/1000000,-1)</f>
        <v>-1</v>
      </c>
      <c r="CD9" t="str">
        <f>IF(LARGE($CC$3:$CC$47,7)&lt;0,"",MATCH(LARGE($CC$3:$CC$47,7),$CC$3:$CC$47,0))</f>
        <v/>
      </c>
    </row>
    <row r="10" spans="1:82" x14ac:dyDescent="0.3">
      <c r="A10" s="42" t="str">
        <f>IF($CD$3="","",IF($BK$3="C","NHÓM CHÍNH",IF($BK$3="V","NHÓM VƯỢT TRỘI",IF($BL$3="","",INDEX($BA$3:$BA$22,INDEX(Tính!$C$278:$V$322,$CD$3,$BL$3))))))</f>
        <v/>
      </c>
      <c r="B10" s="43" t="str">
        <f>IF(OR($CD$3="",$BL$3=""),"",INDEX(Tính!$C$86:$V$130,$CD$3,INDEX(Tính!$C$278:$V$322,$CD$3,$BL$3)))</f>
        <v/>
      </c>
      <c r="C10" s="43" t="str">
        <f>IF(OR($CD$3="",$BL$3=""),"",INDEX(Tính!$C$134:$V$178,$CD$3,INDEX(Tính!$C$278:$V$322,$CD$3,$BL$3)))</f>
        <v/>
      </c>
      <c r="D10" s="44" t="str">
        <f>IF($CD$3="","",IF($BK$3="C",INDEX(Tính!$Q$39:$Q$83,$CD$3)&amp;"/"&amp;$BK$1,IF($BK$3="V",INDEX(Tính!$R$39:$R$83,$CD$3)&amp;"/"&amp;$BL$1,IF($BL$3="","",INDEX(Tính!$C$182:$V$226,$CD$3,INDEX(Tính!$C$278:$V$322,$CD$3,$BL$3))))))</f>
        <v/>
      </c>
      <c r="F10" s="42" t="str">
        <f>IF($CD$4="","",IF($BK$3="C","NHÓM CHÍNH",IF($BK$3="V","NHÓM VƯỢT TRỘI",IF($BL$3="","",INDEX($BA$3:$BA$22,INDEX(Tính!$C$278:$V$322,$CD$4,$BL$3))))))</f>
        <v/>
      </c>
      <c r="G10" s="43" t="str">
        <f>IF(OR($CD$4="",$BL$3=""),"",INDEX(Tính!$C$86:$V$130,$CD$4,INDEX(Tính!$C$278:$V$322,$CD$4,$BL$3)))</f>
        <v/>
      </c>
      <c r="H10" s="43" t="str">
        <f>IF(OR($CD$4="",$BL$3=""),"",INDEX(Tính!$C$134:$V$178,$CD$4,INDEX(Tính!$C$278:$V$322,$CD$4,$BL$3)))</f>
        <v/>
      </c>
      <c r="I10" s="44" t="str">
        <f>IF($CD$4="","",IF($BK$3="C",INDEX(Tính!$Q$39:$Q$83,$CD$4)&amp;"/"&amp;$BK$1,IF($BK$3="V",INDEX(Tính!$R$39:$R$83,$CD$4)&amp;"/"&amp;$BL$1,IF($BL$3="","",INDEX(Tính!$C$182:$V$226,$CD$4,INDEX(Tính!$C$278:$V$322,$CD$4,$BL$3))))))</f>
        <v/>
      </c>
      <c r="K10" s="42" t="str">
        <f>IF($CD$5="","",IF($BK$3="C","NHÓM CHÍNH",IF($BK$3="V","NHÓM VƯỢT TRỘI",IF($BL$3="","",INDEX($BA$3:$BA$22,INDEX(Tính!$C$278:$V$322,$CD$5,$BL$3))))))</f>
        <v/>
      </c>
      <c r="L10" s="43" t="str">
        <f>IF(OR($CD$5="",$BL$3=""),"",INDEX(Tính!$C$86:$V$130,$CD$5,INDEX(Tính!$C$278:$V$322,$CD$5,$BL$3)))</f>
        <v/>
      </c>
      <c r="M10" s="43" t="str">
        <f>IF(OR($CD$5="",$BL$3=""),"",INDEX(Tính!$C$134:$V$178,$CD$5,INDEX(Tính!$C$278:$V$322,$CD$5,$BL$3)))</f>
        <v/>
      </c>
      <c r="N10" s="44" t="str">
        <f>IF($CD$5="","",IF($BK$3="C",INDEX(Tính!$Q$39:$Q$83,$CD$5)&amp;"/"&amp;$BK$1,IF($BK$3="V",INDEX(Tính!$R$39:$R$83,$CD$5)&amp;"/"&amp;$BL$1,IF($BL$3="","",INDEX(Tính!$C$182:$V$226,$CD$5,INDEX(Tính!$C$278:$V$322,$CD$5,$BL$3))))))</f>
        <v/>
      </c>
      <c r="P10" s="42" t="str">
        <f>IF($CD$6="","",IF($BK$3="C","NHÓM CHÍNH",IF($BK$3="V","NHÓM VƯỢT TRỘI",IF($BL$3="","",INDEX($BA$3:$BA$22,INDEX(Tính!$C$278:$V$322,$CD$6,$BL$3))))))</f>
        <v/>
      </c>
      <c r="Q10" s="43" t="str">
        <f>IF(OR($CD$6="",$BL$3=""),"",INDEX(Tính!$C$86:$V$130,$CD$6,INDEX(Tính!$C$278:$V$322,$CD$6,$BL$3)))</f>
        <v/>
      </c>
      <c r="R10" s="43" t="str">
        <f>IF(OR($CD$6="",$BL$3=""),"",INDEX(Tính!$C$134:$V$178,$CD$6,INDEX(Tính!$C$278:$V$322,$CD$6,$BL$3)))</f>
        <v/>
      </c>
      <c r="S10" s="44" t="str">
        <f>IF($CD$6="","",IF($BK$3="C",INDEX(Tính!$Q$39:$Q$83,$CD$6)&amp;"/"&amp;$BK$1,IF($BK$3="V",INDEX(Tính!$R$39:$R$83,$CD$6)&amp;"/"&amp;$BL$1,IF($BL$3="","",INDEX(Tính!$C$182:$V$226,$CD$6,INDEX(Tính!$C$278:$V$322,$CD$6,$BL$3))))))</f>
        <v/>
      </c>
      <c r="BA10" t="str">
        <f>Tính!B10</f>
        <v/>
      </c>
      <c r="BB10" t="str">
        <f>Tính!D10</f>
        <v/>
      </c>
      <c r="BC10">
        <f>IF($AZ$1=0,Tính!$Z$10,CHOOSE($AZ$1,Tính!$G$10,Tính!$L$10,Tính!$Q$10,Tính!$V$10))</f>
        <v>0</v>
      </c>
      <c r="BD10">
        <f>IF($AZ$1=0,Tính!$Y$10,CHOOSE($AZ$1,Tính!$E$10,Tính!$J$10,Tính!$O$10,Tính!$T$10))</f>
        <v>0</v>
      </c>
      <c r="BE10">
        <f>IF($AZ$1=0,Tính!$AB$10,CHOOSE($AZ$1,Tính!$I$10,Tính!$N$10,Tính!$S$10,Tính!$X$10))</f>
        <v>0</v>
      </c>
      <c r="BF10">
        <f>IF($AZ$1=0,Tính!$AA$10,CHOOSE($AZ$1,Tính!$H$10,Tính!$M$10,Tính!$R$10,Tính!$W$10))</f>
        <v>0</v>
      </c>
      <c r="BG10">
        <f t="shared" si="0"/>
        <v>0</v>
      </c>
      <c r="BH10">
        <f t="shared" si="1"/>
        <v>0</v>
      </c>
      <c r="BI10">
        <f>IF(BA10="",-1,IF(BB10="Chính",1000,0)+BG10+(20-8)/100000)</f>
        <v>-1</v>
      </c>
      <c r="BJ10" t="str">
        <f>IF(LARGE($BI$3:$BI$22,8)&lt;0,"",MATCH(LARGE($BI$3:$BI$22,8),$BI$3:$BI$22,0))</f>
        <v/>
      </c>
      <c r="BK10" t="str">
        <f>IF(8=1,IF($BK$1&gt;0,"C",""),IF(8&lt;=$BK$1+1,"g",IF(8=$BK$1+2,IF($BL$1&gt;0,"V",""),IF(8&lt;=$BK$1+2+$BL$1,"g",""))))</f>
        <v/>
      </c>
      <c r="BL10" t="str">
        <f>IF(BK10="g",IF(8&lt;=$BK$1+1,8-1,8-2),"")</f>
        <v/>
      </c>
      <c r="CA10">
        <v>8</v>
      </c>
      <c r="CB10">
        <f>IF(Tính!B46="",0,IF(OR($AZ$1=0,Tính!D46=$AZ$1),1,0))</f>
        <v>0</v>
      </c>
      <c r="CC10">
        <f>IF(CB10=1,Tính!M46+1+(45-8)/1000000,-1)</f>
        <v>-1</v>
      </c>
      <c r="CD10" t="str">
        <f>IF(LARGE($CC$3:$CC$47,8)&lt;0,"",MATCH(LARGE($CC$3:$CC$47,8),$CC$3:$CC$47,0))</f>
        <v/>
      </c>
    </row>
    <row r="11" spans="1:82" x14ac:dyDescent="0.3">
      <c r="A11" s="42" t="str">
        <f>IF($CD$3="","",IF($BK$4="C","NHÓM CHÍNH",IF($BK$4="V","NHÓM VƯỢT TRỘI",IF($BL$4="","",INDEX($BA$3:$BA$22,INDEX(Tính!$C$278:$V$322,$CD$3,$BL$4))))))</f>
        <v/>
      </c>
      <c r="B11" s="43" t="str">
        <f>IF(OR($CD$3="",$BL$4=""),"",INDEX(Tính!$C$86:$V$130,$CD$3,INDEX(Tính!$C$278:$V$322,$CD$3,$BL$4)))</f>
        <v/>
      </c>
      <c r="C11" s="43" t="str">
        <f>IF(OR($CD$3="",$BL$4=""),"",INDEX(Tính!$C$134:$V$178,$CD$3,INDEX(Tính!$C$278:$V$322,$CD$3,$BL$4)))</f>
        <v/>
      </c>
      <c r="D11" s="44" t="str">
        <f>IF($CD$3="","",IF($BK$4="C",INDEX(Tính!$Q$39:$Q$83,$CD$3)&amp;"/"&amp;$BK$1,IF($BK$4="V",INDEX(Tính!$R$39:$R$83,$CD$3)&amp;"/"&amp;$BL$1,IF($BL$4="","",INDEX(Tính!$C$182:$V$226,$CD$3,INDEX(Tính!$C$278:$V$322,$CD$3,$BL$4))))))</f>
        <v/>
      </c>
      <c r="F11" s="42" t="str">
        <f>IF($CD$4="","",IF($BK$4="C","NHÓM CHÍNH",IF($BK$4="V","NHÓM VƯỢT TRỘI",IF($BL$4="","",INDEX($BA$3:$BA$22,INDEX(Tính!$C$278:$V$322,$CD$4,$BL$4))))))</f>
        <v/>
      </c>
      <c r="G11" s="43" t="str">
        <f>IF(OR($CD$4="",$BL$4=""),"",INDEX(Tính!$C$86:$V$130,$CD$4,INDEX(Tính!$C$278:$V$322,$CD$4,$BL$4)))</f>
        <v/>
      </c>
      <c r="H11" s="43" t="str">
        <f>IF(OR($CD$4="",$BL$4=""),"",INDEX(Tính!$C$134:$V$178,$CD$4,INDEX(Tính!$C$278:$V$322,$CD$4,$BL$4)))</f>
        <v/>
      </c>
      <c r="I11" s="44" t="str">
        <f>IF($CD$4="","",IF($BK$4="C",INDEX(Tính!$Q$39:$Q$83,$CD$4)&amp;"/"&amp;$BK$1,IF($BK$4="V",INDEX(Tính!$R$39:$R$83,$CD$4)&amp;"/"&amp;$BL$1,IF($BL$4="","",INDEX(Tính!$C$182:$V$226,$CD$4,INDEX(Tính!$C$278:$V$322,$CD$4,$BL$4))))))</f>
        <v/>
      </c>
      <c r="K11" s="42" t="str">
        <f>IF($CD$5="","",IF($BK$4="C","NHÓM CHÍNH",IF($BK$4="V","NHÓM VƯỢT TRỘI",IF($BL$4="","",INDEX($BA$3:$BA$22,INDEX(Tính!$C$278:$V$322,$CD$5,$BL$4))))))</f>
        <v/>
      </c>
      <c r="L11" s="43" t="str">
        <f>IF(OR($CD$5="",$BL$4=""),"",INDEX(Tính!$C$86:$V$130,$CD$5,INDEX(Tính!$C$278:$V$322,$CD$5,$BL$4)))</f>
        <v/>
      </c>
      <c r="M11" s="43" t="str">
        <f>IF(OR($CD$5="",$BL$4=""),"",INDEX(Tính!$C$134:$V$178,$CD$5,INDEX(Tính!$C$278:$V$322,$CD$5,$BL$4)))</f>
        <v/>
      </c>
      <c r="N11" s="44" t="str">
        <f>IF($CD$5="","",IF($BK$4="C",INDEX(Tính!$Q$39:$Q$83,$CD$5)&amp;"/"&amp;$BK$1,IF($BK$4="V",INDEX(Tính!$R$39:$R$83,$CD$5)&amp;"/"&amp;$BL$1,IF($BL$4="","",INDEX(Tính!$C$182:$V$226,$CD$5,INDEX(Tính!$C$278:$V$322,$CD$5,$BL$4))))))</f>
        <v/>
      </c>
      <c r="P11" s="42" t="str">
        <f>IF($CD$6="","",IF($BK$4="C","NHÓM CHÍNH",IF($BK$4="V","NHÓM VƯỢT TRỘI",IF($BL$4="","",INDEX($BA$3:$BA$22,INDEX(Tính!$C$278:$V$322,$CD$6,$BL$4))))))</f>
        <v/>
      </c>
      <c r="Q11" s="43" t="str">
        <f>IF(OR($CD$6="",$BL$4=""),"",INDEX(Tính!$C$86:$V$130,$CD$6,INDEX(Tính!$C$278:$V$322,$CD$6,$BL$4)))</f>
        <v/>
      </c>
      <c r="R11" s="43" t="str">
        <f>IF(OR($CD$6="",$BL$4=""),"",INDEX(Tính!$C$134:$V$178,$CD$6,INDEX(Tính!$C$278:$V$322,$CD$6,$BL$4)))</f>
        <v/>
      </c>
      <c r="S11" s="44" t="str">
        <f>IF($CD$6="","",IF($BK$4="C",INDEX(Tính!$Q$39:$Q$83,$CD$6)&amp;"/"&amp;$BK$1,IF($BK$4="V",INDEX(Tính!$R$39:$R$83,$CD$6)&amp;"/"&amp;$BL$1,IF($BL$4="","",INDEX(Tính!$C$182:$V$226,$CD$6,INDEX(Tính!$C$278:$V$322,$CD$6,$BL$4))))))</f>
        <v/>
      </c>
      <c r="BA11" t="str">
        <f>Tính!B11</f>
        <v/>
      </c>
      <c r="BB11" t="str">
        <f>Tính!D11</f>
        <v/>
      </c>
      <c r="BC11">
        <f>IF($AZ$1=0,Tính!$Z$11,CHOOSE($AZ$1,Tính!$G$11,Tính!$L$11,Tính!$Q$11,Tính!$V$11))</f>
        <v>0</v>
      </c>
      <c r="BD11">
        <f>IF($AZ$1=0,Tính!$Y$11,CHOOSE($AZ$1,Tính!$E$11,Tính!$J$11,Tính!$O$11,Tính!$T$11))</f>
        <v>0</v>
      </c>
      <c r="BE11">
        <f>IF($AZ$1=0,Tính!$AB$11,CHOOSE($AZ$1,Tính!$I$11,Tính!$N$11,Tính!$S$11,Tính!$X$11))</f>
        <v>0</v>
      </c>
      <c r="BF11">
        <f>IF($AZ$1=0,Tính!$AA$11,CHOOSE($AZ$1,Tính!$H$11,Tính!$M$11,Tính!$R$11,Tính!$W$11))</f>
        <v>0</v>
      </c>
      <c r="BG11">
        <f t="shared" si="0"/>
        <v>0</v>
      </c>
      <c r="BH11">
        <f t="shared" si="1"/>
        <v>0</v>
      </c>
      <c r="BI11">
        <f>IF(BA11="",-1,IF(BB11="Chính",1000,0)+BG11+(20-9)/100000)</f>
        <v>-1</v>
      </c>
      <c r="BJ11" t="str">
        <f>IF(LARGE($BI$3:$BI$22,9)&lt;0,"",MATCH(LARGE($BI$3:$BI$22,9),$BI$3:$BI$22,0))</f>
        <v/>
      </c>
      <c r="BK11" t="str">
        <f>IF(9=1,IF($BK$1&gt;0,"C",""),IF(9&lt;=$BK$1+1,"g",IF(9=$BK$1+2,IF($BL$1&gt;0,"V",""),IF(9&lt;=$BK$1+2+$BL$1,"g",""))))</f>
        <v/>
      </c>
      <c r="BL11" t="str">
        <f>IF(BK11="g",IF(9&lt;=$BK$1+1,9-1,9-2),"")</f>
        <v/>
      </c>
      <c r="CA11">
        <v>9</v>
      </c>
      <c r="CB11">
        <f>IF(Tính!B47="",0,IF(OR($AZ$1=0,Tính!D47=$AZ$1),1,0))</f>
        <v>0</v>
      </c>
      <c r="CC11">
        <f>IF(CB11=1,Tính!M47+1+(45-9)/1000000,-1)</f>
        <v>-1</v>
      </c>
      <c r="CD11" t="str">
        <f>IF(LARGE($CC$3:$CC$47,9)&lt;0,"",MATCH(LARGE($CC$3:$CC$47,9),$CC$3:$CC$47,0))</f>
        <v/>
      </c>
    </row>
    <row r="12" spans="1:82" x14ac:dyDescent="0.3">
      <c r="A12" s="42" t="str">
        <f>IF($CD$3="","",IF($BK$5="C","NHÓM CHÍNH",IF($BK$5="V","NHÓM VƯỢT TRỘI",IF($BL$5="","",INDEX($BA$3:$BA$22,INDEX(Tính!$C$278:$V$322,$CD$3,$BL$5))))))</f>
        <v/>
      </c>
      <c r="B12" s="43" t="str">
        <f>IF(OR($CD$3="",$BL$5=""),"",INDEX(Tính!$C$86:$V$130,$CD$3,INDEX(Tính!$C$278:$V$322,$CD$3,$BL$5)))</f>
        <v/>
      </c>
      <c r="C12" s="43" t="str">
        <f>IF(OR($CD$3="",$BL$5=""),"",INDEX(Tính!$C$134:$V$178,$CD$3,INDEX(Tính!$C$278:$V$322,$CD$3,$BL$5)))</f>
        <v/>
      </c>
      <c r="D12" s="44" t="str">
        <f>IF($CD$3="","",IF($BK$5="C",INDEX(Tính!$Q$39:$Q$83,$CD$3)&amp;"/"&amp;$BK$1,IF($BK$5="V",INDEX(Tính!$R$39:$R$83,$CD$3)&amp;"/"&amp;$BL$1,IF($BL$5="","",INDEX(Tính!$C$182:$V$226,$CD$3,INDEX(Tính!$C$278:$V$322,$CD$3,$BL$5))))))</f>
        <v/>
      </c>
      <c r="F12" s="42" t="str">
        <f>IF($CD$4="","",IF($BK$5="C","NHÓM CHÍNH",IF($BK$5="V","NHÓM VƯỢT TRỘI",IF($BL$5="","",INDEX($BA$3:$BA$22,INDEX(Tính!$C$278:$V$322,$CD$4,$BL$5))))))</f>
        <v/>
      </c>
      <c r="G12" s="43" t="str">
        <f>IF(OR($CD$4="",$BL$5=""),"",INDEX(Tính!$C$86:$V$130,$CD$4,INDEX(Tính!$C$278:$V$322,$CD$4,$BL$5)))</f>
        <v/>
      </c>
      <c r="H12" s="43" t="str">
        <f>IF(OR($CD$4="",$BL$5=""),"",INDEX(Tính!$C$134:$V$178,$CD$4,INDEX(Tính!$C$278:$V$322,$CD$4,$BL$5)))</f>
        <v/>
      </c>
      <c r="I12" s="44" t="str">
        <f>IF($CD$4="","",IF($BK$5="C",INDEX(Tính!$Q$39:$Q$83,$CD$4)&amp;"/"&amp;$BK$1,IF($BK$5="V",INDEX(Tính!$R$39:$R$83,$CD$4)&amp;"/"&amp;$BL$1,IF($BL$5="","",INDEX(Tính!$C$182:$V$226,$CD$4,INDEX(Tính!$C$278:$V$322,$CD$4,$BL$5))))))</f>
        <v/>
      </c>
      <c r="K12" s="42" t="str">
        <f>IF($CD$5="","",IF($BK$5="C","NHÓM CHÍNH",IF($BK$5="V","NHÓM VƯỢT TRỘI",IF($BL$5="","",INDEX($BA$3:$BA$22,INDEX(Tính!$C$278:$V$322,$CD$5,$BL$5))))))</f>
        <v/>
      </c>
      <c r="L12" s="43" t="str">
        <f>IF(OR($CD$5="",$BL$5=""),"",INDEX(Tính!$C$86:$V$130,$CD$5,INDEX(Tính!$C$278:$V$322,$CD$5,$BL$5)))</f>
        <v/>
      </c>
      <c r="M12" s="43" t="str">
        <f>IF(OR($CD$5="",$BL$5=""),"",INDEX(Tính!$C$134:$V$178,$CD$5,INDEX(Tính!$C$278:$V$322,$CD$5,$BL$5)))</f>
        <v/>
      </c>
      <c r="N12" s="44" t="str">
        <f>IF($CD$5="","",IF($BK$5="C",INDEX(Tính!$Q$39:$Q$83,$CD$5)&amp;"/"&amp;$BK$1,IF($BK$5="V",INDEX(Tính!$R$39:$R$83,$CD$5)&amp;"/"&amp;$BL$1,IF($BL$5="","",INDEX(Tính!$C$182:$V$226,$CD$5,INDEX(Tính!$C$278:$V$322,$CD$5,$BL$5))))))</f>
        <v/>
      </c>
      <c r="P12" s="42" t="str">
        <f>IF($CD$6="","",IF($BK$5="C","NHÓM CHÍNH",IF($BK$5="V","NHÓM VƯỢT TRỘI",IF($BL$5="","",INDEX($BA$3:$BA$22,INDEX(Tính!$C$278:$V$322,$CD$6,$BL$5))))))</f>
        <v/>
      </c>
      <c r="Q12" s="43" t="str">
        <f>IF(OR($CD$6="",$BL$5=""),"",INDEX(Tính!$C$86:$V$130,$CD$6,INDEX(Tính!$C$278:$V$322,$CD$6,$BL$5)))</f>
        <v/>
      </c>
      <c r="R12" s="43" t="str">
        <f>IF(OR($CD$6="",$BL$5=""),"",INDEX(Tính!$C$134:$V$178,$CD$6,INDEX(Tính!$C$278:$V$322,$CD$6,$BL$5)))</f>
        <v/>
      </c>
      <c r="S12" s="44" t="str">
        <f>IF($CD$6="","",IF($BK$5="C",INDEX(Tính!$Q$39:$Q$83,$CD$6)&amp;"/"&amp;$BK$1,IF($BK$5="V",INDEX(Tính!$R$39:$R$83,$CD$6)&amp;"/"&amp;$BL$1,IF($BL$5="","",INDEX(Tính!$C$182:$V$226,$CD$6,INDEX(Tính!$C$278:$V$322,$CD$6,$BL$5))))))</f>
        <v/>
      </c>
      <c r="BA12" t="str">
        <f>Tính!B12</f>
        <v/>
      </c>
      <c r="BB12" t="str">
        <f>Tính!D12</f>
        <v/>
      </c>
      <c r="BC12">
        <f>IF($AZ$1=0,Tính!$Z$12,CHOOSE($AZ$1,Tính!$G$12,Tính!$L$12,Tính!$Q$12,Tính!$V$12))</f>
        <v>0</v>
      </c>
      <c r="BD12">
        <f>IF($AZ$1=0,Tính!$Y$12,CHOOSE($AZ$1,Tính!$E$12,Tính!$J$12,Tính!$O$12,Tính!$T$12))</f>
        <v>0</v>
      </c>
      <c r="BE12">
        <f>IF($AZ$1=0,Tính!$AB$12,CHOOSE($AZ$1,Tính!$I$12,Tính!$N$12,Tính!$S$12,Tính!$X$12))</f>
        <v>0</v>
      </c>
      <c r="BF12">
        <f>IF($AZ$1=0,Tính!$AA$12,CHOOSE($AZ$1,Tính!$H$12,Tính!$M$12,Tính!$R$12,Tính!$W$12))</f>
        <v>0</v>
      </c>
      <c r="BG12">
        <f t="shared" si="0"/>
        <v>0</v>
      </c>
      <c r="BH12">
        <f t="shared" si="1"/>
        <v>0</v>
      </c>
      <c r="BI12">
        <f>IF(BA12="",-1,IF(BB12="Chính",1000,0)+BG12+(20-10)/100000)</f>
        <v>-1</v>
      </c>
      <c r="BJ12" t="str">
        <f>IF(LARGE($BI$3:$BI$22,10)&lt;0,"",MATCH(LARGE($BI$3:$BI$22,10),$BI$3:$BI$22,0))</f>
        <v/>
      </c>
      <c r="BK12" t="str">
        <f>IF(10=1,IF($BK$1&gt;0,"C",""),IF(10&lt;=$BK$1+1,"g",IF(10=$BK$1+2,IF($BL$1&gt;0,"V",""),IF(10&lt;=$BK$1+2+$BL$1,"g",""))))</f>
        <v/>
      </c>
      <c r="BL12" t="str">
        <f>IF(BK12="g",IF(10&lt;=$BK$1+1,10-1,10-2),"")</f>
        <v/>
      </c>
      <c r="CA12">
        <v>10</v>
      </c>
      <c r="CB12">
        <f>IF(Tính!B48="",0,IF(OR($AZ$1=0,Tính!D48=$AZ$1),1,0))</f>
        <v>0</v>
      </c>
      <c r="CC12">
        <f>IF(CB12=1,Tính!M48+1+(45-10)/1000000,-1)</f>
        <v>-1</v>
      </c>
      <c r="CD12" t="str">
        <f>IF(LARGE($CC$3:$CC$47,10)&lt;0,"",MATCH(LARGE($CC$3:$CC$47,10),$CC$3:$CC$47,0))</f>
        <v/>
      </c>
    </row>
    <row r="13" spans="1:82" x14ac:dyDescent="0.3">
      <c r="A13" s="42" t="str">
        <f>IF($CD$3="","",IF($BK$6="C","NHÓM CHÍNH",IF($BK$6="V","NHÓM VƯỢT TRỘI",IF($BL$6="","",INDEX($BA$3:$BA$22,INDEX(Tính!$C$278:$V$322,$CD$3,$BL$6))))))</f>
        <v/>
      </c>
      <c r="B13" s="43" t="str">
        <f>IF(OR($CD$3="",$BL$6=""),"",INDEX(Tính!$C$86:$V$130,$CD$3,INDEX(Tính!$C$278:$V$322,$CD$3,$BL$6)))</f>
        <v/>
      </c>
      <c r="C13" s="43" t="str">
        <f>IF(OR($CD$3="",$BL$6=""),"",INDEX(Tính!$C$134:$V$178,$CD$3,INDEX(Tính!$C$278:$V$322,$CD$3,$BL$6)))</f>
        <v/>
      </c>
      <c r="D13" s="44" t="str">
        <f>IF($CD$3="","",IF($BK$6="C",INDEX(Tính!$Q$39:$Q$83,$CD$3)&amp;"/"&amp;$BK$1,IF($BK$6="V",INDEX(Tính!$R$39:$R$83,$CD$3)&amp;"/"&amp;$BL$1,IF($BL$6="","",INDEX(Tính!$C$182:$V$226,$CD$3,INDEX(Tính!$C$278:$V$322,$CD$3,$BL$6))))))</f>
        <v/>
      </c>
      <c r="F13" s="42" t="str">
        <f>IF($CD$4="","",IF($BK$6="C","NHÓM CHÍNH",IF($BK$6="V","NHÓM VƯỢT TRỘI",IF($BL$6="","",INDEX($BA$3:$BA$22,INDEX(Tính!$C$278:$V$322,$CD$4,$BL$6))))))</f>
        <v/>
      </c>
      <c r="G13" s="43" t="str">
        <f>IF(OR($CD$4="",$BL$6=""),"",INDEX(Tính!$C$86:$V$130,$CD$4,INDEX(Tính!$C$278:$V$322,$CD$4,$BL$6)))</f>
        <v/>
      </c>
      <c r="H13" s="43" t="str">
        <f>IF(OR($CD$4="",$BL$6=""),"",INDEX(Tính!$C$134:$V$178,$CD$4,INDEX(Tính!$C$278:$V$322,$CD$4,$BL$6)))</f>
        <v/>
      </c>
      <c r="I13" s="44" t="str">
        <f>IF($CD$4="","",IF($BK$6="C",INDEX(Tính!$Q$39:$Q$83,$CD$4)&amp;"/"&amp;$BK$1,IF($BK$6="V",INDEX(Tính!$R$39:$R$83,$CD$4)&amp;"/"&amp;$BL$1,IF($BL$6="","",INDEX(Tính!$C$182:$V$226,$CD$4,INDEX(Tính!$C$278:$V$322,$CD$4,$BL$6))))))</f>
        <v/>
      </c>
      <c r="K13" s="42" t="str">
        <f>IF($CD$5="","",IF($BK$6="C","NHÓM CHÍNH",IF($BK$6="V","NHÓM VƯỢT TRỘI",IF($BL$6="","",INDEX($BA$3:$BA$22,INDEX(Tính!$C$278:$V$322,$CD$5,$BL$6))))))</f>
        <v/>
      </c>
      <c r="L13" s="43" t="str">
        <f>IF(OR($CD$5="",$BL$6=""),"",INDEX(Tính!$C$86:$V$130,$CD$5,INDEX(Tính!$C$278:$V$322,$CD$5,$BL$6)))</f>
        <v/>
      </c>
      <c r="M13" s="43" t="str">
        <f>IF(OR($CD$5="",$BL$6=""),"",INDEX(Tính!$C$134:$V$178,$CD$5,INDEX(Tính!$C$278:$V$322,$CD$5,$BL$6)))</f>
        <v/>
      </c>
      <c r="N13" s="44" t="str">
        <f>IF($CD$5="","",IF($BK$6="C",INDEX(Tính!$Q$39:$Q$83,$CD$5)&amp;"/"&amp;$BK$1,IF($BK$6="V",INDEX(Tính!$R$39:$R$83,$CD$5)&amp;"/"&amp;$BL$1,IF($BL$6="","",INDEX(Tính!$C$182:$V$226,$CD$5,INDEX(Tính!$C$278:$V$322,$CD$5,$BL$6))))))</f>
        <v/>
      </c>
      <c r="P13" s="42" t="str">
        <f>IF($CD$6="","",IF($BK$6="C","NHÓM CHÍNH",IF($BK$6="V","NHÓM VƯỢT TRỘI",IF($BL$6="","",INDEX($BA$3:$BA$22,INDEX(Tính!$C$278:$V$322,$CD$6,$BL$6))))))</f>
        <v/>
      </c>
      <c r="Q13" s="43" t="str">
        <f>IF(OR($CD$6="",$BL$6=""),"",INDEX(Tính!$C$86:$V$130,$CD$6,INDEX(Tính!$C$278:$V$322,$CD$6,$BL$6)))</f>
        <v/>
      </c>
      <c r="R13" s="43" t="str">
        <f>IF(OR($CD$6="",$BL$6=""),"",INDEX(Tính!$C$134:$V$178,$CD$6,INDEX(Tính!$C$278:$V$322,$CD$6,$BL$6)))</f>
        <v/>
      </c>
      <c r="S13" s="44" t="str">
        <f>IF($CD$6="","",IF($BK$6="C",INDEX(Tính!$Q$39:$Q$83,$CD$6)&amp;"/"&amp;$BK$1,IF($BK$6="V",INDEX(Tính!$R$39:$R$83,$CD$6)&amp;"/"&amp;$BL$1,IF($BL$6="","",INDEX(Tính!$C$182:$V$226,$CD$6,INDEX(Tính!$C$278:$V$322,$CD$6,$BL$6))))))</f>
        <v/>
      </c>
      <c r="BA13" t="str">
        <f>Tính!B13</f>
        <v/>
      </c>
      <c r="BB13" t="str">
        <f>Tính!D13</f>
        <v/>
      </c>
      <c r="BC13">
        <f>IF($AZ$1=0,Tính!$Z$13,CHOOSE($AZ$1,Tính!$G$13,Tính!$L$13,Tính!$Q$13,Tính!$V$13))</f>
        <v>0</v>
      </c>
      <c r="BD13">
        <f>IF($AZ$1=0,Tính!$Y$13,CHOOSE($AZ$1,Tính!$E$13,Tính!$J$13,Tính!$O$13,Tính!$T$13))</f>
        <v>0</v>
      </c>
      <c r="BE13">
        <f>IF($AZ$1=0,Tính!$AB$13,CHOOSE($AZ$1,Tính!$I$13,Tính!$N$13,Tính!$S$13,Tính!$X$13))</f>
        <v>0</v>
      </c>
      <c r="BF13">
        <f>IF($AZ$1=0,Tính!$AA$13,CHOOSE($AZ$1,Tính!$H$13,Tính!$M$13,Tính!$R$13,Tính!$W$13))</f>
        <v>0</v>
      </c>
      <c r="BG13">
        <f t="shared" si="0"/>
        <v>0</v>
      </c>
      <c r="BH13">
        <f t="shared" si="1"/>
        <v>0</v>
      </c>
      <c r="BI13">
        <f>IF(BA13="",-1,IF(BB13="Chính",1000,0)+BG13+(20-11)/100000)</f>
        <v>-1</v>
      </c>
      <c r="BJ13" t="str">
        <f>IF(LARGE($BI$3:$BI$22,11)&lt;0,"",MATCH(LARGE($BI$3:$BI$22,11),$BI$3:$BI$22,0))</f>
        <v/>
      </c>
      <c r="BK13" t="str">
        <f>IF(11=1,IF($BK$1&gt;0,"C",""),IF(11&lt;=$BK$1+1,"g",IF(11=$BK$1+2,IF($BL$1&gt;0,"V",""),IF(11&lt;=$BK$1+2+$BL$1,"g",""))))</f>
        <v/>
      </c>
      <c r="BL13" t="str">
        <f>IF(BK13="g",IF(11&lt;=$BK$1+1,11-1,11-2),"")</f>
        <v/>
      </c>
      <c r="CA13">
        <v>11</v>
      </c>
      <c r="CB13">
        <f>IF(Tính!B49="",0,IF(OR($AZ$1=0,Tính!D49=$AZ$1),1,0))</f>
        <v>0</v>
      </c>
      <c r="CC13">
        <f>IF(CB13=1,Tính!M49+1+(45-11)/1000000,-1)</f>
        <v>-1</v>
      </c>
      <c r="CD13" t="str">
        <f>IF(LARGE($CC$3:$CC$47,11)&lt;0,"",MATCH(LARGE($CC$3:$CC$47,11),$CC$3:$CC$47,0))</f>
        <v/>
      </c>
    </row>
    <row r="14" spans="1:82" x14ac:dyDescent="0.3">
      <c r="A14" s="42" t="str">
        <f>IF($CD$3="","",IF($BK$7="C","NHÓM CHÍNH",IF($BK$7="V","NHÓM VƯỢT TRỘI",IF($BL$7="","",INDEX($BA$3:$BA$22,INDEX(Tính!$C$278:$V$322,$CD$3,$BL$7))))))</f>
        <v/>
      </c>
      <c r="B14" s="43" t="str">
        <f>IF(OR($CD$3="",$BL$7=""),"",INDEX(Tính!$C$86:$V$130,$CD$3,INDEX(Tính!$C$278:$V$322,$CD$3,$BL$7)))</f>
        <v/>
      </c>
      <c r="C14" s="43" t="str">
        <f>IF(OR($CD$3="",$BL$7=""),"",INDEX(Tính!$C$134:$V$178,$CD$3,INDEX(Tính!$C$278:$V$322,$CD$3,$BL$7)))</f>
        <v/>
      </c>
      <c r="D14" s="44" t="str">
        <f>IF($CD$3="","",IF($BK$7="C",INDEX(Tính!$Q$39:$Q$83,$CD$3)&amp;"/"&amp;$BK$1,IF($BK$7="V",INDEX(Tính!$R$39:$R$83,$CD$3)&amp;"/"&amp;$BL$1,IF($BL$7="","",INDEX(Tính!$C$182:$V$226,$CD$3,INDEX(Tính!$C$278:$V$322,$CD$3,$BL$7))))))</f>
        <v/>
      </c>
      <c r="F14" s="42" t="str">
        <f>IF($CD$4="","",IF($BK$7="C","NHÓM CHÍNH",IF($BK$7="V","NHÓM VƯỢT TRỘI",IF($BL$7="","",INDEX($BA$3:$BA$22,INDEX(Tính!$C$278:$V$322,$CD$4,$BL$7))))))</f>
        <v/>
      </c>
      <c r="G14" s="43" t="str">
        <f>IF(OR($CD$4="",$BL$7=""),"",INDEX(Tính!$C$86:$V$130,$CD$4,INDEX(Tính!$C$278:$V$322,$CD$4,$BL$7)))</f>
        <v/>
      </c>
      <c r="H14" s="43" t="str">
        <f>IF(OR($CD$4="",$BL$7=""),"",INDEX(Tính!$C$134:$V$178,$CD$4,INDEX(Tính!$C$278:$V$322,$CD$4,$BL$7)))</f>
        <v/>
      </c>
      <c r="I14" s="44" t="str">
        <f>IF($CD$4="","",IF($BK$7="C",INDEX(Tính!$Q$39:$Q$83,$CD$4)&amp;"/"&amp;$BK$1,IF($BK$7="V",INDEX(Tính!$R$39:$R$83,$CD$4)&amp;"/"&amp;$BL$1,IF($BL$7="","",INDEX(Tính!$C$182:$V$226,$CD$4,INDEX(Tính!$C$278:$V$322,$CD$4,$BL$7))))))</f>
        <v/>
      </c>
      <c r="K14" s="42" t="str">
        <f>IF($CD$5="","",IF($BK$7="C","NHÓM CHÍNH",IF($BK$7="V","NHÓM VƯỢT TRỘI",IF($BL$7="","",INDEX($BA$3:$BA$22,INDEX(Tính!$C$278:$V$322,$CD$5,$BL$7))))))</f>
        <v/>
      </c>
      <c r="L14" s="43" t="str">
        <f>IF(OR($CD$5="",$BL$7=""),"",INDEX(Tính!$C$86:$V$130,$CD$5,INDEX(Tính!$C$278:$V$322,$CD$5,$BL$7)))</f>
        <v/>
      </c>
      <c r="M14" s="43" t="str">
        <f>IF(OR($CD$5="",$BL$7=""),"",INDEX(Tính!$C$134:$V$178,$CD$5,INDEX(Tính!$C$278:$V$322,$CD$5,$BL$7)))</f>
        <v/>
      </c>
      <c r="N14" s="44" t="str">
        <f>IF($CD$5="","",IF($BK$7="C",INDEX(Tính!$Q$39:$Q$83,$CD$5)&amp;"/"&amp;$BK$1,IF($BK$7="V",INDEX(Tính!$R$39:$R$83,$CD$5)&amp;"/"&amp;$BL$1,IF($BL$7="","",INDEX(Tính!$C$182:$V$226,$CD$5,INDEX(Tính!$C$278:$V$322,$CD$5,$BL$7))))))</f>
        <v/>
      </c>
      <c r="P14" s="42" t="str">
        <f>IF($CD$6="","",IF($BK$7="C","NHÓM CHÍNH",IF($BK$7="V","NHÓM VƯỢT TRỘI",IF($BL$7="","",INDEX($BA$3:$BA$22,INDEX(Tính!$C$278:$V$322,$CD$6,$BL$7))))))</f>
        <v/>
      </c>
      <c r="Q14" s="43" t="str">
        <f>IF(OR($CD$6="",$BL$7=""),"",INDEX(Tính!$C$86:$V$130,$CD$6,INDEX(Tính!$C$278:$V$322,$CD$6,$BL$7)))</f>
        <v/>
      </c>
      <c r="R14" s="43" t="str">
        <f>IF(OR($CD$6="",$BL$7=""),"",INDEX(Tính!$C$134:$V$178,$CD$6,INDEX(Tính!$C$278:$V$322,$CD$6,$BL$7)))</f>
        <v/>
      </c>
      <c r="S14" s="44" t="str">
        <f>IF($CD$6="","",IF($BK$7="C",INDEX(Tính!$Q$39:$Q$83,$CD$6)&amp;"/"&amp;$BK$1,IF($BK$7="V",INDEX(Tính!$R$39:$R$83,$CD$6)&amp;"/"&amp;$BL$1,IF($BL$7="","",INDEX(Tính!$C$182:$V$226,$CD$6,INDEX(Tính!$C$278:$V$322,$CD$6,$BL$7))))))</f>
        <v/>
      </c>
      <c r="BA14" t="str">
        <f>Tính!B14</f>
        <v/>
      </c>
      <c r="BB14" t="str">
        <f>Tính!D14</f>
        <v/>
      </c>
      <c r="BC14">
        <f>IF($AZ$1=0,Tính!$Z$14,CHOOSE($AZ$1,Tính!$G$14,Tính!$L$14,Tính!$Q$14,Tính!$V$14))</f>
        <v>0</v>
      </c>
      <c r="BD14">
        <f>IF($AZ$1=0,Tính!$Y$14,CHOOSE($AZ$1,Tính!$E$14,Tính!$J$14,Tính!$O$14,Tính!$T$14))</f>
        <v>0</v>
      </c>
      <c r="BE14">
        <f>IF($AZ$1=0,Tính!$AB$14,CHOOSE($AZ$1,Tính!$I$14,Tính!$N$14,Tính!$S$14,Tính!$X$14))</f>
        <v>0</v>
      </c>
      <c r="BF14">
        <f>IF($AZ$1=0,Tính!$AA$14,CHOOSE($AZ$1,Tính!$H$14,Tính!$M$14,Tính!$R$14,Tính!$W$14))</f>
        <v>0</v>
      </c>
      <c r="BG14">
        <f t="shared" si="0"/>
        <v>0</v>
      </c>
      <c r="BH14">
        <f t="shared" si="1"/>
        <v>0</v>
      </c>
      <c r="BI14">
        <f>IF(BA14="",-1,IF(BB14="Chính",1000,0)+BG14+(20-12)/100000)</f>
        <v>-1</v>
      </c>
      <c r="BJ14" t="str">
        <f>IF(LARGE($BI$3:$BI$22,12)&lt;0,"",MATCH(LARGE($BI$3:$BI$22,12),$BI$3:$BI$22,0))</f>
        <v/>
      </c>
      <c r="BK14" t="str">
        <f>IF(12=1,IF($BK$1&gt;0,"C",""),IF(12&lt;=$BK$1+1,"g",IF(12=$BK$1+2,IF($BL$1&gt;0,"V",""),IF(12&lt;=$BK$1+2+$BL$1,"g",""))))</f>
        <v/>
      </c>
      <c r="BL14" t="str">
        <f>IF(BK14="g",IF(12&lt;=$BK$1+1,12-1,12-2),"")</f>
        <v/>
      </c>
      <c r="CA14">
        <v>12</v>
      </c>
      <c r="CB14">
        <f>IF(Tính!B50="",0,IF(OR($AZ$1=0,Tính!D50=$AZ$1),1,0))</f>
        <v>0</v>
      </c>
      <c r="CC14">
        <f>IF(CB14=1,Tính!M50+1+(45-12)/1000000,-1)</f>
        <v>-1</v>
      </c>
      <c r="CD14" t="str">
        <f>IF(LARGE($CC$3:$CC$47,12)&lt;0,"",MATCH(LARGE($CC$3:$CC$47,12),$CC$3:$CC$47,0))</f>
        <v/>
      </c>
    </row>
    <row r="15" spans="1:82" x14ac:dyDescent="0.3">
      <c r="A15" s="42" t="str">
        <f>IF($CD$3="","",IF($BK$8="C","NHÓM CHÍNH",IF($BK$8="V","NHÓM VƯỢT TRỘI",IF($BL$8="","",INDEX($BA$3:$BA$22,INDEX(Tính!$C$278:$V$322,$CD$3,$BL$8))))))</f>
        <v/>
      </c>
      <c r="B15" s="43" t="str">
        <f>IF(OR($CD$3="",$BL$8=""),"",INDEX(Tính!$C$86:$V$130,$CD$3,INDEX(Tính!$C$278:$V$322,$CD$3,$BL$8)))</f>
        <v/>
      </c>
      <c r="C15" s="43" t="str">
        <f>IF(OR($CD$3="",$BL$8=""),"",INDEX(Tính!$C$134:$V$178,$CD$3,INDEX(Tính!$C$278:$V$322,$CD$3,$BL$8)))</f>
        <v/>
      </c>
      <c r="D15" s="44" t="str">
        <f>IF($CD$3="","",IF($BK$8="C",INDEX(Tính!$Q$39:$Q$83,$CD$3)&amp;"/"&amp;$BK$1,IF($BK$8="V",INDEX(Tính!$R$39:$R$83,$CD$3)&amp;"/"&amp;$BL$1,IF($BL$8="","",INDEX(Tính!$C$182:$V$226,$CD$3,INDEX(Tính!$C$278:$V$322,$CD$3,$BL$8))))))</f>
        <v/>
      </c>
      <c r="F15" s="42" t="str">
        <f>IF($CD$4="","",IF($BK$8="C","NHÓM CHÍNH",IF($BK$8="V","NHÓM VƯỢT TRỘI",IF($BL$8="","",INDEX($BA$3:$BA$22,INDEX(Tính!$C$278:$V$322,$CD$4,$BL$8))))))</f>
        <v/>
      </c>
      <c r="G15" s="43" t="str">
        <f>IF(OR($CD$4="",$BL$8=""),"",INDEX(Tính!$C$86:$V$130,$CD$4,INDEX(Tính!$C$278:$V$322,$CD$4,$BL$8)))</f>
        <v/>
      </c>
      <c r="H15" s="43" t="str">
        <f>IF(OR($CD$4="",$BL$8=""),"",INDEX(Tính!$C$134:$V$178,$CD$4,INDEX(Tính!$C$278:$V$322,$CD$4,$BL$8)))</f>
        <v/>
      </c>
      <c r="I15" s="44" t="str">
        <f>IF($CD$4="","",IF($BK$8="C",INDEX(Tính!$Q$39:$Q$83,$CD$4)&amp;"/"&amp;$BK$1,IF($BK$8="V",INDEX(Tính!$R$39:$R$83,$CD$4)&amp;"/"&amp;$BL$1,IF($BL$8="","",INDEX(Tính!$C$182:$V$226,$CD$4,INDEX(Tính!$C$278:$V$322,$CD$4,$BL$8))))))</f>
        <v/>
      </c>
      <c r="K15" s="42" t="str">
        <f>IF($CD$5="","",IF($BK$8="C","NHÓM CHÍNH",IF($BK$8="V","NHÓM VƯỢT TRỘI",IF($BL$8="","",INDEX($BA$3:$BA$22,INDEX(Tính!$C$278:$V$322,$CD$5,$BL$8))))))</f>
        <v/>
      </c>
      <c r="L15" s="43" t="str">
        <f>IF(OR($CD$5="",$BL$8=""),"",INDEX(Tính!$C$86:$V$130,$CD$5,INDEX(Tính!$C$278:$V$322,$CD$5,$BL$8)))</f>
        <v/>
      </c>
      <c r="M15" s="43" t="str">
        <f>IF(OR($CD$5="",$BL$8=""),"",INDEX(Tính!$C$134:$V$178,$CD$5,INDEX(Tính!$C$278:$V$322,$CD$5,$BL$8)))</f>
        <v/>
      </c>
      <c r="N15" s="44" t="str">
        <f>IF($CD$5="","",IF($BK$8="C",INDEX(Tính!$Q$39:$Q$83,$CD$5)&amp;"/"&amp;$BK$1,IF($BK$8="V",INDEX(Tính!$R$39:$R$83,$CD$5)&amp;"/"&amp;$BL$1,IF($BL$8="","",INDEX(Tính!$C$182:$V$226,$CD$5,INDEX(Tính!$C$278:$V$322,$CD$5,$BL$8))))))</f>
        <v/>
      </c>
      <c r="P15" s="42" t="str">
        <f>IF($CD$6="","",IF($BK$8="C","NHÓM CHÍNH",IF($BK$8="V","NHÓM VƯỢT TRỘI",IF($BL$8="","",INDEX($BA$3:$BA$22,INDEX(Tính!$C$278:$V$322,$CD$6,$BL$8))))))</f>
        <v/>
      </c>
      <c r="Q15" s="43" t="str">
        <f>IF(OR($CD$6="",$BL$8=""),"",INDEX(Tính!$C$86:$V$130,$CD$6,INDEX(Tính!$C$278:$V$322,$CD$6,$BL$8)))</f>
        <v/>
      </c>
      <c r="R15" s="43" t="str">
        <f>IF(OR($CD$6="",$BL$8=""),"",INDEX(Tính!$C$134:$V$178,$CD$6,INDEX(Tính!$C$278:$V$322,$CD$6,$BL$8)))</f>
        <v/>
      </c>
      <c r="S15" s="44" t="str">
        <f>IF($CD$6="","",IF($BK$8="C",INDEX(Tính!$Q$39:$Q$83,$CD$6)&amp;"/"&amp;$BK$1,IF($BK$8="V",INDEX(Tính!$R$39:$R$83,$CD$6)&amp;"/"&amp;$BL$1,IF($BL$8="","",INDEX(Tính!$C$182:$V$226,$CD$6,INDEX(Tính!$C$278:$V$322,$CD$6,$BL$8))))))</f>
        <v/>
      </c>
      <c r="BA15" t="str">
        <f>Tính!B15</f>
        <v/>
      </c>
      <c r="BB15" t="str">
        <f>Tính!D15</f>
        <v/>
      </c>
      <c r="BC15">
        <f>IF($AZ$1=0,Tính!$Z$15,CHOOSE($AZ$1,Tính!$G$15,Tính!$L$15,Tính!$Q$15,Tính!$V$15))</f>
        <v>0</v>
      </c>
      <c r="BD15">
        <f>IF($AZ$1=0,Tính!$Y$15,CHOOSE($AZ$1,Tính!$E$15,Tính!$J$15,Tính!$O$15,Tính!$T$15))</f>
        <v>0</v>
      </c>
      <c r="BE15">
        <f>IF($AZ$1=0,Tính!$AB$15,CHOOSE($AZ$1,Tính!$I$15,Tính!$N$15,Tính!$S$15,Tính!$X$15))</f>
        <v>0</v>
      </c>
      <c r="BF15">
        <f>IF($AZ$1=0,Tính!$AA$15,CHOOSE($AZ$1,Tính!$H$15,Tính!$M$15,Tính!$R$15,Tính!$W$15))</f>
        <v>0</v>
      </c>
      <c r="BG15">
        <f t="shared" si="0"/>
        <v>0</v>
      </c>
      <c r="BH15">
        <f t="shared" si="1"/>
        <v>0</v>
      </c>
      <c r="BI15">
        <f>IF(BA15="",-1,IF(BB15="Chính",1000,0)+BG15+(20-13)/100000)</f>
        <v>-1</v>
      </c>
      <c r="BJ15" t="str">
        <f>IF(LARGE($BI$3:$BI$22,13)&lt;0,"",MATCH(LARGE($BI$3:$BI$22,13),$BI$3:$BI$22,0))</f>
        <v/>
      </c>
      <c r="BK15" t="str">
        <f>IF(13=1,IF($BK$1&gt;0,"C",""),IF(13&lt;=$BK$1+1,"g",IF(13=$BK$1+2,IF($BL$1&gt;0,"V",""),IF(13&lt;=$BK$1+2+$BL$1,"g",""))))</f>
        <v/>
      </c>
      <c r="BL15" t="str">
        <f>IF(BK15="g",IF(13&lt;=$BK$1+1,13-1,13-2),"")</f>
        <v/>
      </c>
      <c r="CA15">
        <v>13</v>
      </c>
      <c r="CB15">
        <f>IF(Tính!B51="",0,IF(OR($AZ$1=0,Tính!D51=$AZ$1),1,0))</f>
        <v>0</v>
      </c>
      <c r="CC15">
        <f>IF(CB15=1,Tính!M51+1+(45-13)/1000000,-1)</f>
        <v>-1</v>
      </c>
      <c r="CD15" t="str">
        <f>IF(LARGE($CC$3:$CC$47,13)&lt;0,"",MATCH(LARGE($CC$3:$CC$47,13),$CC$3:$CC$47,0))</f>
        <v/>
      </c>
    </row>
    <row r="16" spans="1:82" x14ac:dyDescent="0.3">
      <c r="A16" s="42" t="str">
        <f>IF($CD$3="","",IF($BK$9="C","NHÓM CHÍNH",IF($BK$9="V","NHÓM VƯỢT TRỘI",IF($BL$9="","",INDEX($BA$3:$BA$22,INDEX(Tính!$C$278:$V$322,$CD$3,$BL$9))))))</f>
        <v/>
      </c>
      <c r="B16" s="43" t="str">
        <f>IF(OR($CD$3="",$BL$9=""),"",INDEX(Tính!$C$86:$V$130,$CD$3,INDEX(Tính!$C$278:$V$322,$CD$3,$BL$9)))</f>
        <v/>
      </c>
      <c r="C16" s="43" t="str">
        <f>IF(OR($CD$3="",$BL$9=""),"",INDEX(Tính!$C$134:$V$178,$CD$3,INDEX(Tính!$C$278:$V$322,$CD$3,$BL$9)))</f>
        <v/>
      </c>
      <c r="D16" s="44" t="str">
        <f>IF($CD$3="","",IF($BK$9="C",INDEX(Tính!$Q$39:$Q$83,$CD$3)&amp;"/"&amp;$BK$1,IF($BK$9="V",INDEX(Tính!$R$39:$R$83,$CD$3)&amp;"/"&amp;$BL$1,IF($BL$9="","",INDEX(Tính!$C$182:$V$226,$CD$3,INDEX(Tính!$C$278:$V$322,$CD$3,$BL$9))))))</f>
        <v/>
      </c>
      <c r="F16" s="42" t="str">
        <f>IF($CD$4="","",IF($BK$9="C","NHÓM CHÍNH",IF($BK$9="V","NHÓM VƯỢT TRỘI",IF($BL$9="","",INDEX($BA$3:$BA$22,INDEX(Tính!$C$278:$V$322,$CD$4,$BL$9))))))</f>
        <v/>
      </c>
      <c r="G16" s="43" t="str">
        <f>IF(OR($CD$4="",$BL$9=""),"",INDEX(Tính!$C$86:$V$130,$CD$4,INDEX(Tính!$C$278:$V$322,$CD$4,$BL$9)))</f>
        <v/>
      </c>
      <c r="H16" s="43" t="str">
        <f>IF(OR($CD$4="",$BL$9=""),"",INDEX(Tính!$C$134:$V$178,$CD$4,INDEX(Tính!$C$278:$V$322,$CD$4,$BL$9)))</f>
        <v/>
      </c>
      <c r="I16" s="44" t="str">
        <f>IF($CD$4="","",IF($BK$9="C",INDEX(Tính!$Q$39:$Q$83,$CD$4)&amp;"/"&amp;$BK$1,IF($BK$9="V",INDEX(Tính!$R$39:$R$83,$CD$4)&amp;"/"&amp;$BL$1,IF($BL$9="","",INDEX(Tính!$C$182:$V$226,$CD$4,INDEX(Tính!$C$278:$V$322,$CD$4,$BL$9))))))</f>
        <v/>
      </c>
      <c r="K16" s="42" t="str">
        <f>IF($CD$5="","",IF($BK$9="C","NHÓM CHÍNH",IF($BK$9="V","NHÓM VƯỢT TRỘI",IF($BL$9="","",INDEX($BA$3:$BA$22,INDEX(Tính!$C$278:$V$322,$CD$5,$BL$9))))))</f>
        <v/>
      </c>
      <c r="L16" s="43" t="str">
        <f>IF(OR($CD$5="",$BL$9=""),"",INDEX(Tính!$C$86:$V$130,$CD$5,INDEX(Tính!$C$278:$V$322,$CD$5,$BL$9)))</f>
        <v/>
      </c>
      <c r="M16" s="43" t="str">
        <f>IF(OR($CD$5="",$BL$9=""),"",INDEX(Tính!$C$134:$V$178,$CD$5,INDEX(Tính!$C$278:$V$322,$CD$5,$BL$9)))</f>
        <v/>
      </c>
      <c r="N16" s="44" t="str">
        <f>IF($CD$5="","",IF($BK$9="C",INDEX(Tính!$Q$39:$Q$83,$CD$5)&amp;"/"&amp;$BK$1,IF($BK$9="V",INDEX(Tính!$R$39:$R$83,$CD$5)&amp;"/"&amp;$BL$1,IF($BL$9="","",INDEX(Tính!$C$182:$V$226,$CD$5,INDEX(Tính!$C$278:$V$322,$CD$5,$BL$9))))))</f>
        <v/>
      </c>
      <c r="P16" s="42" t="str">
        <f>IF($CD$6="","",IF($BK$9="C","NHÓM CHÍNH",IF($BK$9="V","NHÓM VƯỢT TRỘI",IF($BL$9="","",INDEX($BA$3:$BA$22,INDEX(Tính!$C$278:$V$322,$CD$6,$BL$9))))))</f>
        <v/>
      </c>
      <c r="Q16" s="43" t="str">
        <f>IF(OR($CD$6="",$BL$9=""),"",INDEX(Tính!$C$86:$V$130,$CD$6,INDEX(Tính!$C$278:$V$322,$CD$6,$BL$9)))</f>
        <v/>
      </c>
      <c r="R16" s="43" t="str">
        <f>IF(OR($CD$6="",$BL$9=""),"",INDEX(Tính!$C$134:$V$178,$CD$6,INDEX(Tính!$C$278:$V$322,$CD$6,$BL$9)))</f>
        <v/>
      </c>
      <c r="S16" s="44" t="str">
        <f>IF($CD$6="","",IF($BK$9="C",INDEX(Tính!$Q$39:$Q$83,$CD$6)&amp;"/"&amp;$BK$1,IF($BK$9="V",INDEX(Tính!$R$39:$R$83,$CD$6)&amp;"/"&amp;$BL$1,IF($BL$9="","",INDEX(Tính!$C$182:$V$226,$CD$6,INDEX(Tính!$C$278:$V$322,$CD$6,$BL$9))))))</f>
        <v/>
      </c>
      <c r="BA16" t="str">
        <f>Tính!B16</f>
        <v/>
      </c>
      <c r="BB16" t="str">
        <f>Tính!D16</f>
        <v/>
      </c>
      <c r="BC16">
        <f>IF($AZ$1=0,Tính!$Z$16,CHOOSE($AZ$1,Tính!$G$16,Tính!$L$16,Tính!$Q$16,Tính!$V$16))</f>
        <v>0</v>
      </c>
      <c r="BD16">
        <f>IF($AZ$1=0,Tính!$Y$16,CHOOSE($AZ$1,Tính!$E$16,Tính!$J$16,Tính!$O$16,Tính!$T$16))</f>
        <v>0</v>
      </c>
      <c r="BE16">
        <f>IF($AZ$1=0,Tính!$AB$16,CHOOSE($AZ$1,Tính!$I$16,Tính!$N$16,Tính!$S$16,Tính!$X$16))</f>
        <v>0</v>
      </c>
      <c r="BF16">
        <f>IF($AZ$1=0,Tính!$AA$16,CHOOSE($AZ$1,Tính!$H$16,Tính!$M$16,Tính!$R$16,Tính!$W$16))</f>
        <v>0</v>
      </c>
      <c r="BG16">
        <f t="shared" si="0"/>
        <v>0</v>
      </c>
      <c r="BH16">
        <f t="shared" si="1"/>
        <v>0</v>
      </c>
      <c r="BI16">
        <f>IF(BA16="",-1,IF(BB16="Chính",1000,0)+BG16+(20-14)/100000)</f>
        <v>-1</v>
      </c>
      <c r="BJ16" t="str">
        <f>IF(LARGE($BI$3:$BI$22,14)&lt;0,"",MATCH(LARGE($BI$3:$BI$22,14),$BI$3:$BI$22,0))</f>
        <v/>
      </c>
      <c r="BK16" t="str">
        <f>IF(14=1,IF($BK$1&gt;0,"C",""),IF(14&lt;=$BK$1+1,"g",IF(14=$BK$1+2,IF($BL$1&gt;0,"V",""),IF(14&lt;=$BK$1+2+$BL$1,"g",""))))</f>
        <v/>
      </c>
      <c r="BL16" t="str">
        <f>IF(BK16="g",IF(14&lt;=$BK$1+1,14-1,14-2),"")</f>
        <v/>
      </c>
      <c r="CA16">
        <v>14</v>
      </c>
      <c r="CB16">
        <f>IF(Tính!B52="",0,IF(OR($AZ$1=0,Tính!D52=$AZ$1),1,0))</f>
        <v>0</v>
      </c>
      <c r="CC16">
        <f>IF(CB16=1,Tính!M52+1+(45-14)/1000000,-1)</f>
        <v>-1</v>
      </c>
      <c r="CD16" t="str">
        <f>IF(LARGE($CC$3:$CC$47,14)&lt;0,"",MATCH(LARGE($CC$3:$CC$47,14),$CC$3:$CC$47,0))</f>
        <v/>
      </c>
    </row>
    <row r="17" spans="1:82" x14ac:dyDescent="0.3">
      <c r="A17" s="42" t="str">
        <f>IF($CD$3="","",IF($BK$10="C","NHÓM CHÍNH",IF($BK$10="V","NHÓM VƯỢT TRỘI",IF($BL$10="","",INDEX($BA$3:$BA$22,INDEX(Tính!$C$278:$V$322,$CD$3,$BL$10))))))</f>
        <v/>
      </c>
      <c r="B17" s="43" t="str">
        <f>IF(OR($CD$3="",$BL$10=""),"",INDEX(Tính!$C$86:$V$130,$CD$3,INDEX(Tính!$C$278:$V$322,$CD$3,$BL$10)))</f>
        <v/>
      </c>
      <c r="C17" s="43" t="str">
        <f>IF(OR($CD$3="",$BL$10=""),"",INDEX(Tính!$C$134:$V$178,$CD$3,INDEX(Tính!$C$278:$V$322,$CD$3,$BL$10)))</f>
        <v/>
      </c>
      <c r="D17" s="44" t="str">
        <f>IF($CD$3="","",IF($BK$10="C",INDEX(Tính!$Q$39:$Q$83,$CD$3)&amp;"/"&amp;$BK$1,IF($BK$10="V",INDEX(Tính!$R$39:$R$83,$CD$3)&amp;"/"&amp;$BL$1,IF($BL$10="","",INDEX(Tính!$C$182:$V$226,$CD$3,INDEX(Tính!$C$278:$V$322,$CD$3,$BL$10))))))</f>
        <v/>
      </c>
      <c r="F17" s="42" t="str">
        <f>IF($CD$4="","",IF($BK$10="C","NHÓM CHÍNH",IF($BK$10="V","NHÓM VƯỢT TRỘI",IF($BL$10="","",INDEX($BA$3:$BA$22,INDEX(Tính!$C$278:$V$322,$CD$4,$BL$10))))))</f>
        <v/>
      </c>
      <c r="G17" s="43" t="str">
        <f>IF(OR($CD$4="",$BL$10=""),"",INDEX(Tính!$C$86:$V$130,$CD$4,INDEX(Tính!$C$278:$V$322,$CD$4,$BL$10)))</f>
        <v/>
      </c>
      <c r="H17" s="43" t="str">
        <f>IF(OR($CD$4="",$BL$10=""),"",INDEX(Tính!$C$134:$V$178,$CD$4,INDEX(Tính!$C$278:$V$322,$CD$4,$BL$10)))</f>
        <v/>
      </c>
      <c r="I17" s="44" t="str">
        <f>IF($CD$4="","",IF($BK$10="C",INDEX(Tính!$Q$39:$Q$83,$CD$4)&amp;"/"&amp;$BK$1,IF($BK$10="V",INDEX(Tính!$R$39:$R$83,$CD$4)&amp;"/"&amp;$BL$1,IF($BL$10="","",INDEX(Tính!$C$182:$V$226,$CD$4,INDEX(Tính!$C$278:$V$322,$CD$4,$BL$10))))))</f>
        <v/>
      </c>
      <c r="K17" s="42" t="str">
        <f>IF($CD$5="","",IF($BK$10="C","NHÓM CHÍNH",IF($BK$10="V","NHÓM VƯỢT TRỘI",IF($BL$10="","",INDEX($BA$3:$BA$22,INDEX(Tính!$C$278:$V$322,$CD$5,$BL$10))))))</f>
        <v/>
      </c>
      <c r="L17" s="43" t="str">
        <f>IF(OR($CD$5="",$BL$10=""),"",INDEX(Tính!$C$86:$V$130,$CD$5,INDEX(Tính!$C$278:$V$322,$CD$5,$BL$10)))</f>
        <v/>
      </c>
      <c r="M17" s="43" t="str">
        <f>IF(OR($CD$5="",$BL$10=""),"",INDEX(Tính!$C$134:$V$178,$CD$5,INDEX(Tính!$C$278:$V$322,$CD$5,$BL$10)))</f>
        <v/>
      </c>
      <c r="N17" s="44" t="str">
        <f>IF($CD$5="","",IF($BK$10="C",INDEX(Tính!$Q$39:$Q$83,$CD$5)&amp;"/"&amp;$BK$1,IF($BK$10="V",INDEX(Tính!$R$39:$R$83,$CD$5)&amp;"/"&amp;$BL$1,IF($BL$10="","",INDEX(Tính!$C$182:$V$226,$CD$5,INDEX(Tính!$C$278:$V$322,$CD$5,$BL$10))))))</f>
        <v/>
      </c>
      <c r="P17" s="42" t="str">
        <f>IF($CD$6="","",IF($BK$10="C","NHÓM CHÍNH",IF($BK$10="V","NHÓM VƯỢT TRỘI",IF($BL$10="","",INDEX($BA$3:$BA$22,INDEX(Tính!$C$278:$V$322,$CD$6,$BL$10))))))</f>
        <v/>
      </c>
      <c r="Q17" s="43" t="str">
        <f>IF(OR($CD$6="",$BL$10=""),"",INDEX(Tính!$C$86:$V$130,$CD$6,INDEX(Tính!$C$278:$V$322,$CD$6,$BL$10)))</f>
        <v/>
      </c>
      <c r="R17" s="43" t="str">
        <f>IF(OR($CD$6="",$BL$10=""),"",INDEX(Tính!$C$134:$V$178,$CD$6,INDEX(Tính!$C$278:$V$322,$CD$6,$BL$10)))</f>
        <v/>
      </c>
      <c r="S17" s="44" t="str">
        <f>IF($CD$6="","",IF($BK$10="C",INDEX(Tính!$Q$39:$Q$83,$CD$6)&amp;"/"&amp;$BK$1,IF($BK$10="V",INDEX(Tính!$R$39:$R$83,$CD$6)&amp;"/"&amp;$BL$1,IF($BL$10="","",INDEX(Tính!$C$182:$V$226,$CD$6,INDEX(Tính!$C$278:$V$322,$CD$6,$BL$10))))))</f>
        <v/>
      </c>
      <c r="BA17" t="str">
        <f>Tính!B17</f>
        <v/>
      </c>
      <c r="BB17" t="str">
        <f>Tính!D17</f>
        <v/>
      </c>
      <c r="BC17">
        <f>IF($AZ$1=0,Tính!$Z$17,CHOOSE($AZ$1,Tính!$G$17,Tính!$L$17,Tính!$Q$17,Tính!$V$17))</f>
        <v>0</v>
      </c>
      <c r="BD17">
        <f>IF($AZ$1=0,Tính!$Y$17,CHOOSE($AZ$1,Tính!$E$17,Tính!$J$17,Tính!$O$17,Tính!$T$17))</f>
        <v>0</v>
      </c>
      <c r="BE17">
        <f>IF($AZ$1=0,Tính!$AB$17,CHOOSE($AZ$1,Tính!$I$17,Tính!$N$17,Tính!$S$17,Tính!$X$17))</f>
        <v>0</v>
      </c>
      <c r="BF17">
        <f>IF($AZ$1=0,Tính!$AA$17,CHOOSE($AZ$1,Tính!$H$17,Tính!$M$17,Tính!$R$17,Tính!$W$17))</f>
        <v>0</v>
      </c>
      <c r="BG17">
        <f t="shared" si="0"/>
        <v>0</v>
      </c>
      <c r="BH17">
        <f t="shared" si="1"/>
        <v>0</v>
      </c>
      <c r="BI17">
        <f>IF(BA17="",-1,IF(BB17="Chính",1000,0)+BG17+(20-15)/100000)</f>
        <v>-1</v>
      </c>
      <c r="BJ17" t="str">
        <f>IF(LARGE($BI$3:$BI$22,15)&lt;0,"",MATCH(LARGE($BI$3:$BI$22,15),$BI$3:$BI$22,0))</f>
        <v/>
      </c>
      <c r="BK17" t="str">
        <f>IF(15=1,IF($BK$1&gt;0,"C",""),IF(15&lt;=$BK$1+1,"g",IF(15=$BK$1+2,IF($BL$1&gt;0,"V",""),IF(15&lt;=$BK$1+2+$BL$1,"g",""))))</f>
        <v/>
      </c>
      <c r="BL17" t="str">
        <f>IF(BK17="g",IF(15&lt;=$BK$1+1,15-1,15-2),"")</f>
        <v/>
      </c>
      <c r="CA17">
        <v>15</v>
      </c>
      <c r="CB17">
        <f>IF(Tính!B53="",0,IF(OR($AZ$1=0,Tính!D53=$AZ$1),1,0))</f>
        <v>0</v>
      </c>
      <c r="CC17">
        <f>IF(CB17=1,Tính!M53+1+(45-15)/1000000,-1)</f>
        <v>-1</v>
      </c>
      <c r="CD17" t="str">
        <f>IF(LARGE($CC$3:$CC$47,15)&lt;0,"",MATCH(LARGE($CC$3:$CC$47,15),$CC$3:$CC$47,0))</f>
        <v/>
      </c>
    </row>
    <row r="18" spans="1:82" x14ac:dyDescent="0.3">
      <c r="A18" s="42" t="str">
        <f>IF($CD$3="","",IF($BK$11="C","NHÓM CHÍNH",IF($BK$11="V","NHÓM VƯỢT TRỘI",IF($BL$11="","",INDEX($BA$3:$BA$22,INDEX(Tính!$C$278:$V$322,$CD$3,$BL$11))))))</f>
        <v/>
      </c>
      <c r="B18" s="43" t="str">
        <f>IF(OR($CD$3="",$BL$11=""),"",INDEX(Tính!$C$86:$V$130,$CD$3,INDEX(Tính!$C$278:$V$322,$CD$3,$BL$11)))</f>
        <v/>
      </c>
      <c r="C18" s="43" t="str">
        <f>IF(OR($CD$3="",$BL$11=""),"",INDEX(Tính!$C$134:$V$178,$CD$3,INDEX(Tính!$C$278:$V$322,$CD$3,$BL$11)))</f>
        <v/>
      </c>
      <c r="D18" s="44" t="str">
        <f>IF($CD$3="","",IF($BK$11="C",INDEX(Tính!$Q$39:$Q$83,$CD$3)&amp;"/"&amp;$BK$1,IF($BK$11="V",INDEX(Tính!$R$39:$R$83,$CD$3)&amp;"/"&amp;$BL$1,IF($BL$11="","",INDEX(Tính!$C$182:$V$226,$CD$3,INDEX(Tính!$C$278:$V$322,$CD$3,$BL$11))))))</f>
        <v/>
      </c>
      <c r="F18" s="42" t="str">
        <f>IF($CD$4="","",IF($BK$11="C","NHÓM CHÍNH",IF($BK$11="V","NHÓM VƯỢT TRỘI",IF($BL$11="","",INDEX($BA$3:$BA$22,INDEX(Tính!$C$278:$V$322,$CD$4,$BL$11))))))</f>
        <v/>
      </c>
      <c r="G18" s="43" t="str">
        <f>IF(OR($CD$4="",$BL$11=""),"",INDEX(Tính!$C$86:$V$130,$CD$4,INDEX(Tính!$C$278:$V$322,$CD$4,$BL$11)))</f>
        <v/>
      </c>
      <c r="H18" s="43" t="str">
        <f>IF(OR($CD$4="",$BL$11=""),"",INDEX(Tính!$C$134:$V$178,$CD$4,INDEX(Tính!$C$278:$V$322,$CD$4,$BL$11)))</f>
        <v/>
      </c>
      <c r="I18" s="44" t="str">
        <f>IF($CD$4="","",IF($BK$11="C",INDEX(Tính!$Q$39:$Q$83,$CD$4)&amp;"/"&amp;$BK$1,IF($BK$11="V",INDEX(Tính!$R$39:$R$83,$CD$4)&amp;"/"&amp;$BL$1,IF($BL$11="","",INDEX(Tính!$C$182:$V$226,$CD$4,INDEX(Tính!$C$278:$V$322,$CD$4,$BL$11))))))</f>
        <v/>
      </c>
      <c r="K18" s="42" t="str">
        <f>IF($CD$5="","",IF($BK$11="C","NHÓM CHÍNH",IF($BK$11="V","NHÓM VƯỢT TRỘI",IF($BL$11="","",INDEX($BA$3:$BA$22,INDEX(Tính!$C$278:$V$322,$CD$5,$BL$11))))))</f>
        <v/>
      </c>
      <c r="L18" s="43" t="str">
        <f>IF(OR($CD$5="",$BL$11=""),"",INDEX(Tính!$C$86:$V$130,$CD$5,INDEX(Tính!$C$278:$V$322,$CD$5,$BL$11)))</f>
        <v/>
      </c>
      <c r="M18" s="43" t="str">
        <f>IF(OR($CD$5="",$BL$11=""),"",INDEX(Tính!$C$134:$V$178,$CD$5,INDEX(Tính!$C$278:$V$322,$CD$5,$BL$11)))</f>
        <v/>
      </c>
      <c r="N18" s="44" t="str">
        <f>IF($CD$5="","",IF($BK$11="C",INDEX(Tính!$Q$39:$Q$83,$CD$5)&amp;"/"&amp;$BK$1,IF($BK$11="V",INDEX(Tính!$R$39:$R$83,$CD$5)&amp;"/"&amp;$BL$1,IF($BL$11="","",INDEX(Tính!$C$182:$V$226,$CD$5,INDEX(Tính!$C$278:$V$322,$CD$5,$BL$11))))))</f>
        <v/>
      </c>
      <c r="P18" s="42" t="str">
        <f>IF($CD$6="","",IF($BK$11="C","NHÓM CHÍNH",IF($BK$11="V","NHÓM VƯỢT TRỘI",IF($BL$11="","",INDEX($BA$3:$BA$22,INDEX(Tính!$C$278:$V$322,$CD$6,$BL$11))))))</f>
        <v/>
      </c>
      <c r="Q18" s="43" t="str">
        <f>IF(OR($CD$6="",$BL$11=""),"",INDEX(Tính!$C$86:$V$130,$CD$6,INDEX(Tính!$C$278:$V$322,$CD$6,$BL$11)))</f>
        <v/>
      </c>
      <c r="R18" s="43" t="str">
        <f>IF(OR($CD$6="",$BL$11=""),"",INDEX(Tính!$C$134:$V$178,$CD$6,INDEX(Tính!$C$278:$V$322,$CD$6,$BL$11)))</f>
        <v/>
      </c>
      <c r="S18" s="44" t="str">
        <f>IF($CD$6="","",IF($BK$11="C",INDEX(Tính!$Q$39:$Q$83,$CD$6)&amp;"/"&amp;$BK$1,IF($BK$11="V",INDEX(Tính!$R$39:$R$83,$CD$6)&amp;"/"&amp;$BL$1,IF($BL$11="","",INDEX(Tính!$C$182:$V$226,$CD$6,INDEX(Tính!$C$278:$V$322,$CD$6,$BL$11))))))</f>
        <v/>
      </c>
      <c r="BA18" t="str">
        <f>Tính!B18</f>
        <v/>
      </c>
      <c r="BB18" t="str">
        <f>Tính!D18</f>
        <v/>
      </c>
      <c r="BC18">
        <f>IF($AZ$1=0,Tính!$Z$18,CHOOSE($AZ$1,Tính!$G$18,Tính!$L$18,Tính!$Q$18,Tính!$V$18))</f>
        <v>0</v>
      </c>
      <c r="BD18">
        <f>IF($AZ$1=0,Tính!$Y$18,CHOOSE($AZ$1,Tính!$E$18,Tính!$J$18,Tính!$O$18,Tính!$T$18))</f>
        <v>0</v>
      </c>
      <c r="BE18">
        <f>IF($AZ$1=0,Tính!$AB$18,CHOOSE($AZ$1,Tính!$I$18,Tính!$N$18,Tính!$S$18,Tính!$X$18))</f>
        <v>0</v>
      </c>
      <c r="BF18">
        <f>IF($AZ$1=0,Tính!$AA$18,CHOOSE($AZ$1,Tính!$H$18,Tính!$M$18,Tính!$R$18,Tính!$W$18))</f>
        <v>0</v>
      </c>
      <c r="BG18">
        <f t="shared" si="0"/>
        <v>0</v>
      </c>
      <c r="BH18">
        <f t="shared" si="1"/>
        <v>0</v>
      </c>
      <c r="BI18">
        <f>IF(BA18="",-1,IF(BB18="Chính",1000,0)+BG18+(20-16)/100000)</f>
        <v>-1</v>
      </c>
      <c r="BJ18" t="str">
        <f>IF(LARGE($BI$3:$BI$22,16)&lt;0,"",MATCH(LARGE($BI$3:$BI$22,16),$BI$3:$BI$22,0))</f>
        <v/>
      </c>
      <c r="BK18" t="str">
        <f>IF(16=1,IF($BK$1&gt;0,"C",""),IF(16&lt;=$BK$1+1,"g",IF(16=$BK$1+2,IF($BL$1&gt;0,"V",""),IF(16&lt;=$BK$1+2+$BL$1,"g",""))))</f>
        <v/>
      </c>
      <c r="BL18" t="str">
        <f>IF(BK18="g",IF(16&lt;=$BK$1+1,16-1,16-2),"")</f>
        <v/>
      </c>
      <c r="CA18">
        <v>16</v>
      </c>
      <c r="CB18">
        <f>IF(Tính!B54="",0,IF(OR($AZ$1=0,Tính!D54=$AZ$1),1,0))</f>
        <v>0</v>
      </c>
      <c r="CC18">
        <f>IF(CB18=1,Tính!M54+1+(45-16)/1000000,-1)</f>
        <v>-1</v>
      </c>
      <c r="CD18" t="str">
        <f>IF(LARGE($CC$3:$CC$47,16)&lt;0,"",MATCH(LARGE($CC$3:$CC$47,16),$CC$3:$CC$47,0))</f>
        <v/>
      </c>
    </row>
    <row r="19" spans="1:82" x14ac:dyDescent="0.3">
      <c r="A19" s="42" t="str">
        <f>IF($CD$3="","",IF($BK$12="C","NHÓM CHÍNH",IF($BK$12="V","NHÓM VƯỢT TRỘI",IF($BL$12="","",INDEX($BA$3:$BA$22,INDEX(Tính!$C$278:$V$322,$CD$3,$BL$12))))))</f>
        <v/>
      </c>
      <c r="B19" s="43" t="str">
        <f>IF(OR($CD$3="",$BL$12=""),"",INDEX(Tính!$C$86:$V$130,$CD$3,INDEX(Tính!$C$278:$V$322,$CD$3,$BL$12)))</f>
        <v/>
      </c>
      <c r="C19" s="43" t="str">
        <f>IF(OR($CD$3="",$BL$12=""),"",INDEX(Tính!$C$134:$V$178,$CD$3,INDEX(Tính!$C$278:$V$322,$CD$3,$BL$12)))</f>
        <v/>
      </c>
      <c r="D19" s="44" t="str">
        <f>IF($CD$3="","",IF($BK$12="C",INDEX(Tính!$Q$39:$Q$83,$CD$3)&amp;"/"&amp;$BK$1,IF($BK$12="V",INDEX(Tính!$R$39:$R$83,$CD$3)&amp;"/"&amp;$BL$1,IF($BL$12="","",INDEX(Tính!$C$182:$V$226,$CD$3,INDEX(Tính!$C$278:$V$322,$CD$3,$BL$12))))))</f>
        <v/>
      </c>
      <c r="F19" s="42" t="str">
        <f>IF($CD$4="","",IF($BK$12="C","NHÓM CHÍNH",IF($BK$12="V","NHÓM VƯỢT TRỘI",IF($BL$12="","",INDEX($BA$3:$BA$22,INDEX(Tính!$C$278:$V$322,$CD$4,$BL$12))))))</f>
        <v/>
      </c>
      <c r="G19" s="43" t="str">
        <f>IF(OR($CD$4="",$BL$12=""),"",INDEX(Tính!$C$86:$V$130,$CD$4,INDEX(Tính!$C$278:$V$322,$CD$4,$BL$12)))</f>
        <v/>
      </c>
      <c r="H19" s="43" t="str">
        <f>IF(OR($CD$4="",$BL$12=""),"",INDEX(Tính!$C$134:$V$178,$CD$4,INDEX(Tính!$C$278:$V$322,$CD$4,$BL$12)))</f>
        <v/>
      </c>
      <c r="I19" s="44" t="str">
        <f>IF($CD$4="","",IF($BK$12="C",INDEX(Tính!$Q$39:$Q$83,$CD$4)&amp;"/"&amp;$BK$1,IF($BK$12="V",INDEX(Tính!$R$39:$R$83,$CD$4)&amp;"/"&amp;$BL$1,IF($BL$12="","",INDEX(Tính!$C$182:$V$226,$CD$4,INDEX(Tính!$C$278:$V$322,$CD$4,$BL$12))))))</f>
        <v/>
      </c>
      <c r="K19" s="42" t="str">
        <f>IF($CD$5="","",IF($BK$12="C","NHÓM CHÍNH",IF($BK$12="V","NHÓM VƯỢT TRỘI",IF($BL$12="","",INDEX($BA$3:$BA$22,INDEX(Tính!$C$278:$V$322,$CD$5,$BL$12))))))</f>
        <v/>
      </c>
      <c r="L19" s="43" t="str">
        <f>IF(OR($CD$5="",$BL$12=""),"",INDEX(Tính!$C$86:$V$130,$CD$5,INDEX(Tính!$C$278:$V$322,$CD$5,$BL$12)))</f>
        <v/>
      </c>
      <c r="M19" s="43" t="str">
        <f>IF(OR($CD$5="",$BL$12=""),"",INDEX(Tính!$C$134:$V$178,$CD$5,INDEX(Tính!$C$278:$V$322,$CD$5,$BL$12)))</f>
        <v/>
      </c>
      <c r="N19" s="44" t="str">
        <f>IF($CD$5="","",IF($BK$12="C",INDEX(Tính!$Q$39:$Q$83,$CD$5)&amp;"/"&amp;$BK$1,IF($BK$12="V",INDEX(Tính!$R$39:$R$83,$CD$5)&amp;"/"&amp;$BL$1,IF($BL$12="","",INDEX(Tính!$C$182:$V$226,$CD$5,INDEX(Tính!$C$278:$V$322,$CD$5,$BL$12))))))</f>
        <v/>
      </c>
      <c r="P19" s="42" t="str">
        <f>IF($CD$6="","",IF($BK$12="C","NHÓM CHÍNH",IF($BK$12="V","NHÓM VƯỢT TRỘI",IF($BL$12="","",INDEX($BA$3:$BA$22,INDEX(Tính!$C$278:$V$322,$CD$6,$BL$12))))))</f>
        <v/>
      </c>
      <c r="Q19" s="43" t="str">
        <f>IF(OR($CD$6="",$BL$12=""),"",INDEX(Tính!$C$86:$V$130,$CD$6,INDEX(Tính!$C$278:$V$322,$CD$6,$BL$12)))</f>
        <v/>
      </c>
      <c r="R19" s="43" t="str">
        <f>IF(OR($CD$6="",$BL$12=""),"",INDEX(Tính!$C$134:$V$178,$CD$6,INDEX(Tính!$C$278:$V$322,$CD$6,$BL$12)))</f>
        <v/>
      </c>
      <c r="S19" s="44" t="str">
        <f>IF($CD$6="","",IF($BK$12="C",INDEX(Tính!$Q$39:$Q$83,$CD$6)&amp;"/"&amp;$BK$1,IF($BK$12="V",INDEX(Tính!$R$39:$R$83,$CD$6)&amp;"/"&amp;$BL$1,IF($BL$12="","",INDEX(Tính!$C$182:$V$226,$CD$6,INDEX(Tính!$C$278:$V$322,$CD$6,$BL$12))))))</f>
        <v/>
      </c>
      <c r="BA19" t="str">
        <f>Tính!B19</f>
        <v/>
      </c>
      <c r="BB19" t="str">
        <f>Tính!D19</f>
        <v/>
      </c>
      <c r="BC19">
        <f>IF($AZ$1=0,Tính!$Z$19,CHOOSE($AZ$1,Tính!$G$19,Tính!$L$19,Tính!$Q$19,Tính!$V$19))</f>
        <v>0</v>
      </c>
      <c r="BD19">
        <f>IF($AZ$1=0,Tính!$Y$19,CHOOSE($AZ$1,Tính!$E$19,Tính!$J$19,Tính!$O$19,Tính!$T$19))</f>
        <v>0</v>
      </c>
      <c r="BE19">
        <f>IF($AZ$1=0,Tính!$AB$19,CHOOSE($AZ$1,Tính!$I$19,Tính!$N$19,Tính!$S$19,Tính!$X$19))</f>
        <v>0</v>
      </c>
      <c r="BF19">
        <f>IF($AZ$1=0,Tính!$AA$19,CHOOSE($AZ$1,Tính!$H$19,Tính!$M$19,Tính!$R$19,Tính!$W$19))</f>
        <v>0</v>
      </c>
      <c r="BG19">
        <f t="shared" si="0"/>
        <v>0</v>
      </c>
      <c r="BH19">
        <f t="shared" si="1"/>
        <v>0</v>
      </c>
      <c r="BI19">
        <f>IF(BA19="",-1,IF(BB19="Chính",1000,0)+BG19+(20-17)/100000)</f>
        <v>-1</v>
      </c>
      <c r="BJ19" t="str">
        <f>IF(LARGE($BI$3:$BI$22,17)&lt;0,"",MATCH(LARGE($BI$3:$BI$22,17),$BI$3:$BI$22,0))</f>
        <v/>
      </c>
      <c r="BK19" t="str">
        <f>IF(17=1,IF($BK$1&gt;0,"C",""),IF(17&lt;=$BK$1+1,"g",IF(17=$BK$1+2,IF($BL$1&gt;0,"V",""),IF(17&lt;=$BK$1+2+$BL$1,"g",""))))</f>
        <v/>
      </c>
      <c r="BL19" t="str">
        <f>IF(BK19="g",IF(17&lt;=$BK$1+1,17-1,17-2),"")</f>
        <v/>
      </c>
      <c r="CA19">
        <v>17</v>
      </c>
      <c r="CB19">
        <f>IF(Tính!B55="",0,IF(OR($AZ$1=0,Tính!D55=$AZ$1),1,0))</f>
        <v>0</v>
      </c>
      <c r="CC19">
        <f>IF(CB19=1,Tính!M55+1+(45-17)/1000000,-1)</f>
        <v>-1</v>
      </c>
      <c r="CD19" t="str">
        <f>IF(LARGE($CC$3:$CC$47,17)&lt;0,"",MATCH(LARGE($CC$3:$CC$47,17),$CC$3:$CC$47,0))</f>
        <v/>
      </c>
    </row>
    <row r="20" spans="1:82" x14ac:dyDescent="0.3">
      <c r="A20" s="42" t="str">
        <f>IF($CD$3="","",IF($BK$13="C","NHÓM CHÍNH",IF($BK$13="V","NHÓM VƯỢT TRỘI",IF($BL$13="","",INDEX($BA$3:$BA$22,INDEX(Tính!$C$278:$V$322,$CD$3,$BL$13))))))</f>
        <v/>
      </c>
      <c r="B20" s="43" t="str">
        <f>IF(OR($CD$3="",$BL$13=""),"",INDEX(Tính!$C$86:$V$130,$CD$3,INDEX(Tính!$C$278:$V$322,$CD$3,$BL$13)))</f>
        <v/>
      </c>
      <c r="C20" s="43" t="str">
        <f>IF(OR($CD$3="",$BL$13=""),"",INDEX(Tính!$C$134:$V$178,$CD$3,INDEX(Tính!$C$278:$V$322,$CD$3,$BL$13)))</f>
        <v/>
      </c>
      <c r="D20" s="44" t="str">
        <f>IF($CD$3="","",IF($BK$13="C",INDEX(Tính!$Q$39:$Q$83,$CD$3)&amp;"/"&amp;$BK$1,IF($BK$13="V",INDEX(Tính!$R$39:$R$83,$CD$3)&amp;"/"&amp;$BL$1,IF($BL$13="","",INDEX(Tính!$C$182:$V$226,$CD$3,INDEX(Tính!$C$278:$V$322,$CD$3,$BL$13))))))</f>
        <v/>
      </c>
      <c r="F20" s="42" t="str">
        <f>IF($CD$4="","",IF($BK$13="C","NHÓM CHÍNH",IF($BK$13="V","NHÓM VƯỢT TRỘI",IF($BL$13="","",INDEX($BA$3:$BA$22,INDEX(Tính!$C$278:$V$322,$CD$4,$BL$13))))))</f>
        <v/>
      </c>
      <c r="G20" s="43" t="str">
        <f>IF(OR($CD$4="",$BL$13=""),"",INDEX(Tính!$C$86:$V$130,$CD$4,INDEX(Tính!$C$278:$V$322,$CD$4,$BL$13)))</f>
        <v/>
      </c>
      <c r="H20" s="43" t="str">
        <f>IF(OR($CD$4="",$BL$13=""),"",INDEX(Tính!$C$134:$V$178,$CD$4,INDEX(Tính!$C$278:$V$322,$CD$4,$BL$13)))</f>
        <v/>
      </c>
      <c r="I20" s="44" t="str">
        <f>IF($CD$4="","",IF($BK$13="C",INDEX(Tính!$Q$39:$Q$83,$CD$4)&amp;"/"&amp;$BK$1,IF($BK$13="V",INDEX(Tính!$R$39:$R$83,$CD$4)&amp;"/"&amp;$BL$1,IF($BL$13="","",INDEX(Tính!$C$182:$V$226,$CD$4,INDEX(Tính!$C$278:$V$322,$CD$4,$BL$13))))))</f>
        <v/>
      </c>
      <c r="K20" s="42" t="str">
        <f>IF($CD$5="","",IF($BK$13="C","NHÓM CHÍNH",IF($BK$13="V","NHÓM VƯỢT TRỘI",IF($BL$13="","",INDEX($BA$3:$BA$22,INDEX(Tính!$C$278:$V$322,$CD$5,$BL$13))))))</f>
        <v/>
      </c>
      <c r="L20" s="43" t="str">
        <f>IF(OR($CD$5="",$BL$13=""),"",INDEX(Tính!$C$86:$V$130,$CD$5,INDEX(Tính!$C$278:$V$322,$CD$5,$BL$13)))</f>
        <v/>
      </c>
      <c r="M20" s="43" t="str">
        <f>IF(OR($CD$5="",$BL$13=""),"",INDEX(Tính!$C$134:$V$178,$CD$5,INDEX(Tính!$C$278:$V$322,$CD$5,$BL$13)))</f>
        <v/>
      </c>
      <c r="N20" s="44" t="str">
        <f>IF($CD$5="","",IF($BK$13="C",INDEX(Tính!$Q$39:$Q$83,$CD$5)&amp;"/"&amp;$BK$1,IF($BK$13="V",INDEX(Tính!$R$39:$R$83,$CD$5)&amp;"/"&amp;$BL$1,IF($BL$13="","",INDEX(Tính!$C$182:$V$226,$CD$5,INDEX(Tính!$C$278:$V$322,$CD$5,$BL$13))))))</f>
        <v/>
      </c>
      <c r="P20" s="42" t="str">
        <f>IF($CD$6="","",IF($BK$13="C","NHÓM CHÍNH",IF($BK$13="V","NHÓM VƯỢT TRỘI",IF($BL$13="","",INDEX($BA$3:$BA$22,INDEX(Tính!$C$278:$V$322,$CD$6,$BL$13))))))</f>
        <v/>
      </c>
      <c r="Q20" s="43" t="str">
        <f>IF(OR($CD$6="",$BL$13=""),"",INDEX(Tính!$C$86:$V$130,$CD$6,INDEX(Tính!$C$278:$V$322,$CD$6,$BL$13)))</f>
        <v/>
      </c>
      <c r="R20" s="43" t="str">
        <f>IF(OR($CD$6="",$BL$13=""),"",INDEX(Tính!$C$134:$V$178,$CD$6,INDEX(Tính!$C$278:$V$322,$CD$6,$BL$13)))</f>
        <v/>
      </c>
      <c r="S20" s="44" t="str">
        <f>IF($CD$6="","",IF($BK$13="C",INDEX(Tính!$Q$39:$Q$83,$CD$6)&amp;"/"&amp;$BK$1,IF($BK$13="V",INDEX(Tính!$R$39:$R$83,$CD$6)&amp;"/"&amp;$BL$1,IF($BL$13="","",INDEX(Tính!$C$182:$V$226,$CD$6,INDEX(Tính!$C$278:$V$322,$CD$6,$BL$13))))))</f>
        <v/>
      </c>
      <c r="BA20" t="str">
        <f>Tính!B20</f>
        <v/>
      </c>
      <c r="BB20" t="str">
        <f>Tính!D20</f>
        <v/>
      </c>
      <c r="BC20">
        <f>IF($AZ$1=0,Tính!$Z$20,CHOOSE($AZ$1,Tính!$G$20,Tính!$L$20,Tính!$Q$20,Tính!$V$20))</f>
        <v>0</v>
      </c>
      <c r="BD20">
        <f>IF($AZ$1=0,Tính!$Y$20,CHOOSE($AZ$1,Tính!$E$20,Tính!$J$20,Tính!$O$20,Tính!$T$20))</f>
        <v>0</v>
      </c>
      <c r="BE20">
        <f>IF($AZ$1=0,Tính!$AB$20,CHOOSE($AZ$1,Tính!$I$20,Tính!$N$20,Tính!$S$20,Tính!$X$20))</f>
        <v>0</v>
      </c>
      <c r="BF20">
        <f>IF($AZ$1=0,Tính!$AA$20,CHOOSE($AZ$1,Tính!$H$20,Tính!$M$20,Tính!$R$20,Tính!$W$20))</f>
        <v>0</v>
      </c>
      <c r="BG20">
        <f t="shared" si="0"/>
        <v>0</v>
      </c>
      <c r="BH20">
        <f t="shared" si="1"/>
        <v>0</v>
      </c>
      <c r="BI20">
        <f>IF(BA20="",-1,IF(BB20="Chính",1000,0)+BG20+(20-18)/100000)</f>
        <v>-1</v>
      </c>
      <c r="BJ20" t="str">
        <f>IF(LARGE($BI$3:$BI$22,18)&lt;0,"",MATCH(LARGE($BI$3:$BI$22,18),$BI$3:$BI$22,0))</f>
        <v/>
      </c>
      <c r="BK20" t="str">
        <f>IF(18=1,IF($BK$1&gt;0,"C",""),IF(18&lt;=$BK$1+1,"g",IF(18=$BK$1+2,IF($BL$1&gt;0,"V",""),IF(18&lt;=$BK$1+2+$BL$1,"g",""))))</f>
        <v/>
      </c>
      <c r="BL20" t="str">
        <f>IF(BK20="g",IF(18&lt;=$BK$1+1,18-1,18-2),"")</f>
        <v/>
      </c>
      <c r="CA20">
        <v>18</v>
      </c>
      <c r="CB20">
        <f>IF(Tính!B56="",0,IF(OR($AZ$1=0,Tính!D56=$AZ$1),1,0))</f>
        <v>0</v>
      </c>
      <c r="CC20">
        <f>IF(CB20=1,Tính!M56+1+(45-18)/1000000,-1)</f>
        <v>-1</v>
      </c>
      <c r="CD20" t="str">
        <f>IF(LARGE($CC$3:$CC$47,18)&lt;0,"",MATCH(LARGE($CC$3:$CC$47,18),$CC$3:$CC$47,0))</f>
        <v/>
      </c>
    </row>
    <row r="21" spans="1:82" x14ac:dyDescent="0.3">
      <c r="A21" s="42" t="str">
        <f>IF($CD$3="","",IF($BK$14="C","NHÓM CHÍNH",IF($BK$14="V","NHÓM VƯỢT TRỘI",IF($BL$14="","",INDEX($BA$3:$BA$22,INDEX(Tính!$C$278:$V$322,$CD$3,$BL$14))))))</f>
        <v/>
      </c>
      <c r="B21" s="43" t="str">
        <f>IF(OR($CD$3="",$BL$14=""),"",INDEX(Tính!$C$86:$V$130,$CD$3,INDEX(Tính!$C$278:$V$322,$CD$3,$BL$14)))</f>
        <v/>
      </c>
      <c r="C21" s="43" t="str">
        <f>IF(OR($CD$3="",$BL$14=""),"",INDEX(Tính!$C$134:$V$178,$CD$3,INDEX(Tính!$C$278:$V$322,$CD$3,$BL$14)))</f>
        <v/>
      </c>
      <c r="D21" s="44" t="str">
        <f>IF($CD$3="","",IF($BK$14="C",INDEX(Tính!$Q$39:$Q$83,$CD$3)&amp;"/"&amp;$BK$1,IF($BK$14="V",INDEX(Tính!$R$39:$R$83,$CD$3)&amp;"/"&amp;$BL$1,IF($BL$14="","",INDEX(Tính!$C$182:$V$226,$CD$3,INDEX(Tính!$C$278:$V$322,$CD$3,$BL$14))))))</f>
        <v/>
      </c>
      <c r="F21" s="42" t="str">
        <f>IF($CD$4="","",IF($BK$14="C","NHÓM CHÍNH",IF($BK$14="V","NHÓM VƯỢT TRỘI",IF($BL$14="","",INDEX($BA$3:$BA$22,INDEX(Tính!$C$278:$V$322,$CD$4,$BL$14))))))</f>
        <v/>
      </c>
      <c r="G21" s="43" t="str">
        <f>IF(OR($CD$4="",$BL$14=""),"",INDEX(Tính!$C$86:$V$130,$CD$4,INDEX(Tính!$C$278:$V$322,$CD$4,$BL$14)))</f>
        <v/>
      </c>
      <c r="H21" s="43" t="str">
        <f>IF(OR($CD$4="",$BL$14=""),"",INDEX(Tính!$C$134:$V$178,$CD$4,INDEX(Tính!$C$278:$V$322,$CD$4,$BL$14)))</f>
        <v/>
      </c>
      <c r="I21" s="44" t="str">
        <f>IF($CD$4="","",IF($BK$14="C",INDEX(Tính!$Q$39:$Q$83,$CD$4)&amp;"/"&amp;$BK$1,IF($BK$14="V",INDEX(Tính!$R$39:$R$83,$CD$4)&amp;"/"&amp;$BL$1,IF($BL$14="","",INDEX(Tính!$C$182:$V$226,$CD$4,INDEX(Tính!$C$278:$V$322,$CD$4,$BL$14))))))</f>
        <v/>
      </c>
      <c r="K21" s="42" t="str">
        <f>IF($CD$5="","",IF($BK$14="C","NHÓM CHÍNH",IF($BK$14="V","NHÓM VƯỢT TRỘI",IF($BL$14="","",INDEX($BA$3:$BA$22,INDEX(Tính!$C$278:$V$322,$CD$5,$BL$14))))))</f>
        <v/>
      </c>
      <c r="L21" s="43" t="str">
        <f>IF(OR($CD$5="",$BL$14=""),"",INDEX(Tính!$C$86:$V$130,$CD$5,INDEX(Tính!$C$278:$V$322,$CD$5,$BL$14)))</f>
        <v/>
      </c>
      <c r="M21" s="43" t="str">
        <f>IF(OR($CD$5="",$BL$14=""),"",INDEX(Tính!$C$134:$V$178,$CD$5,INDEX(Tính!$C$278:$V$322,$CD$5,$BL$14)))</f>
        <v/>
      </c>
      <c r="N21" s="44" t="str">
        <f>IF($CD$5="","",IF($BK$14="C",INDEX(Tính!$Q$39:$Q$83,$CD$5)&amp;"/"&amp;$BK$1,IF($BK$14="V",INDEX(Tính!$R$39:$R$83,$CD$5)&amp;"/"&amp;$BL$1,IF($BL$14="","",INDEX(Tính!$C$182:$V$226,$CD$5,INDEX(Tính!$C$278:$V$322,$CD$5,$BL$14))))))</f>
        <v/>
      </c>
      <c r="P21" s="42" t="str">
        <f>IF($CD$6="","",IF($BK$14="C","NHÓM CHÍNH",IF($BK$14="V","NHÓM VƯỢT TRỘI",IF($BL$14="","",INDEX($BA$3:$BA$22,INDEX(Tính!$C$278:$V$322,$CD$6,$BL$14))))))</f>
        <v/>
      </c>
      <c r="Q21" s="43" t="str">
        <f>IF(OR($CD$6="",$BL$14=""),"",INDEX(Tính!$C$86:$V$130,$CD$6,INDEX(Tính!$C$278:$V$322,$CD$6,$BL$14)))</f>
        <v/>
      </c>
      <c r="R21" s="43" t="str">
        <f>IF(OR($CD$6="",$BL$14=""),"",INDEX(Tính!$C$134:$V$178,$CD$6,INDEX(Tính!$C$278:$V$322,$CD$6,$BL$14)))</f>
        <v/>
      </c>
      <c r="S21" s="44" t="str">
        <f>IF($CD$6="","",IF($BK$14="C",INDEX(Tính!$Q$39:$Q$83,$CD$6)&amp;"/"&amp;$BK$1,IF($BK$14="V",INDEX(Tính!$R$39:$R$83,$CD$6)&amp;"/"&amp;$BL$1,IF($BL$14="","",INDEX(Tính!$C$182:$V$226,$CD$6,INDEX(Tính!$C$278:$V$322,$CD$6,$BL$14))))))</f>
        <v/>
      </c>
      <c r="BA21" t="str">
        <f>Tính!B21</f>
        <v/>
      </c>
      <c r="BB21" t="str">
        <f>Tính!D21</f>
        <v/>
      </c>
      <c r="BC21">
        <f>IF($AZ$1=0,Tính!$Z$21,CHOOSE($AZ$1,Tính!$G$21,Tính!$L$21,Tính!$Q$21,Tính!$V$21))</f>
        <v>0</v>
      </c>
      <c r="BD21">
        <f>IF($AZ$1=0,Tính!$Y$21,CHOOSE($AZ$1,Tính!$E$21,Tính!$J$21,Tính!$O$21,Tính!$T$21))</f>
        <v>0</v>
      </c>
      <c r="BE21">
        <f>IF($AZ$1=0,Tính!$AB$21,CHOOSE($AZ$1,Tính!$I$21,Tính!$N$21,Tính!$S$21,Tính!$X$21))</f>
        <v>0</v>
      </c>
      <c r="BF21">
        <f>IF($AZ$1=0,Tính!$AA$21,CHOOSE($AZ$1,Tính!$H$21,Tính!$M$21,Tính!$R$21,Tính!$W$21))</f>
        <v>0</v>
      </c>
      <c r="BG21">
        <f t="shared" si="0"/>
        <v>0</v>
      </c>
      <c r="BH21">
        <f t="shared" si="1"/>
        <v>0</v>
      </c>
      <c r="BI21">
        <f>IF(BA21="",-1,IF(BB21="Chính",1000,0)+BG21+(20-19)/100000)</f>
        <v>-1</v>
      </c>
      <c r="BJ21" t="str">
        <f>IF(LARGE($BI$3:$BI$22,19)&lt;0,"",MATCH(LARGE($BI$3:$BI$22,19),$BI$3:$BI$22,0))</f>
        <v/>
      </c>
      <c r="BK21" t="str">
        <f>IF(19=1,IF($BK$1&gt;0,"C",""),IF(19&lt;=$BK$1+1,"g",IF(19=$BK$1+2,IF($BL$1&gt;0,"V",""),IF(19&lt;=$BK$1+2+$BL$1,"g",""))))</f>
        <v/>
      </c>
      <c r="BL21" t="str">
        <f>IF(BK21="g",IF(19&lt;=$BK$1+1,19-1,19-2),"")</f>
        <v/>
      </c>
      <c r="CA21">
        <v>19</v>
      </c>
      <c r="CB21">
        <f>IF(Tính!B57="",0,IF(OR($AZ$1=0,Tính!D57=$AZ$1),1,0))</f>
        <v>0</v>
      </c>
      <c r="CC21">
        <f>IF(CB21=1,Tính!M57+1+(45-19)/1000000,-1)</f>
        <v>-1</v>
      </c>
      <c r="CD21" t="str">
        <f>IF(LARGE($CC$3:$CC$47,19)&lt;0,"",MATCH(LARGE($CC$3:$CC$47,19),$CC$3:$CC$47,0))</f>
        <v/>
      </c>
    </row>
    <row r="22" spans="1:82" x14ac:dyDescent="0.3">
      <c r="A22" s="42" t="str">
        <f>IF($CD$3="","",IF($BK$15="C","NHÓM CHÍNH",IF($BK$15="V","NHÓM VƯỢT TRỘI",IF($BL$15="","",INDEX($BA$3:$BA$22,INDEX(Tính!$C$278:$V$322,$CD$3,$BL$15))))))</f>
        <v/>
      </c>
      <c r="B22" s="43" t="str">
        <f>IF(OR($CD$3="",$BL$15=""),"",INDEX(Tính!$C$86:$V$130,$CD$3,INDEX(Tính!$C$278:$V$322,$CD$3,$BL$15)))</f>
        <v/>
      </c>
      <c r="C22" s="43" t="str">
        <f>IF(OR($CD$3="",$BL$15=""),"",INDEX(Tính!$C$134:$V$178,$CD$3,INDEX(Tính!$C$278:$V$322,$CD$3,$BL$15)))</f>
        <v/>
      </c>
      <c r="D22" s="44" t="str">
        <f>IF($CD$3="","",IF($BK$15="C",INDEX(Tính!$Q$39:$Q$83,$CD$3)&amp;"/"&amp;$BK$1,IF($BK$15="V",INDEX(Tính!$R$39:$R$83,$CD$3)&amp;"/"&amp;$BL$1,IF($BL$15="","",INDEX(Tính!$C$182:$V$226,$CD$3,INDEX(Tính!$C$278:$V$322,$CD$3,$BL$15))))))</f>
        <v/>
      </c>
      <c r="F22" s="42" t="str">
        <f>IF($CD$4="","",IF($BK$15="C","NHÓM CHÍNH",IF($BK$15="V","NHÓM VƯỢT TRỘI",IF($BL$15="","",INDEX($BA$3:$BA$22,INDEX(Tính!$C$278:$V$322,$CD$4,$BL$15))))))</f>
        <v/>
      </c>
      <c r="G22" s="43" t="str">
        <f>IF(OR($CD$4="",$BL$15=""),"",INDEX(Tính!$C$86:$V$130,$CD$4,INDEX(Tính!$C$278:$V$322,$CD$4,$BL$15)))</f>
        <v/>
      </c>
      <c r="H22" s="43" t="str">
        <f>IF(OR($CD$4="",$BL$15=""),"",INDEX(Tính!$C$134:$V$178,$CD$4,INDEX(Tính!$C$278:$V$322,$CD$4,$BL$15)))</f>
        <v/>
      </c>
      <c r="I22" s="44" t="str">
        <f>IF($CD$4="","",IF($BK$15="C",INDEX(Tính!$Q$39:$Q$83,$CD$4)&amp;"/"&amp;$BK$1,IF($BK$15="V",INDEX(Tính!$R$39:$R$83,$CD$4)&amp;"/"&amp;$BL$1,IF($BL$15="","",INDEX(Tính!$C$182:$V$226,$CD$4,INDEX(Tính!$C$278:$V$322,$CD$4,$BL$15))))))</f>
        <v/>
      </c>
      <c r="K22" s="42" t="str">
        <f>IF($CD$5="","",IF($BK$15="C","NHÓM CHÍNH",IF($BK$15="V","NHÓM VƯỢT TRỘI",IF($BL$15="","",INDEX($BA$3:$BA$22,INDEX(Tính!$C$278:$V$322,$CD$5,$BL$15))))))</f>
        <v/>
      </c>
      <c r="L22" s="43" t="str">
        <f>IF(OR($CD$5="",$BL$15=""),"",INDEX(Tính!$C$86:$V$130,$CD$5,INDEX(Tính!$C$278:$V$322,$CD$5,$BL$15)))</f>
        <v/>
      </c>
      <c r="M22" s="43" t="str">
        <f>IF(OR($CD$5="",$BL$15=""),"",INDEX(Tính!$C$134:$V$178,$CD$5,INDEX(Tính!$C$278:$V$322,$CD$5,$BL$15)))</f>
        <v/>
      </c>
      <c r="N22" s="44" t="str">
        <f>IF($CD$5="","",IF($BK$15="C",INDEX(Tính!$Q$39:$Q$83,$CD$5)&amp;"/"&amp;$BK$1,IF($BK$15="V",INDEX(Tính!$R$39:$R$83,$CD$5)&amp;"/"&amp;$BL$1,IF($BL$15="","",INDEX(Tính!$C$182:$V$226,$CD$5,INDEX(Tính!$C$278:$V$322,$CD$5,$BL$15))))))</f>
        <v/>
      </c>
      <c r="P22" s="42" t="str">
        <f>IF($CD$6="","",IF($BK$15="C","NHÓM CHÍNH",IF($BK$15="V","NHÓM VƯỢT TRỘI",IF($BL$15="","",INDEX($BA$3:$BA$22,INDEX(Tính!$C$278:$V$322,$CD$6,$BL$15))))))</f>
        <v/>
      </c>
      <c r="Q22" s="43" t="str">
        <f>IF(OR($CD$6="",$BL$15=""),"",INDEX(Tính!$C$86:$V$130,$CD$6,INDEX(Tính!$C$278:$V$322,$CD$6,$BL$15)))</f>
        <v/>
      </c>
      <c r="R22" s="43" t="str">
        <f>IF(OR($CD$6="",$BL$15=""),"",INDEX(Tính!$C$134:$V$178,$CD$6,INDEX(Tính!$C$278:$V$322,$CD$6,$BL$15)))</f>
        <v/>
      </c>
      <c r="S22" s="44" t="str">
        <f>IF($CD$6="","",IF($BK$15="C",INDEX(Tính!$Q$39:$Q$83,$CD$6)&amp;"/"&amp;$BK$1,IF($BK$15="V",INDEX(Tính!$R$39:$R$83,$CD$6)&amp;"/"&amp;$BL$1,IF($BL$15="","",INDEX(Tính!$C$182:$V$226,$CD$6,INDEX(Tính!$C$278:$V$322,$CD$6,$BL$15))))))</f>
        <v/>
      </c>
      <c r="BA22" t="str">
        <f>Tính!B22</f>
        <v/>
      </c>
      <c r="BB22" t="str">
        <f>Tính!D22</f>
        <v/>
      </c>
      <c r="BC22">
        <f>IF($AZ$1=0,Tính!$Z$22,CHOOSE($AZ$1,Tính!$G$22,Tính!$L$22,Tính!$Q$22,Tính!$V$22))</f>
        <v>0</v>
      </c>
      <c r="BD22">
        <f>IF($AZ$1=0,Tính!$Y$22,CHOOSE($AZ$1,Tính!$E$22,Tính!$J$22,Tính!$O$22,Tính!$T$22))</f>
        <v>0</v>
      </c>
      <c r="BE22">
        <f>IF($AZ$1=0,Tính!$AB$22,CHOOSE($AZ$1,Tính!$I$22,Tính!$N$22,Tính!$S$22,Tính!$X$22))</f>
        <v>0</v>
      </c>
      <c r="BF22">
        <f>IF($AZ$1=0,Tính!$AA$22,CHOOSE($AZ$1,Tính!$H$22,Tính!$M$22,Tính!$R$22,Tính!$W$22))</f>
        <v>0</v>
      </c>
      <c r="BG22">
        <f t="shared" si="0"/>
        <v>0</v>
      </c>
      <c r="BH22">
        <f t="shared" si="1"/>
        <v>0</v>
      </c>
      <c r="BI22">
        <f>IF(BA22="",-1,IF(BB22="Chính",1000,0)+BG22+(20-20)/100000)</f>
        <v>-1</v>
      </c>
      <c r="BJ22" t="str">
        <f>IF(LARGE($BI$3:$BI$22,20)&lt;0,"",MATCH(LARGE($BI$3:$BI$22,20),$BI$3:$BI$22,0))</f>
        <v/>
      </c>
      <c r="BK22" t="str">
        <f>IF(20=1,IF($BK$1&gt;0,"C",""),IF(20&lt;=$BK$1+1,"g",IF(20=$BK$1+2,IF($BL$1&gt;0,"V",""),IF(20&lt;=$BK$1+2+$BL$1,"g",""))))</f>
        <v/>
      </c>
      <c r="BL22" t="str">
        <f>IF(BK22="g",IF(20&lt;=$BK$1+1,20-1,20-2),"")</f>
        <v/>
      </c>
      <c r="CA22">
        <v>20</v>
      </c>
      <c r="CB22">
        <f>IF(Tính!B58="",0,IF(OR($AZ$1=0,Tính!D58=$AZ$1),1,0))</f>
        <v>0</v>
      </c>
      <c r="CC22">
        <f>IF(CB22=1,Tính!M58+1+(45-20)/1000000,-1)</f>
        <v>-1</v>
      </c>
      <c r="CD22" t="str">
        <f>IF(LARGE($CC$3:$CC$47,20)&lt;0,"",MATCH(LARGE($CC$3:$CC$47,20),$CC$3:$CC$47,0))</f>
        <v/>
      </c>
    </row>
    <row r="23" spans="1:82" x14ac:dyDescent="0.3">
      <c r="A23" s="42" t="str">
        <f>IF($CD$3="","",IF($BK$16="C","NHÓM CHÍNH",IF($BK$16="V","NHÓM VƯỢT TRỘI",IF($BL$16="","",INDEX($BA$3:$BA$22,INDEX(Tính!$C$278:$V$322,$CD$3,$BL$16))))))</f>
        <v/>
      </c>
      <c r="B23" s="43" t="str">
        <f>IF(OR($CD$3="",$BL$16=""),"",INDEX(Tính!$C$86:$V$130,$CD$3,INDEX(Tính!$C$278:$V$322,$CD$3,$BL$16)))</f>
        <v/>
      </c>
      <c r="C23" s="43" t="str">
        <f>IF(OR($CD$3="",$BL$16=""),"",INDEX(Tính!$C$134:$V$178,$CD$3,INDEX(Tính!$C$278:$V$322,$CD$3,$BL$16)))</f>
        <v/>
      </c>
      <c r="D23" s="44" t="str">
        <f>IF($CD$3="","",IF($BK$16="C",INDEX(Tính!$Q$39:$Q$83,$CD$3)&amp;"/"&amp;$BK$1,IF($BK$16="V",INDEX(Tính!$R$39:$R$83,$CD$3)&amp;"/"&amp;$BL$1,IF($BL$16="","",INDEX(Tính!$C$182:$V$226,$CD$3,INDEX(Tính!$C$278:$V$322,$CD$3,$BL$16))))))</f>
        <v/>
      </c>
      <c r="F23" s="42" t="str">
        <f>IF($CD$4="","",IF($BK$16="C","NHÓM CHÍNH",IF($BK$16="V","NHÓM VƯỢT TRỘI",IF($BL$16="","",INDEX($BA$3:$BA$22,INDEX(Tính!$C$278:$V$322,$CD$4,$BL$16))))))</f>
        <v/>
      </c>
      <c r="G23" s="43" t="str">
        <f>IF(OR($CD$4="",$BL$16=""),"",INDEX(Tính!$C$86:$V$130,$CD$4,INDEX(Tính!$C$278:$V$322,$CD$4,$BL$16)))</f>
        <v/>
      </c>
      <c r="H23" s="43" t="str">
        <f>IF(OR($CD$4="",$BL$16=""),"",INDEX(Tính!$C$134:$V$178,$CD$4,INDEX(Tính!$C$278:$V$322,$CD$4,$BL$16)))</f>
        <v/>
      </c>
      <c r="I23" s="44" t="str">
        <f>IF($CD$4="","",IF($BK$16="C",INDEX(Tính!$Q$39:$Q$83,$CD$4)&amp;"/"&amp;$BK$1,IF($BK$16="V",INDEX(Tính!$R$39:$R$83,$CD$4)&amp;"/"&amp;$BL$1,IF($BL$16="","",INDEX(Tính!$C$182:$V$226,$CD$4,INDEX(Tính!$C$278:$V$322,$CD$4,$BL$16))))))</f>
        <v/>
      </c>
      <c r="K23" s="42" t="str">
        <f>IF($CD$5="","",IF($BK$16="C","NHÓM CHÍNH",IF($BK$16="V","NHÓM VƯỢT TRỘI",IF($BL$16="","",INDEX($BA$3:$BA$22,INDEX(Tính!$C$278:$V$322,$CD$5,$BL$16))))))</f>
        <v/>
      </c>
      <c r="L23" s="43" t="str">
        <f>IF(OR($CD$5="",$BL$16=""),"",INDEX(Tính!$C$86:$V$130,$CD$5,INDEX(Tính!$C$278:$V$322,$CD$5,$BL$16)))</f>
        <v/>
      </c>
      <c r="M23" s="43" t="str">
        <f>IF(OR($CD$5="",$BL$16=""),"",INDEX(Tính!$C$134:$V$178,$CD$5,INDEX(Tính!$C$278:$V$322,$CD$5,$BL$16)))</f>
        <v/>
      </c>
      <c r="N23" s="44" t="str">
        <f>IF($CD$5="","",IF($BK$16="C",INDEX(Tính!$Q$39:$Q$83,$CD$5)&amp;"/"&amp;$BK$1,IF($BK$16="V",INDEX(Tính!$R$39:$R$83,$CD$5)&amp;"/"&amp;$BL$1,IF($BL$16="","",INDEX(Tính!$C$182:$V$226,$CD$5,INDEX(Tính!$C$278:$V$322,$CD$5,$BL$16))))))</f>
        <v/>
      </c>
      <c r="P23" s="42" t="str">
        <f>IF($CD$6="","",IF($BK$16="C","NHÓM CHÍNH",IF($BK$16="V","NHÓM VƯỢT TRỘI",IF($BL$16="","",INDEX($BA$3:$BA$22,INDEX(Tính!$C$278:$V$322,$CD$6,$BL$16))))))</f>
        <v/>
      </c>
      <c r="Q23" s="43" t="str">
        <f>IF(OR($CD$6="",$BL$16=""),"",INDEX(Tính!$C$86:$V$130,$CD$6,INDEX(Tính!$C$278:$V$322,$CD$6,$BL$16)))</f>
        <v/>
      </c>
      <c r="R23" s="43" t="str">
        <f>IF(OR($CD$6="",$BL$16=""),"",INDEX(Tính!$C$134:$V$178,$CD$6,INDEX(Tính!$C$278:$V$322,$CD$6,$BL$16)))</f>
        <v/>
      </c>
      <c r="S23" s="44" t="str">
        <f>IF($CD$6="","",IF($BK$16="C",INDEX(Tính!$Q$39:$Q$83,$CD$6)&amp;"/"&amp;$BK$1,IF($BK$16="V",INDEX(Tính!$R$39:$R$83,$CD$6)&amp;"/"&amp;$BL$1,IF($BL$16="","",INDEX(Tính!$C$182:$V$226,$CD$6,INDEX(Tính!$C$278:$V$322,$CD$6,$BL$16))))))</f>
        <v/>
      </c>
      <c r="BK23" t="str">
        <f>IF(21=1,IF($BK$1&gt;0,"C",""),IF(21&lt;=$BK$1+1,"g",IF(21=$BK$1+2,IF($BL$1&gt;0,"V",""),IF(21&lt;=$BK$1+2+$BL$1,"g",""))))</f>
        <v/>
      </c>
      <c r="BL23" t="str">
        <f>IF(BK23="g",IF(21&lt;=$BK$1+1,21-1,21-2),"")</f>
        <v/>
      </c>
      <c r="CA23">
        <v>21</v>
      </c>
      <c r="CB23">
        <f>IF(Tính!B59="",0,IF(OR($AZ$1=0,Tính!D59=$AZ$1),1,0))</f>
        <v>0</v>
      </c>
      <c r="CC23">
        <f>IF(CB23=1,Tính!M59+1+(45-21)/1000000,-1)</f>
        <v>-1</v>
      </c>
      <c r="CD23" t="str">
        <f>IF(LARGE($CC$3:$CC$47,21)&lt;0,"",MATCH(LARGE($CC$3:$CC$47,21),$CC$3:$CC$47,0))</f>
        <v/>
      </c>
    </row>
    <row r="24" spans="1:82" x14ac:dyDescent="0.3">
      <c r="A24" s="42" t="str">
        <f>IF($CD$3="","",IF($BK$17="C","NHÓM CHÍNH",IF($BK$17="V","NHÓM VƯỢT TRỘI",IF($BL$17="","",INDEX($BA$3:$BA$22,INDEX(Tính!$C$278:$V$322,$CD$3,$BL$17))))))</f>
        <v/>
      </c>
      <c r="B24" s="43" t="str">
        <f>IF(OR($CD$3="",$BL$17=""),"",INDEX(Tính!$C$86:$V$130,$CD$3,INDEX(Tính!$C$278:$V$322,$CD$3,$BL$17)))</f>
        <v/>
      </c>
      <c r="C24" s="43" t="str">
        <f>IF(OR($CD$3="",$BL$17=""),"",INDEX(Tính!$C$134:$V$178,$CD$3,INDEX(Tính!$C$278:$V$322,$CD$3,$BL$17)))</f>
        <v/>
      </c>
      <c r="D24" s="44" t="str">
        <f>IF($CD$3="","",IF($BK$17="C",INDEX(Tính!$Q$39:$Q$83,$CD$3)&amp;"/"&amp;$BK$1,IF($BK$17="V",INDEX(Tính!$R$39:$R$83,$CD$3)&amp;"/"&amp;$BL$1,IF($BL$17="","",INDEX(Tính!$C$182:$V$226,$CD$3,INDEX(Tính!$C$278:$V$322,$CD$3,$BL$17))))))</f>
        <v/>
      </c>
      <c r="F24" s="42" t="str">
        <f>IF($CD$4="","",IF($BK$17="C","NHÓM CHÍNH",IF($BK$17="V","NHÓM VƯỢT TRỘI",IF($BL$17="","",INDEX($BA$3:$BA$22,INDEX(Tính!$C$278:$V$322,$CD$4,$BL$17))))))</f>
        <v/>
      </c>
      <c r="G24" s="43" t="str">
        <f>IF(OR($CD$4="",$BL$17=""),"",INDEX(Tính!$C$86:$V$130,$CD$4,INDEX(Tính!$C$278:$V$322,$CD$4,$BL$17)))</f>
        <v/>
      </c>
      <c r="H24" s="43" t="str">
        <f>IF(OR($CD$4="",$BL$17=""),"",INDEX(Tính!$C$134:$V$178,$CD$4,INDEX(Tính!$C$278:$V$322,$CD$4,$BL$17)))</f>
        <v/>
      </c>
      <c r="I24" s="44" t="str">
        <f>IF($CD$4="","",IF($BK$17="C",INDEX(Tính!$Q$39:$Q$83,$CD$4)&amp;"/"&amp;$BK$1,IF($BK$17="V",INDEX(Tính!$R$39:$R$83,$CD$4)&amp;"/"&amp;$BL$1,IF($BL$17="","",INDEX(Tính!$C$182:$V$226,$CD$4,INDEX(Tính!$C$278:$V$322,$CD$4,$BL$17))))))</f>
        <v/>
      </c>
      <c r="K24" s="42" t="str">
        <f>IF($CD$5="","",IF($BK$17="C","NHÓM CHÍNH",IF($BK$17="V","NHÓM VƯỢT TRỘI",IF($BL$17="","",INDEX($BA$3:$BA$22,INDEX(Tính!$C$278:$V$322,$CD$5,$BL$17))))))</f>
        <v/>
      </c>
      <c r="L24" s="43" t="str">
        <f>IF(OR($CD$5="",$BL$17=""),"",INDEX(Tính!$C$86:$V$130,$CD$5,INDEX(Tính!$C$278:$V$322,$CD$5,$BL$17)))</f>
        <v/>
      </c>
      <c r="M24" s="43" t="str">
        <f>IF(OR($CD$5="",$BL$17=""),"",INDEX(Tính!$C$134:$V$178,$CD$5,INDEX(Tính!$C$278:$V$322,$CD$5,$BL$17)))</f>
        <v/>
      </c>
      <c r="N24" s="44" t="str">
        <f>IF($CD$5="","",IF($BK$17="C",INDEX(Tính!$Q$39:$Q$83,$CD$5)&amp;"/"&amp;$BK$1,IF($BK$17="V",INDEX(Tính!$R$39:$R$83,$CD$5)&amp;"/"&amp;$BL$1,IF($BL$17="","",INDEX(Tính!$C$182:$V$226,$CD$5,INDEX(Tính!$C$278:$V$322,$CD$5,$BL$17))))))</f>
        <v/>
      </c>
      <c r="P24" s="42" t="str">
        <f>IF($CD$6="","",IF($BK$17="C","NHÓM CHÍNH",IF($BK$17="V","NHÓM VƯỢT TRỘI",IF($BL$17="","",INDEX($BA$3:$BA$22,INDEX(Tính!$C$278:$V$322,$CD$6,$BL$17))))))</f>
        <v/>
      </c>
      <c r="Q24" s="43" t="str">
        <f>IF(OR($CD$6="",$BL$17=""),"",INDEX(Tính!$C$86:$V$130,$CD$6,INDEX(Tính!$C$278:$V$322,$CD$6,$BL$17)))</f>
        <v/>
      </c>
      <c r="R24" s="43" t="str">
        <f>IF(OR($CD$6="",$BL$17=""),"",INDEX(Tính!$C$134:$V$178,$CD$6,INDEX(Tính!$C$278:$V$322,$CD$6,$BL$17)))</f>
        <v/>
      </c>
      <c r="S24" s="44" t="str">
        <f>IF($CD$6="","",IF($BK$17="C",INDEX(Tính!$Q$39:$Q$83,$CD$6)&amp;"/"&amp;$BK$1,IF($BK$17="V",INDEX(Tính!$R$39:$R$83,$CD$6)&amp;"/"&amp;$BL$1,IF($BL$17="","",INDEX(Tính!$C$182:$V$226,$CD$6,INDEX(Tính!$C$278:$V$322,$CD$6,$BL$17))))))</f>
        <v/>
      </c>
      <c r="BK24" t="str">
        <f>IF(22=1,IF($BK$1&gt;0,"C",""),IF(22&lt;=$BK$1+1,"g",IF(22=$BK$1+2,IF($BL$1&gt;0,"V",""),IF(22&lt;=$BK$1+2+$BL$1,"g",""))))</f>
        <v/>
      </c>
      <c r="BL24" t="str">
        <f>IF(BK24="g",IF(22&lt;=$BK$1+1,22-1,22-2),"")</f>
        <v/>
      </c>
      <c r="CA24">
        <v>22</v>
      </c>
      <c r="CB24">
        <f>IF(Tính!B60="",0,IF(OR($AZ$1=0,Tính!D60=$AZ$1),1,0))</f>
        <v>0</v>
      </c>
      <c r="CC24">
        <f>IF(CB24=1,Tính!M60+1+(45-22)/1000000,-1)</f>
        <v>-1</v>
      </c>
      <c r="CD24" t="str">
        <f>IF(LARGE($CC$3:$CC$47,22)&lt;0,"",MATCH(LARGE($CC$3:$CC$47,22),$CC$3:$CC$47,0))</f>
        <v/>
      </c>
    </row>
    <row r="25" spans="1:82" x14ac:dyDescent="0.3">
      <c r="A25" s="42" t="str">
        <f>IF($CD$3="","",IF($BK$18="C","NHÓM CHÍNH",IF($BK$18="V","NHÓM VƯỢT TRỘI",IF($BL$18="","",INDEX($BA$3:$BA$22,INDEX(Tính!$C$278:$V$322,$CD$3,$BL$18))))))</f>
        <v/>
      </c>
      <c r="B25" s="43" t="str">
        <f>IF(OR($CD$3="",$BL$18=""),"",INDEX(Tính!$C$86:$V$130,$CD$3,INDEX(Tính!$C$278:$V$322,$CD$3,$BL$18)))</f>
        <v/>
      </c>
      <c r="C25" s="43" t="str">
        <f>IF(OR($CD$3="",$BL$18=""),"",INDEX(Tính!$C$134:$V$178,$CD$3,INDEX(Tính!$C$278:$V$322,$CD$3,$BL$18)))</f>
        <v/>
      </c>
      <c r="D25" s="44" t="str">
        <f>IF($CD$3="","",IF($BK$18="C",INDEX(Tính!$Q$39:$Q$83,$CD$3)&amp;"/"&amp;$BK$1,IF($BK$18="V",INDEX(Tính!$R$39:$R$83,$CD$3)&amp;"/"&amp;$BL$1,IF($BL$18="","",INDEX(Tính!$C$182:$V$226,$CD$3,INDEX(Tính!$C$278:$V$322,$CD$3,$BL$18))))))</f>
        <v/>
      </c>
      <c r="F25" s="42" t="str">
        <f>IF($CD$4="","",IF($BK$18="C","NHÓM CHÍNH",IF($BK$18="V","NHÓM VƯỢT TRỘI",IF($BL$18="","",INDEX($BA$3:$BA$22,INDEX(Tính!$C$278:$V$322,$CD$4,$BL$18))))))</f>
        <v/>
      </c>
      <c r="G25" s="43" t="str">
        <f>IF(OR($CD$4="",$BL$18=""),"",INDEX(Tính!$C$86:$V$130,$CD$4,INDEX(Tính!$C$278:$V$322,$CD$4,$BL$18)))</f>
        <v/>
      </c>
      <c r="H25" s="43" t="str">
        <f>IF(OR($CD$4="",$BL$18=""),"",INDEX(Tính!$C$134:$V$178,$CD$4,INDEX(Tính!$C$278:$V$322,$CD$4,$BL$18)))</f>
        <v/>
      </c>
      <c r="I25" s="44" t="str">
        <f>IF($CD$4="","",IF($BK$18="C",INDEX(Tính!$Q$39:$Q$83,$CD$4)&amp;"/"&amp;$BK$1,IF($BK$18="V",INDEX(Tính!$R$39:$R$83,$CD$4)&amp;"/"&amp;$BL$1,IF($BL$18="","",INDEX(Tính!$C$182:$V$226,$CD$4,INDEX(Tính!$C$278:$V$322,$CD$4,$BL$18))))))</f>
        <v/>
      </c>
      <c r="K25" s="42" t="str">
        <f>IF($CD$5="","",IF($BK$18="C","NHÓM CHÍNH",IF($BK$18="V","NHÓM VƯỢT TRỘI",IF($BL$18="","",INDEX($BA$3:$BA$22,INDEX(Tính!$C$278:$V$322,$CD$5,$BL$18))))))</f>
        <v/>
      </c>
      <c r="L25" s="43" t="str">
        <f>IF(OR($CD$5="",$BL$18=""),"",INDEX(Tính!$C$86:$V$130,$CD$5,INDEX(Tính!$C$278:$V$322,$CD$5,$BL$18)))</f>
        <v/>
      </c>
      <c r="M25" s="43" t="str">
        <f>IF(OR($CD$5="",$BL$18=""),"",INDEX(Tính!$C$134:$V$178,$CD$5,INDEX(Tính!$C$278:$V$322,$CD$5,$BL$18)))</f>
        <v/>
      </c>
      <c r="N25" s="44" t="str">
        <f>IF($CD$5="","",IF($BK$18="C",INDEX(Tính!$Q$39:$Q$83,$CD$5)&amp;"/"&amp;$BK$1,IF($BK$18="V",INDEX(Tính!$R$39:$R$83,$CD$5)&amp;"/"&amp;$BL$1,IF($BL$18="","",INDEX(Tính!$C$182:$V$226,$CD$5,INDEX(Tính!$C$278:$V$322,$CD$5,$BL$18))))))</f>
        <v/>
      </c>
      <c r="P25" s="42" t="str">
        <f>IF($CD$6="","",IF($BK$18="C","NHÓM CHÍNH",IF($BK$18="V","NHÓM VƯỢT TRỘI",IF($BL$18="","",INDEX($BA$3:$BA$22,INDEX(Tính!$C$278:$V$322,$CD$6,$BL$18))))))</f>
        <v/>
      </c>
      <c r="Q25" s="43" t="str">
        <f>IF(OR($CD$6="",$BL$18=""),"",INDEX(Tính!$C$86:$V$130,$CD$6,INDEX(Tính!$C$278:$V$322,$CD$6,$BL$18)))</f>
        <v/>
      </c>
      <c r="R25" s="43" t="str">
        <f>IF(OR($CD$6="",$BL$18=""),"",INDEX(Tính!$C$134:$V$178,$CD$6,INDEX(Tính!$C$278:$V$322,$CD$6,$BL$18)))</f>
        <v/>
      </c>
      <c r="S25" s="44" t="str">
        <f>IF($CD$6="","",IF($BK$18="C",INDEX(Tính!$Q$39:$Q$83,$CD$6)&amp;"/"&amp;$BK$1,IF($BK$18="V",INDEX(Tính!$R$39:$R$83,$CD$6)&amp;"/"&amp;$BL$1,IF($BL$18="","",INDEX(Tính!$C$182:$V$226,$CD$6,INDEX(Tính!$C$278:$V$322,$CD$6,$BL$18))))))</f>
        <v/>
      </c>
      <c r="CA25">
        <v>23</v>
      </c>
      <c r="CB25">
        <f>IF(Tính!B61="",0,IF(OR($AZ$1=0,Tính!D61=$AZ$1),1,0))</f>
        <v>0</v>
      </c>
      <c r="CC25">
        <f>IF(CB25=1,Tính!M61+1+(45-23)/1000000,-1)</f>
        <v>-1</v>
      </c>
      <c r="CD25" t="str">
        <f>IF(LARGE($CC$3:$CC$47,23)&lt;0,"",MATCH(LARGE($CC$3:$CC$47,23),$CC$3:$CC$47,0))</f>
        <v/>
      </c>
    </row>
    <row r="26" spans="1:82" x14ac:dyDescent="0.3">
      <c r="A26" s="42" t="str">
        <f>IF($CD$3="","",IF($BK$19="C","NHÓM CHÍNH",IF($BK$19="V","NHÓM VƯỢT TRỘI",IF($BL$19="","",INDEX($BA$3:$BA$22,INDEX(Tính!$C$278:$V$322,$CD$3,$BL$19))))))</f>
        <v/>
      </c>
      <c r="B26" s="43" t="str">
        <f>IF(OR($CD$3="",$BL$19=""),"",INDEX(Tính!$C$86:$V$130,$CD$3,INDEX(Tính!$C$278:$V$322,$CD$3,$BL$19)))</f>
        <v/>
      </c>
      <c r="C26" s="43" t="str">
        <f>IF(OR($CD$3="",$BL$19=""),"",INDEX(Tính!$C$134:$V$178,$CD$3,INDEX(Tính!$C$278:$V$322,$CD$3,$BL$19)))</f>
        <v/>
      </c>
      <c r="D26" s="44" t="str">
        <f>IF($CD$3="","",IF($BK$19="C",INDEX(Tính!$Q$39:$Q$83,$CD$3)&amp;"/"&amp;$BK$1,IF($BK$19="V",INDEX(Tính!$R$39:$R$83,$CD$3)&amp;"/"&amp;$BL$1,IF($BL$19="","",INDEX(Tính!$C$182:$V$226,$CD$3,INDEX(Tính!$C$278:$V$322,$CD$3,$BL$19))))))</f>
        <v/>
      </c>
      <c r="F26" s="42" t="str">
        <f>IF($CD$4="","",IF($BK$19="C","NHÓM CHÍNH",IF($BK$19="V","NHÓM VƯỢT TRỘI",IF($BL$19="","",INDEX($BA$3:$BA$22,INDEX(Tính!$C$278:$V$322,$CD$4,$BL$19))))))</f>
        <v/>
      </c>
      <c r="G26" s="43" t="str">
        <f>IF(OR($CD$4="",$BL$19=""),"",INDEX(Tính!$C$86:$V$130,$CD$4,INDEX(Tính!$C$278:$V$322,$CD$4,$BL$19)))</f>
        <v/>
      </c>
      <c r="H26" s="43" t="str">
        <f>IF(OR($CD$4="",$BL$19=""),"",INDEX(Tính!$C$134:$V$178,$CD$4,INDEX(Tính!$C$278:$V$322,$CD$4,$BL$19)))</f>
        <v/>
      </c>
      <c r="I26" s="44" t="str">
        <f>IF($CD$4="","",IF($BK$19="C",INDEX(Tính!$Q$39:$Q$83,$CD$4)&amp;"/"&amp;$BK$1,IF($BK$19="V",INDEX(Tính!$R$39:$R$83,$CD$4)&amp;"/"&amp;$BL$1,IF($BL$19="","",INDEX(Tính!$C$182:$V$226,$CD$4,INDEX(Tính!$C$278:$V$322,$CD$4,$BL$19))))))</f>
        <v/>
      </c>
      <c r="K26" s="42" t="str">
        <f>IF($CD$5="","",IF($BK$19="C","NHÓM CHÍNH",IF($BK$19="V","NHÓM VƯỢT TRỘI",IF($BL$19="","",INDEX($BA$3:$BA$22,INDEX(Tính!$C$278:$V$322,$CD$5,$BL$19))))))</f>
        <v/>
      </c>
      <c r="L26" s="43" t="str">
        <f>IF(OR($CD$5="",$BL$19=""),"",INDEX(Tính!$C$86:$V$130,$CD$5,INDEX(Tính!$C$278:$V$322,$CD$5,$BL$19)))</f>
        <v/>
      </c>
      <c r="M26" s="43" t="str">
        <f>IF(OR($CD$5="",$BL$19=""),"",INDEX(Tính!$C$134:$V$178,$CD$5,INDEX(Tính!$C$278:$V$322,$CD$5,$BL$19)))</f>
        <v/>
      </c>
      <c r="N26" s="44" t="str">
        <f>IF($CD$5="","",IF($BK$19="C",INDEX(Tính!$Q$39:$Q$83,$CD$5)&amp;"/"&amp;$BK$1,IF($BK$19="V",INDEX(Tính!$R$39:$R$83,$CD$5)&amp;"/"&amp;$BL$1,IF($BL$19="","",INDEX(Tính!$C$182:$V$226,$CD$5,INDEX(Tính!$C$278:$V$322,$CD$5,$BL$19))))))</f>
        <v/>
      </c>
      <c r="P26" s="42" t="str">
        <f>IF($CD$6="","",IF($BK$19="C","NHÓM CHÍNH",IF($BK$19="V","NHÓM VƯỢT TRỘI",IF($BL$19="","",INDEX($BA$3:$BA$22,INDEX(Tính!$C$278:$V$322,$CD$6,$BL$19))))))</f>
        <v/>
      </c>
      <c r="Q26" s="43" t="str">
        <f>IF(OR($CD$6="",$BL$19=""),"",INDEX(Tính!$C$86:$V$130,$CD$6,INDEX(Tính!$C$278:$V$322,$CD$6,$BL$19)))</f>
        <v/>
      </c>
      <c r="R26" s="43" t="str">
        <f>IF(OR($CD$6="",$BL$19=""),"",INDEX(Tính!$C$134:$V$178,$CD$6,INDEX(Tính!$C$278:$V$322,$CD$6,$BL$19)))</f>
        <v/>
      </c>
      <c r="S26" s="44" t="str">
        <f>IF($CD$6="","",IF($BK$19="C",INDEX(Tính!$Q$39:$Q$83,$CD$6)&amp;"/"&amp;$BK$1,IF($BK$19="V",INDEX(Tính!$R$39:$R$83,$CD$6)&amp;"/"&amp;$BL$1,IF($BL$19="","",INDEX(Tính!$C$182:$V$226,$CD$6,INDEX(Tính!$C$278:$V$322,$CD$6,$BL$19))))))</f>
        <v/>
      </c>
      <c r="CA26">
        <v>24</v>
      </c>
      <c r="CB26">
        <f>IF(Tính!B62="",0,IF(OR($AZ$1=0,Tính!D62=$AZ$1),1,0))</f>
        <v>0</v>
      </c>
      <c r="CC26">
        <f>IF(CB26=1,Tính!M62+1+(45-24)/1000000,-1)</f>
        <v>-1</v>
      </c>
      <c r="CD26" t="str">
        <f>IF(LARGE($CC$3:$CC$47,24)&lt;0,"",MATCH(LARGE($CC$3:$CC$47,24),$CC$3:$CC$47,0))</f>
        <v/>
      </c>
    </row>
    <row r="27" spans="1:82" x14ac:dyDescent="0.3">
      <c r="A27" s="42" t="str">
        <f>IF($CD$3="","",IF($BK$20="C","NHÓM CHÍNH",IF($BK$20="V","NHÓM VƯỢT TRỘI",IF($BL$20="","",INDEX($BA$3:$BA$22,INDEX(Tính!$C$278:$V$322,$CD$3,$BL$20))))))</f>
        <v/>
      </c>
      <c r="B27" s="43" t="str">
        <f>IF(OR($CD$3="",$BL$20=""),"",INDEX(Tính!$C$86:$V$130,$CD$3,INDEX(Tính!$C$278:$V$322,$CD$3,$BL$20)))</f>
        <v/>
      </c>
      <c r="C27" s="43" t="str">
        <f>IF(OR($CD$3="",$BL$20=""),"",INDEX(Tính!$C$134:$V$178,$CD$3,INDEX(Tính!$C$278:$V$322,$CD$3,$BL$20)))</f>
        <v/>
      </c>
      <c r="D27" s="44" t="str">
        <f>IF($CD$3="","",IF($BK$20="C",INDEX(Tính!$Q$39:$Q$83,$CD$3)&amp;"/"&amp;$BK$1,IF($BK$20="V",INDEX(Tính!$R$39:$R$83,$CD$3)&amp;"/"&amp;$BL$1,IF($BL$20="","",INDEX(Tính!$C$182:$V$226,$CD$3,INDEX(Tính!$C$278:$V$322,$CD$3,$BL$20))))))</f>
        <v/>
      </c>
      <c r="F27" s="42" t="str">
        <f>IF($CD$4="","",IF($BK$20="C","NHÓM CHÍNH",IF($BK$20="V","NHÓM VƯỢT TRỘI",IF($BL$20="","",INDEX($BA$3:$BA$22,INDEX(Tính!$C$278:$V$322,$CD$4,$BL$20))))))</f>
        <v/>
      </c>
      <c r="G27" s="43" t="str">
        <f>IF(OR($CD$4="",$BL$20=""),"",INDEX(Tính!$C$86:$V$130,$CD$4,INDEX(Tính!$C$278:$V$322,$CD$4,$BL$20)))</f>
        <v/>
      </c>
      <c r="H27" s="43" t="str">
        <f>IF(OR($CD$4="",$BL$20=""),"",INDEX(Tính!$C$134:$V$178,$CD$4,INDEX(Tính!$C$278:$V$322,$CD$4,$BL$20)))</f>
        <v/>
      </c>
      <c r="I27" s="44" t="str">
        <f>IF($CD$4="","",IF($BK$20="C",INDEX(Tính!$Q$39:$Q$83,$CD$4)&amp;"/"&amp;$BK$1,IF($BK$20="V",INDEX(Tính!$R$39:$R$83,$CD$4)&amp;"/"&amp;$BL$1,IF($BL$20="","",INDEX(Tính!$C$182:$V$226,$CD$4,INDEX(Tính!$C$278:$V$322,$CD$4,$BL$20))))))</f>
        <v/>
      </c>
      <c r="K27" s="42" t="str">
        <f>IF($CD$5="","",IF($BK$20="C","NHÓM CHÍNH",IF($BK$20="V","NHÓM VƯỢT TRỘI",IF($BL$20="","",INDEX($BA$3:$BA$22,INDEX(Tính!$C$278:$V$322,$CD$5,$BL$20))))))</f>
        <v/>
      </c>
      <c r="L27" s="43" t="str">
        <f>IF(OR($CD$5="",$BL$20=""),"",INDEX(Tính!$C$86:$V$130,$CD$5,INDEX(Tính!$C$278:$V$322,$CD$5,$BL$20)))</f>
        <v/>
      </c>
      <c r="M27" s="43" t="str">
        <f>IF(OR($CD$5="",$BL$20=""),"",INDEX(Tính!$C$134:$V$178,$CD$5,INDEX(Tính!$C$278:$V$322,$CD$5,$BL$20)))</f>
        <v/>
      </c>
      <c r="N27" s="44" t="str">
        <f>IF($CD$5="","",IF($BK$20="C",INDEX(Tính!$Q$39:$Q$83,$CD$5)&amp;"/"&amp;$BK$1,IF($BK$20="V",INDEX(Tính!$R$39:$R$83,$CD$5)&amp;"/"&amp;$BL$1,IF($BL$20="","",INDEX(Tính!$C$182:$V$226,$CD$5,INDEX(Tính!$C$278:$V$322,$CD$5,$BL$20))))))</f>
        <v/>
      </c>
      <c r="P27" s="42" t="str">
        <f>IF($CD$6="","",IF($BK$20="C","NHÓM CHÍNH",IF($BK$20="V","NHÓM VƯỢT TRỘI",IF($BL$20="","",INDEX($BA$3:$BA$22,INDEX(Tính!$C$278:$V$322,$CD$6,$BL$20))))))</f>
        <v/>
      </c>
      <c r="Q27" s="43" t="str">
        <f>IF(OR($CD$6="",$BL$20=""),"",INDEX(Tính!$C$86:$V$130,$CD$6,INDEX(Tính!$C$278:$V$322,$CD$6,$BL$20)))</f>
        <v/>
      </c>
      <c r="R27" s="43" t="str">
        <f>IF(OR($CD$6="",$BL$20=""),"",INDEX(Tính!$C$134:$V$178,$CD$6,INDEX(Tính!$C$278:$V$322,$CD$6,$BL$20)))</f>
        <v/>
      </c>
      <c r="S27" s="44" t="str">
        <f>IF($CD$6="","",IF($BK$20="C",INDEX(Tính!$Q$39:$Q$83,$CD$6)&amp;"/"&amp;$BK$1,IF($BK$20="V",INDEX(Tính!$R$39:$R$83,$CD$6)&amp;"/"&amp;$BL$1,IF($BL$20="","",INDEX(Tính!$C$182:$V$226,$CD$6,INDEX(Tính!$C$278:$V$322,$CD$6,$BL$20))))))</f>
        <v/>
      </c>
      <c r="CA27">
        <v>25</v>
      </c>
      <c r="CB27">
        <f>IF(Tính!B63="",0,IF(OR($AZ$1=0,Tính!D63=$AZ$1),1,0))</f>
        <v>0</v>
      </c>
      <c r="CC27">
        <f>IF(CB27=1,Tính!M63+1+(45-25)/1000000,-1)</f>
        <v>-1</v>
      </c>
      <c r="CD27" t="str">
        <f>IF(LARGE($CC$3:$CC$47,25)&lt;0,"",MATCH(LARGE($CC$3:$CC$47,25),$CC$3:$CC$47,0))</f>
        <v/>
      </c>
    </row>
    <row r="28" spans="1:82" x14ac:dyDescent="0.3">
      <c r="A28" s="42" t="str">
        <f>IF($CD$3="","",IF($BK$21="C","NHÓM CHÍNH",IF($BK$21="V","NHÓM VƯỢT TRỘI",IF($BL$21="","",INDEX($BA$3:$BA$22,INDEX(Tính!$C$278:$V$322,$CD$3,$BL$21))))))</f>
        <v/>
      </c>
      <c r="B28" s="43" t="str">
        <f>IF(OR($CD$3="",$BL$21=""),"",INDEX(Tính!$C$86:$V$130,$CD$3,INDEX(Tính!$C$278:$V$322,$CD$3,$BL$21)))</f>
        <v/>
      </c>
      <c r="C28" s="43" t="str">
        <f>IF(OR($CD$3="",$BL$21=""),"",INDEX(Tính!$C$134:$V$178,$CD$3,INDEX(Tính!$C$278:$V$322,$CD$3,$BL$21)))</f>
        <v/>
      </c>
      <c r="D28" s="44" t="str">
        <f>IF($CD$3="","",IF($BK$21="C",INDEX(Tính!$Q$39:$Q$83,$CD$3)&amp;"/"&amp;$BK$1,IF($BK$21="V",INDEX(Tính!$R$39:$R$83,$CD$3)&amp;"/"&amp;$BL$1,IF($BL$21="","",INDEX(Tính!$C$182:$V$226,$CD$3,INDEX(Tính!$C$278:$V$322,$CD$3,$BL$21))))))</f>
        <v/>
      </c>
      <c r="F28" s="42" t="str">
        <f>IF($CD$4="","",IF($BK$21="C","NHÓM CHÍNH",IF($BK$21="V","NHÓM VƯỢT TRỘI",IF($BL$21="","",INDEX($BA$3:$BA$22,INDEX(Tính!$C$278:$V$322,$CD$4,$BL$21))))))</f>
        <v/>
      </c>
      <c r="G28" s="43" t="str">
        <f>IF(OR($CD$4="",$BL$21=""),"",INDEX(Tính!$C$86:$V$130,$CD$4,INDEX(Tính!$C$278:$V$322,$CD$4,$BL$21)))</f>
        <v/>
      </c>
      <c r="H28" s="43" t="str">
        <f>IF(OR($CD$4="",$BL$21=""),"",INDEX(Tính!$C$134:$V$178,$CD$4,INDEX(Tính!$C$278:$V$322,$CD$4,$BL$21)))</f>
        <v/>
      </c>
      <c r="I28" s="44" t="str">
        <f>IF($CD$4="","",IF($BK$21="C",INDEX(Tính!$Q$39:$Q$83,$CD$4)&amp;"/"&amp;$BK$1,IF($BK$21="V",INDEX(Tính!$R$39:$R$83,$CD$4)&amp;"/"&amp;$BL$1,IF($BL$21="","",INDEX(Tính!$C$182:$V$226,$CD$4,INDEX(Tính!$C$278:$V$322,$CD$4,$BL$21))))))</f>
        <v/>
      </c>
      <c r="K28" s="42" t="str">
        <f>IF($CD$5="","",IF($BK$21="C","NHÓM CHÍNH",IF($BK$21="V","NHÓM VƯỢT TRỘI",IF($BL$21="","",INDEX($BA$3:$BA$22,INDEX(Tính!$C$278:$V$322,$CD$5,$BL$21))))))</f>
        <v/>
      </c>
      <c r="L28" s="43" t="str">
        <f>IF(OR($CD$5="",$BL$21=""),"",INDEX(Tính!$C$86:$V$130,$CD$5,INDEX(Tính!$C$278:$V$322,$CD$5,$BL$21)))</f>
        <v/>
      </c>
      <c r="M28" s="43" t="str">
        <f>IF(OR($CD$5="",$BL$21=""),"",INDEX(Tính!$C$134:$V$178,$CD$5,INDEX(Tính!$C$278:$V$322,$CD$5,$BL$21)))</f>
        <v/>
      </c>
      <c r="N28" s="44" t="str">
        <f>IF($CD$5="","",IF($BK$21="C",INDEX(Tính!$Q$39:$Q$83,$CD$5)&amp;"/"&amp;$BK$1,IF($BK$21="V",INDEX(Tính!$R$39:$R$83,$CD$5)&amp;"/"&amp;$BL$1,IF($BL$21="","",INDEX(Tính!$C$182:$V$226,$CD$5,INDEX(Tính!$C$278:$V$322,$CD$5,$BL$21))))))</f>
        <v/>
      </c>
      <c r="P28" s="42" t="str">
        <f>IF($CD$6="","",IF($BK$21="C","NHÓM CHÍNH",IF($BK$21="V","NHÓM VƯỢT TRỘI",IF($BL$21="","",INDEX($BA$3:$BA$22,INDEX(Tính!$C$278:$V$322,$CD$6,$BL$21))))))</f>
        <v/>
      </c>
      <c r="Q28" s="43" t="str">
        <f>IF(OR($CD$6="",$BL$21=""),"",INDEX(Tính!$C$86:$V$130,$CD$6,INDEX(Tính!$C$278:$V$322,$CD$6,$BL$21)))</f>
        <v/>
      </c>
      <c r="R28" s="43" t="str">
        <f>IF(OR($CD$6="",$BL$21=""),"",INDEX(Tính!$C$134:$V$178,$CD$6,INDEX(Tính!$C$278:$V$322,$CD$6,$BL$21)))</f>
        <v/>
      </c>
      <c r="S28" s="44" t="str">
        <f>IF($CD$6="","",IF($BK$21="C",INDEX(Tính!$Q$39:$Q$83,$CD$6)&amp;"/"&amp;$BK$1,IF($BK$21="V",INDEX(Tính!$R$39:$R$83,$CD$6)&amp;"/"&amp;$BL$1,IF($BL$21="","",INDEX(Tính!$C$182:$V$226,$CD$6,INDEX(Tính!$C$278:$V$322,$CD$6,$BL$21))))))</f>
        <v/>
      </c>
      <c r="CA28">
        <v>26</v>
      </c>
      <c r="CB28">
        <f>IF(Tính!B64="",0,IF(OR($AZ$1=0,Tính!D64=$AZ$1),1,0))</f>
        <v>0</v>
      </c>
      <c r="CC28">
        <f>IF(CB28=1,Tính!M64+1+(45-26)/1000000,-1)</f>
        <v>-1</v>
      </c>
      <c r="CD28" t="str">
        <f>IF(LARGE($CC$3:$CC$47,26)&lt;0,"",MATCH(LARGE($CC$3:$CC$47,26),$CC$3:$CC$47,0))</f>
        <v/>
      </c>
    </row>
    <row r="29" spans="1:82" x14ac:dyDescent="0.3">
      <c r="A29" s="42" t="str">
        <f>IF($CD$3="","",IF($BK$22="C","NHÓM CHÍNH",IF($BK$22="V","NHÓM VƯỢT TRỘI",IF($BL$22="","",INDEX($BA$3:$BA$22,INDEX(Tính!$C$278:$V$322,$CD$3,$BL$22))))))</f>
        <v/>
      </c>
      <c r="B29" s="43" t="str">
        <f>IF(OR($CD$3="",$BL$22=""),"",INDEX(Tính!$C$86:$V$130,$CD$3,INDEX(Tính!$C$278:$V$322,$CD$3,$BL$22)))</f>
        <v/>
      </c>
      <c r="C29" s="43" t="str">
        <f>IF(OR($CD$3="",$BL$22=""),"",INDEX(Tính!$C$134:$V$178,$CD$3,INDEX(Tính!$C$278:$V$322,$CD$3,$BL$22)))</f>
        <v/>
      </c>
      <c r="D29" s="44" t="str">
        <f>IF($CD$3="","",IF($BK$22="C",INDEX(Tính!$Q$39:$Q$83,$CD$3)&amp;"/"&amp;$BK$1,IF($BK$22="V",INDEX(Tính!$R$39:$R$83,$CD$3)&amp;"/"&amp;$BL$1,IF($BL$22="","",INDEX(Tính!$C$182:$V$226,$CD$3,INDEX(Tính!$C$278:$V$322,$CD$3,$BL$22))))))</f>
        <v/>
      </c>
      <c r="F29" s="42" t="str">
        <f>IF($CD$4="","",IF($BK$22="C","NHÓM CHÍNH",IF($BK$22="V","NHÓM VƯỢT TRỘI",IF($BL$22="","",INDEX($BA$3:$BA$22,INDEX(Tính!$C$278:$V$322,$CD$4,$BL$22))))))</f>
        <v/>
      </c>
      <c r="G29" s="43" t="str">
        <f>IF(OR($CD$4="",$BL$22=""),"",INDEX(Tính!$C$86:$V$130,$CD$4,INDEX(Tính!$C$278:$V$322,$CD$4,$BL$22)))</f>
        <v/>
      </c>
      <c r="H29" s="43" t="str">
        <f>IF(OR($CD$4="",$BL$22=""),"",INDEX(Tính!$C$134:$V$178,$CD$4,INDEX(Tính!$C$278:$V$322,$CD$4,$BL$22)))</f>
        <v/>
      </c>
      <c r="I29" s="44" t="str">
        <f>IF($CD$4="","",IF($BK$22="C",INDEX(Tính!$Q$39:$Q$83,$CD$4)&amp;"/"&amp;$BK$1,IF($BK$22="V",INDEX(Tính!$R$39:$R$83,$CD$4)&amp;"/"&amp;$BL$1,IF($BL$22="","",INDEX(Tính!$C$182:$V$226,$CD$4,INDEX(Tính!$C$278:$V$322,$CD$4,$BL$22))))))</f>
        <v/>
      </c>
      <c r="K29" s="42" t="str">
        <f>IF($CD$5="","",IF($BK$22="C","NHÓM CHÍNH",IF($BK$22="V","NHÓM VƯỢT TRỘI",IF($BL$22="","",INDEX($BA$3:$BA$22,INDEX(Tính!$C$278:$V$322,$CD$5,$BL$22))))))</f>
        <v/>
      </c>
      <c r="L29" s="43" t="str">
        <f>IF(OR($CD$5="",$BL$22=""),"",INDEX(Tính!$C$86:$V$130,$CD$5,INDEX(Tính!$C$278:$V$322,$CD$5,$BL$22)))</f>
        <v/>
      </c>
      <c r="M29" s="43" t="str">
        <f>IF(OR($CD$5="",$BL$22=""),"",INDEX(Tính!$C$134:$V$178,$CD$5,INDEX(Tính!$C$278:$V$322,$CD$5,$BL$22)))</f>
        <v/>
      </c>
      <c r="N29" s="44" t="str">
        <f>IF($CD$5="","",IF($BK$22="C",INDEX(Tính!$Q$39:$Q$83,$CD$5)&amp;"/"&amp;$BK$1,IF($BK$22="V",INDEX(Tính!$R$39:$R$83,$CD$5)&amp;"/"&amp;$BL$1,IF($BL$22="","",INDEX(Tính!$C$182:$V$226,$CD$5,INDEX(Tính!$C$278:$V$322,$CD$5,$BL$22))))))</f>
        <v/>
      </c>
      <c r="P29" s="42" t="str">
        <f>IF($CD$6="","",IF($BK$22="C","NHÓM CHÍNH",IF($BK$22="V","NHÓM VƯỢT TRỘI",IF($BL$22="","",INDEX($BA$3:$BA$22,INDEX(Tính!$C$278:$V$322,$CD$6,$BL$22))))))</f>
        <v/>
      </c>
      <c r="Q29" s="43" t="str">
        <f>IF(OR($CD$6="",$BL$22=""),"",INDEX(Tính!$C$86:$V$130,$CD$6,INDEX(Tính!$C$278:$V$322,$CD$6,$BL$22)))</f>
        <v/>
      </c>
      <c r="R29" s="43" t="str">
        <f>IF(OR($CD$6="",$BL$22=""),"",INDEX(Tính!$C$134:$V$178,$CD$6,INDEX(Tính!$C$278:$V$322,$CD$6,$BL$22)))</f>
        <v/>
      </c>
      <c r="S29" s="44" t="str">
        <f>IF($CD$6="","",IF($BK$22="C",INDEX(Tính!$Q$39:$Q$83,$CD$6)&amp;"/"&amp;$BK$1,IF($BK$22="V",INDEX(Tính!$R$39:$R$83,$CD$6)&amp;"/"&amp;$BL$1,IF($BL$22="","",INDEX(Tính!$C$182:$V$226,$CD$6,INDEX(Tính!$C$278:$V$322,$CD$6,$BL$22))))))</f>
        <v/>
      </c>
      <c r="CA29">
        <v>27</v>
      </c>
      <c r="CB29">
        <f>IF(Tính!B65="",0,IF(OR($AZ$1=0,Tính!D65=$AZ$1),1,0))</f>
        <v>0</v>
      </c>
      <c r="CC29">
        <f>IF(CB29=1,Tính!M65+1+(45-27)/1000000,-1)</f>
        <v>-1</v>
      </c>
      <c r="CD29" t="str">
        <f>IF(LARGE($CC$3:$CC$47,27)&lt;0,"",MATCH(LARGE($CC$3:$CC$47,27),$CC$3:$CC$47,0))</f>
        <v/>
      </c>
    </row>
    <row r="30" spans="1:82" x14ac:dyDescent="0.3">
      <c r="A30" s="42" t="str">
        <f>IF($CD$3="","",IF($BK$23="C","NHÓM CHÍNH",IF($BK$23="V","NHÓM VƯỢT TRỘI",IF($BL$23="","",INDEX($BA$3:$BA$22,INDEX(Tính!$C$278:$V$322,$CD$3,$BL$23))))))</f>
        <v/>
      </c>
      <c r="B30" s="43" t="str">
        <f>IF(OR($CD$3="",$BL$23=""),"",INDEX(Tính!$C$86:$V$130,$CD$3,INDEX(Tính!$C$278:$V$322,$CD$3,$BL$23)))</f>
        <v/>
      </c>
      <c r="C30" s="43" t="str">
        <f>IF(OR($CD$3="",$BL$23=""),"",INDEX(Tính!$C$134:$V$178,$CD$3,INDEX(Tính!$C$278:$V$322,$CD$3,$BL$23)))</f>
        <v/>
      </c>
      <c r="D30" s="44" t="str">
        <f>IF($CD$3="","",IF($BK$23="C",INDEX(Tính!$Q$39:$Q$83,$CD$3)&amp;"/"&amp;$BK$1,IF($BK$23="V",INDEX(Tính!$R$39:$R$83,$CD$3)&amp;"/"&amp;$BL$1,IF($BL$23="","",INDEX(Tính!$C$182:$V$226,$CD$3,INDEX(Tính!$C$278:$V$322,$CD$3,$BL$23))))))</f>
        <v/>
      </c>
      <c r="F30" s="42" t="str">
        <f>IF($CD$4="","",IF($BK$23="C","NHÓM CHÍNH",IF($BK$23="V","NHÓM VƯỢT TRỘI",IF($BL$23="","",INDEX($BA$3:$BA$22,INDEX(Tính!$C$278:$V$322,$CD$4,$BL$23))))))</f>
        <v/>
      </c>
      <c r="G30" s="43" t="str">
        <f>IF(OR($CD$4="",$BL$23=""),"",INDEX(Tính!$C$86:$V$130,$CD$4,INDEX(Tính!$C$278:$V$322,$CD$4,$BL$23)))</f>
        <v/>
      </c>
      <c r="H30" s="43" t="str">
        <f>IF(OR($CD$4="",$BL$23=""),"",INDEX(Tính!$C$134:$V$178,$CD$4,INDEX(Tính!$C$278:$V$322,$CD$4,$BL$23)))</f>
        <v/>
      </c>
      <c r="I30" s="44" t="str">
        <f>IF($CD$4="","",IF($BK$23="C",INDEX(Tính!$Q$39:$Q$83,$CD$4)&amp;"/"&amp;$BK$1,IF($BK$23="V",INDEX(Tính!$R$39:$R$83,$CD$4)&amp;"/"&amp;$BL$1,IF($BL$23="","",INDEX(Tính!$C$182:$V$226,$CD$4,INDEX(Tính!$C$278:$V$322,$CD$4,$BL$23))))))</f>
        <v/>
      </c>
      <c r="K30" s="42" t="str">
        <f>IF($CD$5="","",IF($BK$23="C","NHÓM CHÍNH",IF($BK$23="V","NHÓM VƯỢT TRỘI",IF($BL$23="","",INDEX($BA$3:$BA$22,INDEX(Tính!$C$278:$V$322,$CD$5,$BL$23))))))</f>
        <v/>
      </c>
      <c r="L30" s="43" t="str">
        <f>IF(OR($CD$5="",$BL$23=""),"",INDEX(Tính!$C$86:$V$130,$CD$5,INDEX(Tính!$C$278:$V$322,$CD$5,$BL$23)))</f>
        <v/>
      </c>
      <c r="M30" s="43" t="str">
        <f>IF(OR($CD$5="",$BL$23=""),"",INDEX(Tính!$C$134:$V$178,$CD$5,INDEX(Tính!$C$278:$V$322,$CD$5,$BL$23)))</f>
        <v/>
      </c>
      <c r="N30" s="44" t="str">
        <f>IF($CD$5="","",IF($BK$23="C",INDEX(Tính!$Q$39:$Q$83,$CD$5)&amp;"/"&amp;$BK$1,IF($BK$23="V",INDEX(Tính!$R$39:$R$83,$CD$5)&amp;"/"&amp;$BL$1,IF($BL$23="","",INDEX(Tính!$C$182:$V$226,$CD$5,INDEX(Tính!$C$278:$V$322,$CD$5,$BL$23))))))</f>
        <v/>
      </c>
      <c r="P30" s="42" t="str">
        <f>IF($CD$6="","",IF($BK$23="C","NHÓM CHÍNH",IF($BK$23="V","NHÓM VƯỢT TRỘI",IF($BL$23="","",INDEX($BA$3:$BA$22,INDEX(Tính!$C$278:$V$322,$CD$6,$BL$23))))))</f>
        <v/>
      </c>
      <c r="Q30" s="43" t="str">
        <f>IF(OR($CD$6="",$BL$23=""),"",INDEX(Tính!$C$86:$V$130,$CD$6,INDEX(Tính!$C$278:$V$322,$CD$6,$BL$23)))</f>
        <v/>
      </c>
      <c r="R30" s="43" t="str">
        <f>IF(OR($CD$6="",$BL$23=""),"",INDEX(Tính!$C$134:$V$178,$CD$6,INDEX(Tính!$C$278:$V$322,$CD$6,$BL$23)))</f>
        <v/>
      </c>
      <c r="S30" s="44" t="str">
        <f>IF($CD$6="","",IF($BK$23="C",INDEX(Tính!$Q$39:$Q$83,$CD$6)&amp;"/"&amp;$BK$1,IF($BK$23="V",INDEX(Tính!$R$39:$R$83,$CD$6)&amp;"/"&amp;$BL$1,IF($BL$23="","",INDEX(Tính!$C$182:$V$226,$CD$6,INDEX(Tính!$C$278:$V$322,$CD$6,$BL$23))))))</f>
        <v/>
      </c>
      <c r="CA30">
        <v>28</v>
      </c>
      <c r="CB30">
        <f>IF(Tính!B66="",0,IF(OR($AZ$1=0,Tính!D66=$AZ$1),1,0))</f>
        <v>0</v>
      </c>
      <c r="CC30">
        <f>IF(CB30=1,Tính!M66+1+(45-28)/1000000,-1)</f>
        <v>-1</v>
      </c>
      <c r="CD30" t="str">
        <f>IF(LARGE($CC$3:$CC$47,28)&lt;0,"",MATCH(LARGE($CC$3:$CC$47,28),$CC$3:$CC$47,0))</f>
        <v/>
      </c>
    </row>
    <row r="31" spans="1:82" x14ac:dyDescent="0.3">
      <c r="A31" s="42" t="str">
        <f>IF($CD$3="","",IF($BK$24="C","NHÓM CHÍNH",IF($BK$24="V","NHÓM VƯỢT TRỘI",IF($BL$24="","",INDEX($BA$3:$BA$22,INDEX(Tính!$C$278:$V$322,$CD$3,$BL$24))))))</f>
        <v/>
      </c>
      <c r="B31" s="43" t="str">
        <f>IF(OR($CD$3="",$BL$24=""),"",INDEX(Tính!$C$86:$V$130,$CD$3,INDEX(Tính!$C$278:$V$322,$CD$3,$BL$24)))</f>
        <v/>
      </c>
      <c r="C31" s="43" t="str">
        <f>IF(OR($CD$3="",$BL$24=""),"",INDEX(Tính!$C$134:$V$178,$CD$3,INDEX(Tính!$C$278:$V$322,$CD$3,$BL$24)))</f>
        <v/>
      </c>
      <c r="D31" s="44" t="str">
        <f>IF($CD$3="","",IF($BK$24="C",INDEX(Tính!$Q$39:$Q$83,$CD$3)&amp;"/"&amp;$BK$1,IF($BK$24="V",INDEX(Tính!$R$39:$R$83,$CD$3)&amp;"/"&amp;$BL$1,IF($BL$24="","",INDEX(Tính!$C$182:$V$226,$CD$3,INDEX(Tính!$C$278:$V$322,$CD$3,$BL$24))))))</f>
        <v/>
      </c>
      <c r="F31" s="42" t="str">
        <f>IF($CD$4="","",IF($BK$24="C","NHÓM CHÍNH",IF($BK$24="V","NHÓM VƯỢT TRỘI",IF($BL$24="","",INDEX($BA$3:$BA$22,INDEX(Tính!$C$278:$V$322,$CD$4,$BL$24))))))</f>
        <v/>
      </c>
      <c r="G31" s="43" t="str">
        <f>IF(OR($CD$4="",$BL$24=""),"",INDEX(Tính!$C$86:$V$130,$CD$4,INDEX(Tính!$C$278:$V$322,$CD$4,$BL$24)))</f>
        <v/>
      </c>
      <c r="H31" s="43" t="str">
        <f>IF(OR($CD$4="",$BL$24=""),"",INDEX(Tính!$C$134:$V$178,$CD$4,INDEX(Tính!$C$278:$V$322,$CD$4,$BL$24)))</f>
        <v/>
      </c>
      <c r="I31" s="44" t="str">
        <f>IF($CD$4="","",IF($BK$24="C",INDEX(Tính!$Q$39:$Q$83,$CD$4)&amp;"/"&amp;$BK$1,IF($BK$24="V",INDEX(Tính!$R$39:$R$83,$CD$4)&amp;"/"&amp;$BL$1,IF($BL$24="","",INDEX(Tính!$C$182:$V$226,$CD$4,INDEX(Tính!$C$278:$V$322,$CD$4,$BL$24))))))</f>
        <v/>
      </c>
      <c r="K31" s="42" t="str">
        <f>IF($CD$5="","",IF($BK$24="C","NHÓM CHÍNH",IF($BK$24="V","NHÓM VƯỢT TRỘI",IF($BL$24="","",INDEX($BA$3:$BA$22,INDEX(Tính!$C$278:$V$322,$CD$5,$BL$24))))))</f>
        <v/>
      </c>
      <c r="L31" s="43" t="str">
        <f>IF(OR($CD$5="",$BL$24=""),"",INDEX(Tính!$C$86:$V$130,$CD$5,INDEX(Tính!$C$278:$V$322,$CD$5,$BL$24)))</f>
        <v/>
      </c>
      <c r="M31" s="43" t="str">
        <f>IF(OR($CD$5="",$BL$24=""),"",INDEX(Tính!$C$134:$V$178,$CD$5,INDEX(Tính!$C$278:$V$322,$CD$5,$BL$24)))</f>
        <v/>
      </c>
      <c r="N31" s="44" t="str">
        <f>IF($CD$5="","",IF($BK$24="C",INDEX(Tính!$Q$39:$Q$83,$CD$5)&amp;"/"&amp;$BK$1,IF($BK$24="V",INDEX(Tính!$R$39:$R$83,$CD$5)&amp;"/"&amp;$BL$1,IF($BL$24="","",INDEX(Tính!$C$182:$V$226,$CD$5,INDEX(Tính!$C$278:$V$322,$CD$5,$BL$24))))))</f>
        <v/>
      </c>
      <c r="P31" s="42" t="str">
        <f>IF($CD$6="","",IF($BK$24="C","NHÓM CHÍNH",IF($BK$24="V","NHÓM VƯỢT TRỘI",IF($BL$24="","",INDEX($BA$3:$BA$22,INDEX(Tính!$C$278:$V$322,$CD$6,$BL$24))))))</f>
        <v/>
      </c>
      <c r="Q31" s="43" t="str">
        <f>IF(OR($CD$6="",$BL$24=""),"",INDEX(Tính!$C$86:$V$130,$CD$6,INDEX(Tính!$C$278:$V$322,$CD$6,$BL$24)))</f>
        <v/>
      </c>
      <c r="R31" s="43" t="str">
        <f>IF(OR($CD$6="",$BL$24=""),"",INDEX(Tính!$C$134:$V$178,$CD$6,INDEX(Tính!$C$278:$V$322,$CD$6,$BL$24)))</f>
        <v/>
      </c>
      <c r="S31" s="44" t="str">
        <f>IF($CD$6="","",IF($BK$24="C",INDEX(Tính!$Q$39:$Q$83,$CD$6)&amp;"/"&amp;$BK$1,IF($BK$24="V",INDEX(Tính!$R$39:$R$83,$CD$6)&amp;"/"&amp;$BL$1,IF($BL$24="","",INDEX(Tính!$C$182:$V$226,$CD$6,INDEX(Tính!$C$278:$V$322,$CD$6,$BL$24))))))</f>
        <v/>
      </c>
      <c r="CA31">
        <v>29</v>
      </c>
      <c r="CB31">
        <f>IF(Tính!B67="",0,IF(OR($AZ$1=0,Tính!D67=$AZ$1),1,0))</f>
        <v>0</v>
      </c>
      <c r="CC31">
        <f>IF(CB31=1,Tính!M67+1+(45-29)/1000000,-1)</f>
        <v>-1</v>
      </c>
      <c r="CD31" t="str">
        <f>IF(LARGE($CC$3:$CC$47,29)&lt;0,"",MATCH(LARGE($CC$3:$CC$47,29),$CC$3:$CC$47,0))</f>
        <v/>
      </c>
    </row>
    <row r="32" spans="1:82" x14ac:dyDescent="0.3">
      <c r="CA32">
        <v>30</v>
      </c>
      <c r="CB32">
        <f>IF(Tính!B68="",0,IF(OR($AZ$1=0,Tính!D68=$AZ$1),1,0))</f>
        <v>0</v>
      </c>
      <c r="CC32">
        <f>IF(CB32=1,Tính!M68+1+(45-30)/1000000,-1)</f>
        <v>-1</v>
      </c>
      <c r="CD32" t="str">
        <f>IF(LARGE($CC$3:$CC$47,30)&lt;0,"",MATCH(LARGE($CC$3:$CC$47,30),$CC$3:$CC$47,0))</f>
        <v/>
      </c>
    </row>
    <row r="33" spans="1:82" x14ac:dyDescent="0.3">
      <c r="A33" s="81" t="str">
        <f>IF($CD$7="","",5&amp;". "&amp;IF($CD$7="","",INDEX(Tính!$F$39:$F$83,$CD$7))&amp;" · "&amp;IF($CD$7="","",INDEX(Tính!$O$39:$O$83,$CD$7)))</f>
        <v/>
      </c>
      <c r="B33" s="52"/>
      <c r="C33" s="52"/>
      <c r="D33" s="52"/>
      <c r="F33" s="81" t="str">
        <f>IF($CD$8="","",6&amp;". "&amp;IF($CD$8="","",INDEX(Tính!$F$39:$F$83,$CD$8))&amp;" · "&amp;IF($CD$8="","",INDEX(Tính!$O$39:$O$83,$CD$8)))</f>
        <v/>
      </c>
      <c r="G33" s="52"/>
      <c r="H33" s="52"/>
      <c r="I33" s="52"/>
      <c r="K33" s="81" t="str">
        <f>IF($CD$9="","",7&amp;". "&amp;IF($CD$9="","",INDEX(Tính!$F$39:$F$83,$CD$9))&amp;" · "&amp;IF($CD$9="","",INDEX(Tính!$O$39:$O$83,$CD$9)))</f>
        <v/>
      </c>
      <c r="L33" s="52"/>
      <c r="M33" s="52"/>
      <c r="N33" s="52"/>
      <c r="P33" s="81" t="str">
        <f>IF($CD$10="","",8&amp;". "&amp;IF($CD$10="","",INDEX(Tính!$F$39:$F$83,$CD$10))&amp;" · "&amp;IF($CD$10="","",INDEX(Tính!$O$39:$O$83,$CD$10)))</f>
        <v/>
      </c>
      <c r="Q33" s="52"/>
      <c r="R33" s="52"/>
      <c r="S33" s="52"/>
      <c r="CA33">
        <v>31</v>
      </c>
      <c r="CB33">
        <f>IF(Tính!B69="",0,IF(OR($AZ$1=0,Tính!D69=$AZ$1),1,0))</f>
        <v>0</v>
      </c>
      <c r="CC33">
        <f>IF(CB33=1,Tính!M69+1+(45-31)/1000000,-1)</f>
        <v>-1</v>
      </c>
      <c r="CD33" t="str">
        <f>IF(LARGE($CC$3:$CC$47,31)&lt;0,"",MATCH(LARGE($CC$3:$CC$47,31),$CC$3:$CC$47,0))</f>
        <v/>
      </c>
    </row>
    <row r="34" spans="1:82" x14ac:dyDescent="0.3">
      <c r="A34" s="35" t="str">
        <f>IF($CD$7="","","DỰ KIẾN")</f>
        <v/>
      </c>
      <c r="B34" s="35" t="str">
        <f>IF($CD$7="","","% HT")</f>
        <v/>
      </c>
      <c r="C34" s="35" t="str">
        <f>IF($CD$7="","","NH ĐẠT")</f>
        <v/>
      </c>
      <c r="D34" s="35" t="str">
        <f>IF($CD$7="","","HẠNG")</f>
        <v/>
      </c>
      <c r="F34" s="35" t="str">
        <f>IF($CD$8="","","DỰ KIẾN")</f>
        <v/>
      </c>
      <c r="G34" s="35" t="str">
        <f>IF($CD$8="","","% HT")</f>
        <v/>
      </c>
      <c r="H34" s="35" t="str">
        <f>IF($CD$8="","","NH ĐẠT")</f>
        <v/>
      </c>
      <c r="I34" s="35" t="str">
        <f>IF($CD$8="","","HẠNG")</f>
        <v/>
      </c>
      <c r="K34" s="35" t="str">
        <f>IF($CD$9="","","DỰ KIẾN")</f>
        <v/>
      </c>
      <c r="L34" s="35" t="str">
        <f>IF($CD$9="","","% HT")</f>
        <v/>
      </c>
      <c r="M34" s="35" t="str">
        <f>IF($CD$9="","","NH ĐẠT")</f>
        <v/>
      </c>
      <c r="N34" s="35" t="str">
        <f>IF($CD$9="","","HẠNG")</f>
        <v/>
      </c>
      <c r="P34" s="35" t="str">
        <f>IF($CD$10="","","DỰ KIẾN")</f>
        <v/>
      </c>
      <c r="Q34" s="35" t="str">
        <f>IF($CD$10="","","% HT")</f>
        <v/>
      </c>
      <c r="R34" s="35" t="str">
        <f>IF($CD$10="","","NH ĐẠT")</f>
        <v/>
      </c>
      <c r="S34" s="35" t="str">
        <f>IF($CD$10="","","HẠNG")</f>
        <v/>
      </c>
      <c r="CA34">
        <v>32</v>
      </c>
      <c r="CB34">
        <f>IF(Tính!B70="",0,IF(OR($AZ$1=0,Tính!D70=$AZ$1),1,0))</f>
        <v>0</v>
      </c>
      <c r="CC34">
        <f>IF(CB34=1,Tính!M70+1+(45-32)/1000000,-1)</f>
        <v>-1</v>
      </c>
      <c r="CD34" t="str">
        <f>IF(LARGE($CC$3:$CC$47,32)&lt;0,"",MATCH(LARGE($CC$3:$CC$47,32),$CC$3:$CC$47,0))</f>
        <v/>
      </c>
    </row>
    <row r="35" spans="1:82" ht="15.6" x14ac:dyDescent="0.3">
      <c r="A35" s="36" t="str">
        <f>IF($CD$7="","",IF($CD$7="","",INDEX(Tính!$M$39:$M$83,$CD$7)))</f>
        <v/>
      </c>
      <c r="B35" s="36" t="str">
        <f>IF($CD$7="","",IF($CD$7="","",INDEX(Tính!$N$39:$N$83,$CD$7)))</f>
        <v/>
      </c>
      <c r="C35" s="37" t="str">
        <f>IF($CD$7="","",IF($CD$7="","",INDEX(Tính!$P$39:$P$83,$CD$7))&amp;"/"&amp;COUNTIF($BA$3:$BA$22,"?*"))</f>
        <v/>
      </c>
      <c r="D35" s="37" t="str">
        <f>IF($CD$7="","",5)</f>
        <v/>
      </c>
      <c r="F35" s="36" t="str">
        <f>IF($CD$8="","",IF($CD$8="","",INDEX(Tính!$M$39:$M$83,$CD$8)))</f>
        <v/>
      </c>
      <c r="G35" s="36" t="str">
        <f>IF($CD$8="","",IF($CD$8="","",INDEX(Tính!$N$39:$N$83,$CD$8)))</f>
        <v/>
      </c>
      <c r="H35" s="37" t="str">
        <f>IF($CD$8="","",IF($CD$8="","",INDEX(Tính!$P$39:$P$83,$CD$8))&amp;"/"&amp;COUNTIF($BA$3:$BA$22,"?*"))</f>
        <v/>
      </c>
      <c r="I35" s="37" t="str">
        <f>IF($CD$8="","",6)</f>
        <v/>
      </c>
      <c r="K35" s="36" t="str">
        <f>IF($CD$9="","",IF($CD$9="","",INDEX(Tính!$M$39:$M$83,$CD$9)))</f>
        <v/>
      </c>
      <c r="L35" s="36" t="str">
        <f>IF($CD$9="","",IF($CD$9="","",INDEX(Tính!$N$39:$N$83,$CD$9)))</f>
        <v/>
      </c>
      <c r="M35" s="37" t="str">
        <f>IF($CD$9="","",IF($CD$9="","",INDEX(Tính!$P$39:$P$83,$CD$9))&amp;"/"&amp;COUNTIF($BA$3:$BA$22,"?*"))</f>
        <v/>
      </c>
      <c r="N35" s="37" t="str">
        <f>IF($CD$9="","",7)</f>
        <v/>
      </c>
      <c r="P35" s="36" t="str">
        <f>IF($CD$10="","",IF($CD$10="","",INDEX(Tính!$M$39:$M$83,$CD$10)))</f>
        <v/>
      </c>
      <c r="Q35" s="36" t="str">
        <f>IF($CD$10="","",IF($CD$10="","",INDEX(Tính!$N$39:$N$83,$CD$10)))</f>
        <v/>
      </c>
      <c r="R35" s="37" t="str">
        <f>IF($CD$10="","",IF($CD$10="","",INDEX(Tính!$P$39:$P$83,$CD$10))&amp;"/"&amp;COUNTIF($BA$3:$BA$22,"?*"))</f>
        <v/>
      </c>
      <c r="S35" s="37" t="str">
        <f>IF($CD$10="","",8)</f>
        <v/>
      </c>
      <c r="CA35">
        <v>33</v>
      </c>
      <c r="CB35">
        <f>IF(Tính!B71="",0,IF(OR($AZ$1=0,Tính!D71=$AZ$1),1,0))</f>
        <v>0</v>
      </c>
      <c r="CC35">
        <f>IF(CB35=1,Tính!M71+1+(45-33)/1000000,-1)</f>
        <v>-1</v>
      </c>
      <c r="CD35" t="str">
        <f>IF(LARGE($CC$3:$CC$47,33)&lt;0,"",MATCH(LARGE($CC$3:$CC$47,33),$CC$3:$CC$47,0))</f>
        <v/>
      </c>
    </row>
    <row r="36" spans="1:82" x14ac:dyDescent="0.3">
      <c r="A36" s="35" t="str">
        <f>IF($CD$7="","","DT QĐ")</f>
        <v/>
      </c>
      <c r="B36" s="35" t="str">
        <f>IF($CD$7="","","MỤC TIÊU")</f>
        <v/>
      </c>
      <c r="C36" s="35" t="str">
        <f>IF($CD$7="","","HÔM NAY")</f>
        <v/>
      </c>
      <c r="D36" s="35"/>
      <c r="F36" s="35" t="str">
        <f>IF($CD$8="","","DT QĐ")</f>
        <v/>
      </c>
      <c r="G36" s="35" t="str">
        <f>IF($CD$8="","","MỤC TIÊU")</f>
        <v/>
      </c>
      <c r="H36" s="35" t="str">
        <f>IF($CD$8="","","HÔM NAY")</f>
        <v/>
      </c>
      <c r="I36" s="35"/>
      <c r="K36" s="35" t="str">
        <f>IF($CD$9="","","DT QĐ")</f>
        <v/>
      </c>
      <c r="L36" s="35" t="str">
        <f>IF($CD$9="","","MỤC TIÊU")</f>
        <v/>
      </c>
      <c r="M36" s="35" t="str">
        <f>IF($CD$9="","","HÔM NAY")</f>
        <v/>
      </c>
      <c r="N36" s="35"/>
      <c r="P36" s="35" t="str">
        <f>IF($CD$10="","","DT QĐ")</f>
        <v/>
      </c>
      <c r="Q36" s="35" t="str">
        <f>IF($CD$10="","","MỤC TIÊU")</f>
        <v/>
      </c>
      <c r="R36" s="35" t="str">
        <f>IF($CD$10="","","HÔM NAY")</f>
        <v/>
      </c>
      <c r="S36" s="35"/>
      <c r="CA36">
        <v>34</v>
      </c>
      <c r="CB36">
        <f>IF(Tính!B72="",0,IF(OR($AZ$1=0,Tính!D72=$AZ$1),1,0))</f>
        <v>0</v>
      </c>
      <c r="CC36">
        <f>IF(CB36=1,Tính!M72+1+(45-34)/1000000,-1)</f>
        <v>-1</v>
      </c>
      <c r="CD36" t="str">
        <f>IF(LARGE($CC$3:$CC$47,34)&lt;0,"",MATCH(LARGE($CC$3:$CC$47,34),$CC$3:$CC$47,0))</f>
        <v/>
      </c>
    </row>
    <row r="37" spans="1:82" x14ac:dyDescent="0.3">
      <c r="A37" s="38" t="str">
        <f>IF($CD$7="","",IF($CD$7="","",INDEX(Tính!$K$39:$K$83,$CD$7)))</f>
        <v/>
      </c>
      <c r="B37" s="39" t="str">
        <f>IF($CD$7="","",IF($CD$7="","",INDEX(Tính!$J$39:$J$83,$CD$7)))</f>
        <v/>
      </c>
      <c r="C37" s="38" t="str">
        <f>IF($CD$7="","",IF($CD$7="","",INDEX(Tính!$L$39:$L$83,$CD$7)))</f>
        <v/>
      </c>
      <c r="D37" s="40" t="str">
        <f>IF($CD$7="","","")</f>
        <v/>
      </c>
      <c r="F37" s="38" t="str">
        <f>IF($CD$8="","",IF($CD$8="","",INDEX(Tính!$K$39:$K$83,$CD$8)))</f>
        <v/>
      </c>
      <c r="G37" s="39" t="str">
        <f>IF($CD$8="","",IF($CD$8="","",INDEX(Tính!$J$39:$J$83,$CD$8)))</f>
        <v/>
      </c>
      <c r="H37" s="38" t="str">
        <f>IF($CD$8="","",IF($CD$8="","",INDEX(Tính!$L$39:$L$83,$CD$8)))</f>
        <v/>
      </c>
      <c r="I37" s="40" t="str">
        <f>IF($CD$8="","","")</f>
        <v/>
      </c>
      <c r="K37" s="38" t="str">
        <f>IF($CD$9="","",IF($CD$9="","",INDEX(Tính!$K$39:$K$83,$CD$9)))</f>
        <v/>
      </c>
      <c r="L37" s="39" t="str">
        <f>IF($CD$9="","",IF($CD$9="","",INDEX(Tính!$J$39:$J$83,$CD$9)))</f>
        <v/>
      </c>
      <c r="M37" s="38" t="str">
        <f>IF($CD$9="","",IF($CD$9="","",INDEX(Tính!$L$39:$L$83,$CD$9)))</f>
        <v/>
      </c>
      <c r="N37" s="40" t="str">
        <f>IF($CD$9="","","")</f>
        <v/>
      </c>
      <c r="P37" s="38" t="str">
        <f>IF($CD$10="","",IF($CD$10="","",INDEX(Tính!$K$39:$K$83,$CD$10)))</f>
        <v/>
      </c>
      <c r="Q37" s="39" t="str">
        <f>IF($CD$10="","",IF($CD$10="","",INDEX(Tính!$J$39:$J$83,$CD$10)))</f>
        <v/>
      </c>
      <c r="R37" s="38" t="str">
        <f>IF($CD$10="","",IF($CD$10="","",INDEX(Tính!$L$39:$L$83,$CD$10)))</f>
        <v/>
      </c>
      <c r="S37" s="40" t="str">
        <f>IF($CD$10="","","")</f>
        <v/>
      </c>
      <c r="CA37">
        <v>35</v>
      </c>
      <c r="CB37">
        <f>IF(Tính!B73="",0,IF(OR($AZ$1=0,Tính!D73=$AZ$1),1,0))</f>
        <v>0</v>
      </c>
      <c r="CC37">
        <f>IF(CB37=1,Tính!M73+1+(45-35)/1000000,-1)</f>
        <v>-1</v>
      </c>
      <c r="CD37" t="str">
        <f>IF(LARGE($CC$3:$CC$47,35)&lt;0,"",MATCH(LARGE($CC$3:$CC$47,35),$CC$3:$CC$47,0))</f>
        <v/>
      </c>
    </row>
    <row r="38" spans="1:82" x14ac:dyDescent="0.3">
      <c r="A38" s="41" t="str">
        <f>IF($CD$7="","","Nhóm hàng")</f>
        <v/>
      </c>
      <c r="B38" s="41" t="str">
        <f>IF($CD$7="","","TH")</f>
        <v/>
      </c>
      <c r="C38" s="41" t="str">
        <f>IF($CD$7="","","Target")</f>
        <v/>
      </c>
      <c r="D38" s="41" t="str">
        <f>IF($CD$7="","","DK")</f>
        <v/>
      </c>
      <c r="F38" s="41" t="str">
        <f>IF($CD$8="","","Nhóm hàng")</f>
        <v/>
      </c>
      <c r="G38" s="41" t="str">
        <f>IF($CD$8="","","TH")</f>
        <v/>
      </c>
      <c r="H38" s="41" t="str">
        <f>IF($CD$8="","","Target")</f>
        <v/>
      </c>
      <c r="I38" s="41" t="str">
        <f>IF($CD$8="","","DK")</f>
        <v/>
      </c>
      <c r="K38" s="41" t="str">
        <f>IF($CD$9="","","Nhóm hàng")</f>
        <v/>
      </c>
      <c r="L38" s="41" t="str">
        <f>IF($CD$9="","","TH")</f>
        <v/>
      </c>
      <c r="M38" s="41" t="str">
        <f>IF($CD$9="","","Target")</f>
        <v/>
      </c>
      <c r="N38" s="41" t="str">
        <f>IF($CD$9="","","DK")</f>
        <v/>
      </c>
      <c r="P38" s="41" t="str">
        <f>IF($CD$10="","","Nhóm hàng")</f>
        <v/>
      </c>
      <c r="Q38" s="41" t="str">
        <f>IF($CD$10="","","TH")</f>
        <v/>
      </c>
      <c r="R38" s="41" t="str">
        <f>IF($CD$10="","","Target")</f>
        <v/>
      </c>
      <c r="S38" s="41" t="str">
        <f>IF($CD$10="","","DK")</f>
        <v/>
      </c>
      <c r="CA38">
        <v>36</v>
      </c>
      <c r="CB38">
        <f>IF(Tính!B74="",0,IF(OR($AZ$1=0,Tính!D74=$AZ$1),1,0))</f>
        <v>0</v>
      </c>
      <c r="CC38">
        <f>IF(CB38=1,Tính!M74+1+(45-36)/1000000,-1)</f>
        <v>-1</v>
      </c>
      <c r="CD38" t="str">
        <f>IF(LARGE($CC$3:$CC$47,36)&lt;0,"",MATCH(LARGE($CC$3:$CC$47,36),$CC$3:$CC$47,0))</f>
        <v/>
      </c>
    </row>
    <row r="39" spans="1:82" x14ac:dyDescent="0.3">
      <c r="A39" s="42" t="str">
        <f>IF($CD$7="","",IF($BK$3="C","NHÓM CHÍNH",IF($BK$3="V","NHÓM VƯỢT TRỘI",IF($BL$3="","",INDEX($BA$3:$BA$22,INDEX(Tính!$C$278:$V$322,$CD$7,$BL$3))))))</f>
        <v/>
      </c>
      <c r="B39" s="43" t="str">
        <f>IF(OR($CD$7="",$BL$3=""),"",INDEX(Tính!$C$86:$V$130,$CD$7,INDEX(Tính!$C$278:$V$322,$CD$7,$BL$3)))</f>
        <v/>
      </c>
      <c r="C39" s="43" t="str">
        <f>IF(OR($CD$7="",$BL$3=""),"",INDEX(Tính!$C$134:$V$178,$CD$7,INDEX(Tính!$C$278:$V$322,$CD$7,$BL$3)))</f>
        <v/>
      </c>
      <c r="D39" s="44" t="str">
        <f>IF($CD$7="","",IF($BK$3="C",INDEX(Tính!$Q$39:$Q$83,$CD$7)&amp;"/"&amp;$BK$1,IF($BK$3="V",INDEX(Tính!$R$39:$R$83,$CD$7)&amp;"/"&amp;$BL$1,IF($BL$3="","",INDEX(Tính!$C$182:$V$226,$CD$7,INDEX(Tính!$C$278:$V$322,$CD$7,$BL$3))))))</f>
        <v/>
      </c>
      <c r="F39" s="42" t="str">
        <f>IF($CD$8="","",IF($BK$3="C","NHÓM CHÍNH",IF($BK$3="V","NHÓM VƯỢT TRỘI",IF($BL$3="","",INDEX($BA$3:$BA$22,INDEX(Tính!$C$278:$V$322,$CD$8,$BL$3))))))</f>
        <v/>
      </c>
      <c r="G39" s="43" t="str">
        <f>IF(OR($CD$8="",$BL$3=""),"",INDEX(Tính!$C$86:$V$130,$CD$8,INDEX(Tính!$C$278:$V$322,$CD$8,$BL$3)))</f>
        <v/>
      </c>
      <c r="H39" s="43" t="str">
        <f>IF(OR($CD$8="",$BL$3=""),"",INDEX(Tính!$C$134:$V$178,$CD$8,INDEX(Tính!$C$278:$V$322,$CD$8,$BL$3)))</f>
        <v/>
      </c>
      <c r="I39" s="44" t="str">
        <f>IF($CD$8="","",IF($BK$3="C",INDEX(Tính!$Q$39:$Q$83,$CD$8)&amp;"/"&amp;$BK$1,IF($BK$3="V",INDEX(Tính!$R$39:$R$83,$CD$8)&amp;"/"&amp;$BL$1,IF($BL$3="","",INDEX(Tính!$C$182:$V$226,$CD$8,INDEX(Tính!$C$278:$V$322,$CD$8,$BL$3))))))</f>
        <v/>
      </c>
      <c r="K39" s="42" t="str">
        <f>IF($CD$9="","",IF($BK$3="C","NHÓM CHÍNH",IF($BK$3="V","NHÓM VƯỢT TRỘI",IF($BL$3="","",INDEX($BA$3:$BA$22,INDEX(Tính!$C$278:$V$322,$CD$9,$BL$3))))))</f>
        <v/>
      </c>
      <c r="L39" s="43" t="str">
        <f>IF(OR($CD$9="",$BL$3=""),"",INDEX(Tính!$C$86:$V$130,$CD$9,INDEX(Tính!$C$278:$V$322,$CD$9,$BL$3)))</f>
        <v/>
      </c>
      <c r="M39" s="43" t="str">
        <f>IF(OR($CD$9="",$BL$3=""),"",INDEX(Tính!$C$134:$V$178,$CD$9,INDEX(Tính!$C$278:$V$322,$CD$9,$BL$3)))</f>
        <v/>
      </c>
      <c r="N39" s="44" t="str">
        <f>IF($CD$9="","",IF($BK$3="C",INDEX(Tính!$Q$39:$Q$83,$CD$9)&amp;"/"&amp;$BK$1,IF($BK$3="V",INDEX(Tính!$R$39:$R$83,$CD$9)&amp;"/"&amp;$BL$1,IF($BL$3="","",INDEX(Tính!$C$182:$V$226,$CD$9,INDEX(Tính!$C$278:$V$322,$CD$9,$BL$3))))))</f>
        <v/>
      </c>
      <c r="P39" s="42" t="str">
        <f>IF($CD$10="","",IF($BK$3="C","NHÓM CHÍNH",IF($BK$3="V","NHÓM VƯỢT TRỘI",IF($BL$3="","",INDEX($BA$3:$BA$22,INDEX(Tính!$C$278:$V$322,$CD$10,$BL$3))))))</f>
        <v/>
      </c>
      <c r="Q39" s="43" t="str">
        <f>IF(OR($CD$10="",$BL$3=""),"",INDEX(Tính!$C$86:$V$130,$CD$10,INDEX(Tính!$C$278:$V$322,$CD$10,$BL$3)))</f>
        <v/>
      </c>
      <c r="R39" s="43" t="str">
        <f>IF(OR($CD$10="",$BL$3=""),"",INDEX(Tính!$C$134:$V$178,$CD$10,INDEX(Tính!$C$278:$V$322,$CD$10,$BL$3)))</f>
        <v/>
      </c>
      <c r="S39" s="44" t="str">
        <f>IF($CD$10="","",IF($BK$3="C",INDEX(Tính!$Q$39:$Q$83,$CD$10)&amp;"/"&amp;$BK$1,IF($BK$3="V",INDEX(Tính!$R$39:$R$83,$CD$10)&amp;"/"&amp;$BL$1,IF($BL$3="","",INDEX(Tính!$C$182:$V$226,$CD$10,INDEX(Tính!$C$278:$V$322,$CD$10,$BL$3))))))</f>
        <v/>
      </c>
      <c r="CA39">
        <v>37</v>
      </c>
      <c r="CB39">
        <f>IF(Tính!B75="",0,IF(OR($AZ$1=0,Tính!D75=$AZ$1),1,0))</f>
        <v>0</v>
      </c>
      <c r="CC39">
        <f>IF(CB39=1,Tính!M75+1+(45-37)/1000000,-1)</f>
        <v>-1</v>
      </c>
      <c r="CD39" t="str">
        <f>IF(LARGE($CC$3:$CC$47,37)&lt;0,"",MATCH(LARGE($CC$3:$CC$47,37),$CC$3:$CC$47,0))</f>
        <v/>
      </c>
    </row>
    <row r="40" spans="1:82" x14ac:dyDescent="0.3">
      <c r="A40" s="42" t="str">
        <f>IF($CD$7="","",IF($BK$4="C","NHÓM CHÍNH",IF($BK$4="V","NHÓM VƯỢT TRỘI",IF($BL$4="","",INDEX($BA$3:$BA$22,INDEX(Tính!$C$278:$V$322,$CD$7,$BL$4))))))</f>
        <v/>
      </c>
      <c r="B40" s="43" t="str">
        <f>IF(OR($CD$7="",$BL$4=""),"",INDEX(Tính!$C$86:$V$130,$CD$7,INDEX(Tính!$C$278:$V$322,$CD$7,$BL$4)))</f>
        <v/>
      </c>
      <c r="C40" s="43" t="str">
        <f>IF(OR($CD$7="",$BL$4=""),"",INDEX(Tính!$C$134:$V$178,$CD$7,INDEX(Tính!$C$278:$V$322,$CD$7,$BL$4)))</f>
        <v/>
      </c>
      <c r="D40" s="44" t="str">
        <f>IF($CD$7="","",IF($BK$4="C",INDEX(Tính!$Q$39:$Q$83,$CD$7)&amp;"/"&amp;$BK$1,IF($BK$4="V",INDEX(Tính!$R$39:$R$83,$CD$7)&amp;"/"&amp;$BL$1,IF($BL$4="","",INDEX(Tính!$C$182:$V$226,$CD$7,INDEX(Tính!$C$278:$V$322,$CD$7,$BL$4))))))</f>
        <v/>
      </c>
      <c r="F40" s="42" t="str">
        <f>IF($CD$8="","",IF($BK$4="C","NHÓM CHÍNH",IF($BK$4="V","NHÓM VƯỢT TRỘI",IF($BL$4="","",INDEX($BA$3:$BA$22,INDEX(Tính!$C$278:$V$322,$CD$8,$BL$4))))))</f>
        <v/>
      </c>
      <c r="G40" s="43" t="str">
        <f>IF(OR($CD$8="",$BL$4=""),"",INDEX(Tính!$C$86:$V$130,$CD$8,INDEX(Tính!$C$278:$V$322,$CD$8,$BL$4)))</f>
        <v/>
      </c>
      <c r="H40" s="43" t="str">
        <f>IF(OR($CD$8="",$BL$4=""),"",INDEX(Tính!$C$134:$V$178,$CD$8,INDEX(Tính!$C$278:$V$322,$CD$8,$BL$4)))</f>
        <v/>
      </c>
      <c r="I40" s="44" t="str">
        <f>IF($CD$8="","",IF($BK$4="C",INDEX(Tính!$Q$39:$Q$83,$CD$8)&amp;"/"&amp;$BK$1,IF($BK$4="V",INDEX(Tính!$R$39:$R$83,$CD$8)&amp;"/"&amp;$BL$1,IF($BL$4="","",INDEX(Tính!$C$182:$V$226,$CD$8,INDEX(Tính!$C$278:$V$322,$CD$8,$BL$4))))))</f>
        <v/>
      </c>
      <c r="K40" s="42" t="str">
        <f>IF($CD$9="","",IF($BK$4="C","NHÓM CHÍNH",IF($BK$4="V","NHÓM VƯỢT TRỘI",IF($BL$4="","",INDEX($BA$3:$BA$22,INDEX(Tính!$C$278:$V$322,$CD$9,$BL$4))))))</f>
        <v/>
      </c>
      <c r="L40" s="43" t="str">
        <f>IF(OR($CD$9="",$BL$4=""),"",INDEX(Tính!$C$86:$V$130,$CD$9,INDEX(Tính!$C$278:$V$322,$CD$9,$BL$4)))</f>
        <v/>
      </c>
      <c r="M40" s="43" t="str">
        <f>IF(OR($CD$9="",$BL$4=""),"",INDEX(Tính!$C$134:$V$178,$CD$9,INDEX(Tính!$C$278:$V$322,$CD$9,$BL$4)))</f>
        <v/>
      </c>
      <c r="N40" s="44" t="str">
        <f>IF($CD$9="","",IF($BK$4="C",INDEX(Tính!$Q$39:$Q$83,$CD$9)&amp;"/"&amp;$BK$1,IF($BK$4="V",INDEX(Tính!$R$39:$R$83,$CD$9)&amp;"/"&amp;$BL$1,IF($BL$4="","",INDEX(Tính!$C$182:$V$226,$CD$9,INDEX(Tính!$C$278:$V$322,$CD$9,$BL$4))))))</f>
        <v/>
      </c>
      <c r="P40" s="42" t="str">
        <f>IF($CD$10="","",IF($BK$4="C","NHÓM CHÍNH",IF($BK$4="V","NHÓM VƯỢT TRỘI",IF($BL$4="","",INDEX($BA$3:$BA$22,INDEX(Tính!$C$278:$V$322,$CD$10,$BL$4))))))</f>
        <v/>
      </c>
      <c r="Q40" s="43" t="str">
        <f>IF(OR($CD$10="",$BL$4=""),"",INDEX(Tính!$C$86:$V$130,$CD$10,INDEX(Tính!$C$278:$V$322,$CD$10,$BL$4)))</f>
        <v/>
      </c>
      <c r="R40" s="43" t="str">
        <f>IF(OR($CD$10="",$BL$4=""),"",INDEX(Tính!$C$134:$V$178,$CD$10,INDEX(Tính!$C$278:$V$322,$CD$10,$BL$4)))</f>
        <v/>
      </c>
      <c r="S40" s="44" t="str">
        <f>IF($CD$10="","",IF($BK$4="C",INDEX(Tính!$Q$39:$Q$83,$CD$10)&amp;"/"&amp;$BK$1,IF($BK$4="V",INDEX(Tính!$R$39:$R$83,$CD$10)&amp;"/"&amp;$BL$1,IF($BL$4="","",INDEX(Tính!$C$182:$V$226,$CD$10,INDEX(Tính!$C$278:$V$322,$CD$10,$BL$4))))))</f>
        <v/>
      </c>
      <c r="CA40">
        <v>38</v>
      </c>
      <c r="CB40">
        <f>IF(Tính!B76="",0,IF(OR($AZ$1=0,Tính!D76=$AZ$1),1,0))</f>
        <v>0</v>
      </c>
      <c r="CC40">
        <f>IF(CB40=1,Tính!M76+1+(45-38)/1000000,-1)</f>
        <v>-1</v>
      </c>
      <c r="CD40" t="str">
        <f>IF(LARGE($CC$3:$CC$47,38)&lt;0,"",MATCH(LARGE($CC$3:$CC$47,38),$CC$3:$CC$47,0))</f>
        <v/>
      </c>
    </row>
    <row r="41" spans="1:82" x14ac:dyDescent="0.3">
      <c r="A41" s="42" t="str">
        <f>IF($CD$7="","",IF($BK$5="C","NHÓM CHÍNH",IF($BK$5="V","NHÓM VƯỢT TRỘI",IF($BL$5="","",INDEX($BA$3:$BA$22,INDEX(Tính!$C$278:$V$322,$CD$7,$BL$5))))))</f>
        <v/>
      </c>
      <c r="B41" s="43" t="str">
        <f>IF(OR($CD$7="",$BL$5=""),"",INDEX(Tính!$C$86:$V$130,$CD$7,INDEX(Tính!$C$278:$V$322,$CD$7,$BL$5)))</f>
        <v/>
      </c>
      <c r="C41" s="43" t="str">
        <f>IF(OR($CD$7="",$BL$5=""),"",INDEX(Tính!$C$134:$V$178,$CD$7,INDEX(Tính!$C$278:$V$322,$CD$7,$BL$5)))</f>
        <v/>
      </c>
      <c r="D41" s="44" t="str">
        <f>IF($CD$7="","",IF($BK$5="C",INDEX(Tính!$Q$39:$Q$83,$CD$7)&amp;"/"&amp;$BK$1,IF($BK$5="V",INDEX(Tính!$R$39:$R$83,$CD$7)&amp;"/"&amp;$BL$1,IF($BL$5="","",INDEX(Tính!$C$182:$V$226,$CD$7,INDEX(Tính!$C$278:$V$322,$CD$7,$BL$5))))))</f>
        <v/>
      </c>
      <c r="F41" s="42" t="str">
        <f>IF($CD$8="","",IF($BK$5="C","NHÓM CHÍNH",IF($BK$5="V","NHÓM VƯỢT TRỘI",IF($BL$5="","",INDEX($BA$3:$BA$22,INDEX(Tính!$C$278:$V$322,$CD$8,$BL$5))))))</f>
        <v/>
      </c>
      <c r="G41" s="43" t="str">
        <f>IF(OR($CD$8="",$BL$5=""),"",INDEX(Tính!$C$86:$V$130,$CD$8,INDEX(Tính!$C$278:$V$322,$CD$8,$BL$5)))</f>
        <v/>
      </c>
      <c r="H41" s="43" t="str">
        <f>IF(OR($CD$8="",$BL$5=""),"",INDEX(Tính!$C$134:$V$178,$CD$8,INDEX(Tính!$C$278:$V$322,$CD$8,$BL$5)))</f>
        <v/>
      </c>
      <c r="I41" s="44" t="str">
        <f>IF($CD$8="","",IF($BK$5="C",INDEX(Tính!$Q$39:$Q$83,$CD$8)&amp;"/"&amp;$BK$1,IF($BK$5="V",INDEX(Tính!$R$39:$R$83,$CD$8)&amp;"/"&amp;$BL$1,IF($BL$5="","",INDEX(Tính!$C$182:$V$226,$CD$8,INDEX(Tính!$C$278:$V$322,$CD$8,$BL$5))))))</f>
        <v/>
      </c>
      <c r="K41" s="42" t="str">
        <f>IF($CD$9="","",IF($BK$5="C","NHÓM CHÍNH",IF($BK$5="V","NHÓM VƯỢT TRỘI",IF($BL$5="","",INDEX($BA$3:$BA$22,INDEX(Tính!$C$278:$V$322,$CD$9,$BL$5))))))</f>
        <v/>
      </c>
      <c r="L41" s="43" t="str">
        <f>IF(OR($CD$9="",$BL$5=""),"",INDEX(Tính!$C$86:$V$130,$CD$9,INDEX(Tính!$C$278:$V$322,$CD$9,$BL$5)))</f>
        <v/>
      </c>
      <c r="M41" s="43" t="str">
        <f>IF(OR($CD$9="",$BL$5=""),"",INDEX(Tính!$C$134:$V$178,$CD$9,INDEX(Tính!$C$278:$V$322,$CD$9,$BL$5)))</f>
        <v/>
      </c>
      <c r="N41" s="44" t="str">
        <f>IF($CD$9="","",IF($BK$5="C",INDEX(Tính!$Q$39:$Q$83,$CD$9)&amp;"/"&amp;$BK$1,IF($BK$5="V",INDEX(Tính!$R$39:$R$83,$CD$9)&amp;"/"&amp;$BL$1,IF($BL$5="","",INDEX(Tính!$C$182:$V$226,$CD$9,INDEX(Tính!$C$278:$V$322,$CD$9,$BL$5))))))</f>
        <v/>
      </c>
      <c r="P41" s="42" t="str">
        <f>IF($CD$10="","",IF($BK$5="C","NHÓM CHÍNH",IF($BK$5="V","NHÓM VƯỢT TRỘI",IF($BL$5="","",INDEX($BA$3:$BA$22,INDEX(Tính!$C$278:$V$322,$CD$10,$BL$5))))))</f>
        <v/>
      </c>
      <c r="Q41" s="43" t="str">
        <f>IF(OR($CD$10="",$BL$5=""),"",INDEX(Tính!$C$86:$V$130,$CD$10,INDEX(Tính!$C$278:$V$322,$CD$10,$BL$5)))</f>
        <v/>
      </c>
      <c r="R41" s="43" t="str">
        <f>IF(OR($CD$10="",$BL$5=""),"",INDEX(Tính!$C$134:$V$178,$CD$10,INDEX(Tính!$C$278:$V$322,$CD$10,$BL$5)))</f>
        <v/>
      </c>
      <c r="S41" s="44" t="str">
        <f>IF($CD$10="","",IF($BK$5="C",INDEX(Tính!$Q$39:$Q$83,$CD$10)&amp;"/"&amp;$BK$1,IF($BK$5="V",INDEX(Tính!$R$39:$R$83,$CD$10)&amp;"/"&amp;$BL$1,IF($BL$5="","",INDEX(Tính!$C$182:$V$226,$CD$10,INDEX(Tính!$C$278:$V$322,$CD$10,$BL$5))))))</f>
        <v/>
      </c>
      <c r="CA41">
        <v>39</v>
      </c>
      <c r="CB41">
        <f>IF(Tính!B77="",0,IF(OR($AZ$1=0,Tính!D77=$AZ$1),1,0))</f>
        <v>0</v>
      </c>
      <c r="CC41">
        <f>IF(CB41=1,Tính!M77+1+(45-39)/1000000,-1)</f>
        <v>-1</v>
      </c>
      <c r="CD41" t="str">
        <f>IF(LARGE($CC$3:$CC$47,39)&lt;0,"",MATCH(LARGE($CC$3:$CC$47,39),$CC$3:$CC$47,0))</f>
        <v/>
      </c>
    </row>
    <row r="42" spans="1:82" x14ac:dyDescent="0.3">
      <c r="A42" s="42" t="str">
        <f>IF($CD$7="","",IF($BK$6="C","NHÓM CHÍNH",IF($BK$6="V","NHÓM VƯỢT TRỘI",IF($BL$6="","",INDEX($BA$3:$BA$22,INDEX(Tính!$C$278:$V$322,$CD$7,$BL$6))))))</f>
        <v/>
      </c>
      <c r="B42" s="43" t="str">
        <f>IF(OR($CD$7="",$BL$6=""),"",INDEX(Tính!$C$86:$V$130,$CD$7,INDEX(Tính!$C$278:$V$322,$CD$7,$BL$6)))</f>
        <v/>
      </c>
      <c r="C42" s="43" t="str">
        <f>IF(OR($CD$7="",$BL$6=""),"",INDEX(Tính!$C$134:$V$178,$CD$7,INDEX(Tính!$C$278:$V$322,$CD$7,$BL$6)))</f>
        <v/>
      </c>
      <c r="D42" s="44" t="str">
        <f>IF($CD$7="","",IF($BK$6="C",INDEX(Tính!$Q$39:$Q$83,$CD$7)&amp;"/"&amp;$BK$1,IF($BK$6="V",INDEX(Tính!$R$39:$R$83,$CD$7)&amp;"/"&amp;$BL$1,IF($BL$6="","",INDEX(Tính!$C$182:$V$226,$CD$7,INDEX(Tính!$C$278:$V$322,$CD$7,$BL$6))))))</f>
        <v/>
      </c>
      <c r="F42" s="42" t="str">
        <f>IF($CD$8="","",IF($BK$6="C","NHÓM CHÍNH",IF($BK$6="V","NHÓM VƯỢT TRỘI",IF($BL$6="","",INDEX($BA$3:$BA$22,INDEX(Tính!$C$278:$V$322,$CD$8,$BL$6))))))</f>
        <v/>
      </c>
      <c r="G42" s="43" t="str">
        <f>IF(OR($CD$8="",$BL$6=""),"",INDEX(Tính!$C$86:$V$130,$CD$8,INDEX(Tính!$C$278:$V$322,$CD$8,$BL$6)))</f>
        <v/>
      </c>
      <c r="H42" s="43" t="str">
        <f>IF(OR($CD$8="",$BL$6=""),"",INDEX(Tính!$C$134:$V$178,$CD$8,INDEX(Tính!$C$278:$V$322,$CD$8,$BL$6)))</f>
        <v/>
      </c>
      <c r="I42" s="44" t="str">
        <f>IF($CD$8="","",IF($BK$6="C",INDEX(Tính!$Q$39:$Q$83,$CD$8)&amp;"/"&amp;$BK$1,IF($BK$6="V",INDEX(Tính!$R$39:$R$83,$CD$8)&amp;"/"&amp;$BL$1,IF($BL$6="","",INDEX(Tính!$C$182:$V$226,$CD$8,INDEX(Tính!$C$278:$V$322,$CD$8,$BL$6))))))</f>
        <v/>
      </c>
      <c r="K42" s="42" t="str">
        <f>IF($CD$9="","",IF($BK$6="C","NHÓM CHÍNH",IF($BK$6="V","NHÓM VƯỢT TRỘI",IF($BL$6="","",INDEX($BA$3:$BA$22,INDEX(Tính!$C$278:$V$322,$CD$9,$BL$6))))))</f>
        <v/>
      </c>
      <c r="L42" s="43" t="str">
        <f>IF(OR($CD$9="",$BL$6=""),"",INDEX(Tính!$C$86:$V$130,$CD$9,INDEX(Tính!$C$278:$V$322,$CD$9,$BL$6)))</f>
        <v/>
      </c>
      <c r="M42" s="43" t="str">
        <f>IF(OR($CD$9="",$BL$6=""),"",INDEX(Tính!$C$134:$V$178,$CD$9,INDEX(Tính!$C$278:$V$322,$CD$9,$BL$6)))</f>
        <v/>
      </c>
      <c r="N42" s="44" t="str">
        <f>IF($CD$9="","",IF($BK$6="C",INDEX(Tính!$Q$39:$Q$83,$CD$9)&amp;"/"&amp;$BK$1,IF($BK$6="V",INDEX(Tính!$R$39:$R$83,$CD$9)&amp;"/"&amp;$BL$1,IF($BL$6="","",INDEX(Tính!$C$182:$V$226,$CD$9,INDEX(Tính!$C$278:$V$322,$CD$9,$BL$6))))))</f>
        <v/>
      </c>
      <c r="P42" s="42" t="str">
        <f>IF($CD$10="","",IF($BK$6="C","NHÓM CHÍNH",IF($BK$6="V","NHÓM VƯỢT TRỘI",IF($BL$6="","",INDEX($BA$3:$BA$22,INDEX(Tính!$C$278:$V$322,$CD$10,$BL$6))))))</f>
        <v/>
      </c>
      <c r="Q42" s="43" t="str">
        <f>IF(OR($CD$10="",$BL$6=""),"",INDEX(Tính!$C$86:$V$130,$CD$10,INDEX(Tính!$C$278:$V$322,$CD$10,$BL$6)))</f>
        <v/>
      </c>
      <c r="R42" s="43" t="str">
        <f>IF(OR($CD$10="",$BL$6=""),"",INDEX(Tính!$C$134:$V$178,$CD$10,INDEX(Tính!$C$278:$V$322,$CD$10,$BL$6)))</f>
        <v/>
      </c>
      <c r="S42" s="44" t="str">
        <f>IF($CD$10="","",IF($BK$6="C",INDEX(Tính!$Q$39:$Q$83,$CD$10)&amp;"/"&amp;$BK$1,IF($BK$6="V",INDEX(Tính!$R$39:$R$83,$CD$10)&amp;"/"&amp;$BL$1,IF($BL$6="","",INDEX(Tính!$C$182:$V$226,$CD$10,INDEX(Tính!$C$278:$V$322,$CD$10,$BL$6))))))</f>
        <v/>
      </c>
      <c r="CA42">
        <v>40</v>
      </c>
      <c r="CB42">
        <f>IF(Tính!B78="",0,IF(OR($AZ$1=0,Tính!D78=$AZ$1),1,0))</f>
        <v>0</v>
      </c>
      <c r="CC42">
        <f>IF(CB42=1,Tính!M78+1+(45-40)/1000000,-1)</f>
        <v>-1</v>
      </c>
      <c r="CD42" t="str">
        <f>IF(LARGE($CC$3:$CC$47,40)&lt;0,"",MATCH(LARGE($CC$3:$CC$47,40),$CC$3:$CC$47,0))</f>
        <v/>
      </c>
    </row>
    <row r="43" spans="1:82" x14ac:dyDescent="0.3">
      <c r="A43" s="42" t="str">
        <f>IF($CD$7="","",IF($BK$7="C","NHÓM CHÍNH",IF($BK$7="V","NHÓM VƯỢT TRỘI",IF($BL$7="","",INDEX($BA$3:$BA$22,INDEX(Tính!$C$278:$V$322,$CD$7,$BL$7))))))</f>
        <v/>
      </c>
      <c r="B43" s="43" t="str">
        <f>IF(OR($CD$7="",$BL$7=""),"",INDEX(Tính!$C$86:$V$130,$CD$7,INDEX(Tính!$C$278:$V$322,$CD$7,$BL$7)))</f>
        <v/>
      </c>
      <c r="C43" s="43" t="str">
        <f>IF(OR($CD$7="",$BL$7=""),"",INDEX(Tính!$C$134:$V$178,$CD$7,INDEX(Tính!$C$278:$V$322,$CD$7,$BL$7)))</f>
        <v/>
      </c>
      <c r="D43" s="44" t="str">
        <f>IF($CD$7="","",IF($BK$7="C",INDEX(Tính!$Q$39:$Q$83,$CD$7)&amp;"/"&amp;$BK$1,IF($BK$7="V",INDEX(Tính!$R$39:$R$83,$CD$7)&amp;"/"&amp;$BL$1,IF($BL$7="","",INDEX(Tính!$C$182:$V$226,$CD$7,INDEX(Tính!$C$278:$V$322,$CD$7,$BL$7))))))</f>
        <v/>
      </c>
      <c r="F43" s="42" t="str">
        <f>IF($CD$8="","",IF($BK$7="C","NHÓM CHÍNH",IF($BK$7="V","NHÓM VƯỢT TRỘI",IF($BL$7="","",INDEX($BA$3:$BA$22,INDEX(Tính!$C$278:$V$322,$CD$8,$BL$7))))))</f>
        <v/>
      </c>
      <c r="G43" s="43" t="str">
        <f>IF(OR($CD$8="",$BL$7=""),"",INDEX(Tính!$C$86:$V$130,$CD$8,INDEX(Tính!$C$278:$V$322,$CD$8,$BL$7)))</f>
        <v/>
      </c>
      <c r="H43" s="43" t="str">
        <f>IF(OR($CD$8="",$BL$7=""),"",INDEX(Tính!$C$134:$V$178,$CD$8,INDEX(Tính!$C$278:$V$322,$CD$8,$BL$7)))</f>
        <v/>
      </c>
      <c r="I43" s="44" t="str">
        <f>IF($CD$8="","",IF($BK$7="C",INDEX(Tính!$Q$39:$Q$83,$CD$8)&amp;"/"&amp;$BK$1,IF($BK$7="V",INDEX(Tính!$R$39:$R$83,$CD$8)&amp;"/"&amp;$BL$1,IF($BL$7="","",INDEX(Tính!$C$182:$V$226,$CD$8,INDEX(Tính!$C$278:$V$322,$CD$8,$BL$7))))))</f>
        <v/>
      </c>
      <c r="K43" s="42" t="str">
        <f>IF($CD$9="","",IF($BK$7="C","NHÓM CHÍNH",IF($BK$7="V","NHÓM VƯỢT TRỘI",IF($BL$7="","",INDEX($BA$3:$BA$22,INDEX(Tính!$C$278:$V$322,$CD$9,$BL$7))))))</f>
        <v/>
      </c>
      <c r="L43" s="43" t="str">
        <f>IF(OR($CD$9="",$BL$7=""),"",INDEX(Tính!$C$86:$V$130,$CD$9,INDEX(Tính!$C$278:$V$322,$CD$9,$BL$7)))</f>
        <v/>
      </c>
      <c r="M43" s="43" t="str">
        <f>IF(OR($CD$9="",$BL$7=""),"",INDEX(Tính!$C$134:$V$178,$CD$9,INDEX(Tính!$C$278:$V$322,$CD$9,$BL$7)))</f>
        <v/>
      </c>
      <c r="N43" s="44" t="str">
        <f>IF($CD$9="","",IF($BK$7="C",INDEX(Tính!$Q$39:$Q$83,$CD$9)&amp;"/"&amp;$BK$1,IF($BK$7="V",INDEX(Tính!$R$39:$R$83,$CD$9)&amp;"/"&amp;$BL$1,IF($BL$7="","",INDEX(Tính!$C$182:$V$226,$CD$9,INDEX(Tính!$C$278:$V$322,$CD$9,$BL$7))))))</f>
        <v/>
      </c>
      <c r="P43" s="42" t="str">
        <f>IF($CD$10="","",IF($BK$7="C","NHÓM CHÍNH",IF($BK$7="V","NHÓM VƯỢT TRỘI",IF($BL$7="","",INDEX($BA$3:$BA$22,INDEX(Tính!$C$278:$V$322,$CD$10,$BL$7))))))</f>
        <v/>
      </c>
      <c r="Q43" s="43" t="str">
        <f>IF(OR($CD$10="",$BL$7=""),"",INDEX(Tính!$C$86:$V$130,$CD$10,INDEX(Tính!$C$278:$V$322,$CD$10,$BL$7)))</f>
        <v/>
      </c>
      <c r="R43" s="43" t="str">
        <f>IF(OR($CD$10="",$BL$7=""),"",INDEX(Tính!$C$134:$V$178,$CD$10,INDEX(Tính!$C$278:$V$322,$CD$10,$BL$7)))</f>
        <v/>
      </c>
      <c r="S43" s="44" t="str">
        <f>IF($CD$10="","",IF($BK$7="C",INDEX(Tính!$Q$39:$Q$83,$CD$10)&amp;"/"&amp;$BK$1,IF($BK$7="V",INDEX(Tính!$R$39:$R$83,$CD$10)&amp;"/"&amp;$BL$1,IF($BL$7="","",INDEX(Tính!$C$182:$V$226,$CD$10,INDEX(Tính!$C$278:$V$322,$CD$10,$BL$7))))))</f>
        <v/>
      </c>
      <c r="CA43">
        <v>41</v>
      </c>
      <c r="CB43">
        <f>IF(Tính!B79="",0,IF(OR($AZ$1=0,Tính!D79=$AZ$1),1,0))</f>
        <v>0</v>
      </c>
      <c r="CC43">
        <f>IF(CB43=1,Tính!M79+1+(45-41)/1000000,-1)</f>
        <v>-1</v>
      </c>
      <c r="CD43" t="str">
        <f>IF(LARGE($CC$3:$CC$47,41)&lt;0,"",MATCH(LARGE($CC$3:$CC$47,41),$CC$3:$CC$47,0))</f>
        <v/>
      </c>
    </row>
    <row r="44" spans="1:82" x14ac:dyDescent="0.3">
      <c r="A44" s="42" t="str">
        <f>IF($CD$7="","",IF($BK$8="C","NHÓM CHÍNH",IF($BK$8="V","NHÓM VƯỢT TRỘI",IF($BL$8="","",INDEX($BA$3:$BA$22,INDEX(Tính!$C$278:$V$322,$CD$7,$BL$8))))))</f>
        <v/>
      </c>
      <c r="B44" s="43" t="str">
        <f>IF(OR($CD$7="",$BL$8=""),"",INDEX(Tính!$C$86:$V$130,$CD$7,INDEX(Tính!$C$278:$V$322,$CD$7,$BL$8)))</f>
        <v/>
      </c>
      <c r="C44" s="43" t="str">
        <f>IF(OR($CD$7="",$BL$8=""),"",INDEX(Tính!$C$134:$V$178,$CD$7,INDEX(Tính!$C$278:$V$322,$CD$7,$BL$8)))</f>
        <v/>
      </c>
      <c r="D44" s="44" t="str">
        <f>IF($CD$7="","",IF($BK$8="C",INDEX(Tính!$Q$39:$Q$83,$CD$7)&amp;"/"&amp;$BK$1,IF($BK$8="V",INDEX(Tính!$R$39:$R$83,$CD$7)&amp;"/"&amp;$BL$1,IF($BL$8="","",INDEX(Tính!$C$182:$V$226,$CD$7,INDEX(Tính!$C$278:$V$322,$CD$7,$BL$8))))))</f>
        <v/>
      </c>
      <c r="F44" s="42" t="str">
        <f>IF($CD$8="","",IF($BK$8="C","NHÓM CHÍNH",IF($BK$8="V","NHÓM VƯỢT TRỘI",IF($BL$8="","",INDEX($BA$3:$BA$22,INDEX(Tính!$C$278:$V$322,$CD$8,$BL$8))))))</f>
        <v/>
      </c>
      <c r="G44" s="43" t="str">
        <f>IF(OR($CD$8="",$BL$8=""),"",INDEX(Tính!$C$86:$V$130,$CD$8,INDEX(Tính!$C$278:$V$322,$CD$8,$BL$8)))</f>
        <v/>
      </c>
      <c r="H44" s="43" t="str">
        <f>IF(OR($CD$8="",$BL$8=""),"",INDEX(Tính!$C$134:$V$178,$CD$8,INDEX(Tính!$C$278:$V$322,$CD$8,$BL$8)))</f>
        <v/>
      </c>
      <c r="I44" s="44" t="str">
        <f>IF($CD$8="","",IF($BK$8="C",INDEX(Tính!$Q$39:$Q$83,$CD$8)&amp;"/"&amp;$BK$1,IF($BK$8="V",INDEX(Tính!$R$39:$R$83,$CD$8)&amp;"/"&amp;$BL$1,IF($BL$8="","",INDEX(Tính!$C$182:$V$226,$CD$8,INDEX(Tính!$C$278:$V$322,$CD$8,$BL$8))))))</f>
        <v/>
      </c>
      <c r="K44" s="42" t="str">
        <f>IF($CD$9="","",IF($BK$8="C","NHÓM CHÍNH",IF($BK$8="V","NHÓM VƯỢT TRỘI",IF($BL$8="","",INDEX($BA$3:$BA$22,INDEX(Tính!$C$278:$V$322,$CD$9,$BL$8))))))</f>
        <v/>
      </c>
      <c r="L44" s="43" t="str">
        <f>IF(OR($CD$9="",$BL$8=""),"",INDEX(Tính!$C$86:$V$130,$CD$9,INDEX(Tính!$C$278:$V$322,$CD$9,$BL$8)))</f>
        <v/>
      </c>
      <c r="M44" s="43" t="str">
        <f>IF(OR($CD$9="",$BL$8=""),"",INDEX(Tính!$C$134:$V$178,$CD$9,INDEX(Tính!$C$278:$V$322,$CD$9,$BL$8)))</f>
        <v/>
      </c>
      <c r="N44" s="44" t="str">
        <f>IF($CD$9="","",IF($BK$8="C",INDEX(Tính!$Q$39:$Q$83,$CD$9)&amp;"/"&amp;$BK$1,IF($BK$8="V",INDEX(Tính!$R$39:$R$83,$CD$9)&amp;"/"&amp;$BL$1,IF($BL$8="","",INDEX(Tính!$C$182:$V$226,$CD$9,INDEX(Tính!$C$278:$V$322,$CD$9,$BL$8))))))</f>
        <v/>
      </c>
      <c r="P44" s="42" t="str">
        <f>IF($CD$10="","",IF($BK$8="C","NHÓM CHÍNH",IF($BK$8="V","NHÓM VƯỢT TRỘI",IF($BL$8="","",INDEX($BA$3:$BA$22,INDEX(Tính!$C$278:$V$322,$CD$10,$BL$8))))))</f>
        <v/>
      </c>
      <c r="Q44" s="43" t="str">
        <f>IF(OR($CD$10="",$BL$8=""),"",INDEX(Tính!$C$86:$V$130,$CD$10,INDEX(Tính!$C$278:$V$322,$CD$10,$BL$8)))</f>
        <v/>
      </c>
      <c r="R44" s="43" t="str">
        <f>IF(OR($CD$10="",$BL$8=""),"",INDEX(Tính!$C$134:$V$178,$CD$10,INDEX(Tính!$C$278:$V$322,$CD$10,$BL$8)))</f>
        <v/>
      </c>
      <c r="S44" s="44" t="str">
        <f>IF($CD$10="","",IF($BK$8="C",INDEX(Tính!$Q$39:$Q$83,$CD$10)&amp;"/"&amp;$BK$1,IF($BK$8="V",INDEX(Tính!$R$39:$R$83,$CD$10)&amp;"/"&amp;$BL$1,IF($BL$8="","",INDEX(Tính!$C$182:$V$226,$CD$10,INDEX(Tính!$C$278:$V$322,$CD$10,$BL$8))))))</f>
        <v/>
      </c>
      <c r="CA44">
        <v>42</v>
      </c>
      <c r="CB44">
        <f>IF(Tính!B80="",0,IF(OR($AZ$1=0,Tính!D80=$AZ$1),1,0))</f>
        <v>0</v>
      </c>
      <c r="CC44">
        <f>IF(CB44=1,Tính!M80+1+(45-42)/1000000,-1)</f>
        <v>-1</v>
      </c>
      <c r="CD44" t="str">
        <f>IF(LARGE($CC$3:$CC$47,42)&lt;0,"",MATCH(LARGE($CC$3:$CC$47,42),$CC$3:$CC$47,0))</f>
        <v/>
      </c>
    </row>
    <row r="45" spans="1:82" x14ac:dyDescent="0.3">
      <c r="A45" s="42" t="str">
        <f>IF($CD$7="","",IF($BK$9="C","NHÓM CHÍNH",IF($BK$9="V","NHÓM VƯỢT TRỘI",IF($BL$9="","",INDEX($BA$3:$BA$22,INDEX(Tính!$C$278:$V$322,$CD$7,$BL$9))))))</f>
        <v/>
      </c>
      <c r="B45" s="43" t="str">
        <f>IF(OR($CD$7="",$BL$9=""),"",INDEX(Tính!$C$86:$V$130,$CD$7,INDEX(Tính!$C$278:$V$322,$CD$7,$BL$9)))</f>
        <v/>
      </c>
      <c r="C45" s="43" t="str">
        <f>IF(OR($CD$7="",$BL$9=""),"",INDEX(Tính!$C$134:$V$178,$CD$7,INDEX(Tính!$C$278:$V$322,$CD$7,$BL$9)))</f>
        <v/>
      </c>
      <c r="D45" s="44" t="str">
        <f>IF($CD$7="","",IF($BK$9="C",INDEX(Tính!$Q$39:$Q$83,$CD$7)&amp;"/"&amp;$BK$1,IF($BK$9="V",INDEX(Tính!$R$39:$R$83,$CD$7)&amp;"/"&amp;$BL$1,IF($BL$9="","",INDEX(Tính!$C$182:$V$226,$CD$7,INDEX(Tính!$C$278:$V$322,$CD$7,$BL$9))))))</f>
        <v/>
      </c>
      <c r="F45" s="42" t="str">
        <f>IF($CD$8="","",IF($BK$9="C","NHÓM CHÍNH",IF($BK$9="V","NHÓM VƯỢT TRỘI",IF($BL$9="","",INDEX($BA$3:$BA$22,INDEX(Tính!$C$278:$V$322,$CD$8,$BL$9))))))</f>
        <v/>
      </c>
      <c r="G45" s="43" t="str">
        <f>IF(OR($CD$8="",$BL$9=""),"",INDEX(Tính!$C$86:$V$130,$CD$8,INDEX(Tính!$C$278:$V$322,$CD$8,$BL$9)))</f>
        <v/>
      </c>
      <c r="H45" s="43" t="str">
        <f>IF(OR($CD$8="",$BL$9=""),"",INDEX(Tính!$C$134:$V$178,$CD$8,INDEX(Tính!$C$278:$V$322,$CD$8,$BL$9)))</f>
        <v/>
      </c>
      <c r="I45" s="44" t="str">
        <f>IF($CD$8="","",IF($BK$9="C",INDEX(Tính!$Q$39:$Q$83,$CD$8)&amp;"/"&amp;$BK$1,IF($BK$9="V",INDEX(Tính!$R$39:$R$83,$CD$8)&amp;"/"&amp;$BL$1,IF($BL$9="","",INDEX(Tính!$C$182:$V$226,$CD$8,INDEX(Tính!$C$278:$V$322,$CD$8,$BL$9))))))</f>
        <v/>
      </c>
      <c r="K45" s="42" t="str">
        <f>IF($CD$9="","",IF($BK$9="C","NHÓM CHÍNH",IF($BK$9="V","NHÓM VƯỢT TRỘI",IF($BL$9="","",INDEX($BA$3:$BA$22,INDEX(Tính!$C$278:$V$322,$CD$9,$BL$9))))))</f>
        <v/>
      </c>
      <c r="L45" s="43" t="str">
        <f>IF(OR($CD$9="",$BL$9=""),"",INDEX(Tính!$C$86:$V$130,$CD$9,INDEX(Tính!$C$278:$V$322,$CD$9,$BL$9)))</f>
        <v/>
      </c>
      <c r="M45" s="43" t="str">
        <f>IF(OR($CD$9="",$BL$9=""),"",INDEX(Tính!$C$134:$V$178,$CD$9,INDEX(Tính!$C$278:$V$322,$CD$9,$BL$9)))</f>
        <v/>
      </c>
      <c r="N45" s="44" t="str">
        <f>IF($CD$9="","",IF($BK$9="C",INDEX(Tính!$Q$39:$Q$83,$CD$9)&amp;"/"&amp;$BK$1,IF($BK$9="V",INDEX(Tính!$R$39:$R$83,$CD$9)&amp;"/"&amp;$BL$1,IF($BL$9="","",INDEX(Tính!$C$182:$V$226,$CD$9,INDEX(Tính!$C$278:$V$322,$CD$9,$BL$9))))))</f>
        <v/>
      </c>
      <c r="P45" s="42" t="str">
        <f>IF($CD$10="","",IF($BK$9="C","NHÓM CHÍNH",IF($BK$9="V","NHÓM VƯỢT TRỘI",IF($BL$9="","",INDEX($BA$3:$BA$22,INDEX(Tính!$C$278:$V$322,$CD$10,$BL$9))))))</f>
        <v/>
      </c>
      <c r="Q45" s="43" t="str">
        <f>IF(OR($CD$10="",$BL$9=""),"",INDEX(Tính!$C$86:$V$130,$CD$10,INDEX(Tính!$C$278:$V$322,$CD$10,$BL$9)))</f>
        <v/>
      </c>
      <c r="R45" s="43" t="str">
        <f>IF(OR($CD$10="",$BL$9=""),"",INDEX(Tính!$C$134:$V$178,$CD$10,INDEX(Tính!$C$278:$V$322,$CD$10,$BL$9)))</f>
        <v/>
      </c>
      <c r="S45" s="44" t="str">
        <f>IF($CD$10="","",IF($BK$9="C",INDEX(Tính!$Q$39:$Q$83,$CD$10)&amp;"/"&amp;$BK$1,IF($BK$9="V",INDEX(Tính!$R$39:$R$83,$CD$10)&amp;"/"&amp;$BL$1,IF($BL$9="","",INDEX(Tính!$C$182:$V$226,$CD$10,INDEX(Tính!$C$278:$V$322,$CD$10,$BL$9))))))</f>
        <v/>
      </c>
      <c r="CA45">
        <v>43</v>
      </c>
      <c r="CB45">
        <f>IF(Tính!B81="",0,IF(OR($AZ$1=0,Tính!D81=$AZ$1),1,0))</f>
        <v>0</v>
      </c>
      <c r="CC45">
        <f>IF(CB45=1,Tính!M81+1+(45-43)/1000000,-1)</f>
        <v>-1</v>
      </c>
      <c r="CD45" t="str">
        <f>IF(LARGE($CC$3:$CC$47,43)&lt;0,"",MATCH(LARGE($CC$3:$CC$47,43),$CC$3:$CC$47,0))</f>
        <v/>
      </c>
    </row>
    <row r="46" spans="1:82" x14ac:dyDescent="0.3">
      <c r="A46" s="42" t="str">
        <f>IF($CD$7="","",IF($BK$10="C","NHÓM CHÍNH",IF($BK$10="V","NHÓM VƯỢT TRỘI",IF($BL$10="","",INDEX($BA$3:$BA$22,INDEX(Tính!$C$278:$V$322,$CD$7,$BL$10))))))</f>
        <v/>
      </c>
      <c r="B46" s="43" t="str">
        <f>IF(OR($CD$7="",$BL$10=""),"",INDEX(Tính!$C$86:$V$130,$CD$7,INDEX(Tính!$C$278:$V$322,$CD$7,$BL$10)))</f>
        <v/>
      </c>
      <c r="C46" s="43" t="str">
        <f>IF(OR($CD$7="",$BL$10=""),"",INDEX(Tính!$C$134:$V$178,$CD$7,INDEX(Tính!$C$278:$V$322,$CD$7,$BL$10)))</f>
        <v/>
      </c>
      <c r="D46" s="44" t="str">
        <f>IF($CD$7="","",IF($BK$10="C",INDEX(Tính!$Q$39:$Q$83,$CD$7)&amp;"/"&amp;$BK$1,IF($BK$10="V",INDEX(Tính!$R$39:$R$83,$CD$7)&amp;"/"&amp;$BL$1,IF($BL$10="","",INDEX(Tính!$C$182:$V$226,$CD$7,INDEX(Tính!$C$278:$V$322,$CD$7,$BL$10))))))</f>
        <v/>
      </c>
      <c r="F46" s="42" t="str">
        <f>IF($CD$8="","",IF($BK$10="C","NHÓM CHÍNH",IF($BK$10="V","NHÓM VƯỢT TRỘI",IF($BL$10="","",INDEX($BA$3:$BA$22,INDEX(Tính!$C$278:$V$322,$CD$8,$BL$10))))))</f>
        <v/>
      </c>
      <c r="G46" s="43" t="str">
        <f>IF(OR($CD$8="",$BL$10=""),"",INDEX(Tính!$C$86:$V$130,$CD$8,INDEX(Tính!$C$278:$V$322,$CD$8,$BL$10)))</f>
        <v/>
      </c>
      <c r="H46" s="43" t="str">
        <f>IF(OR($CD$8="",$BL$10=""),"",INDEX(Tính!$C$134:$V$178,$CD$8,INDEX(Tính!$C$278:$V$322,$CD$8,$BL$10)))</f>
        <v/>
      </c>
      <c r="I46" s="44" t="str">
        <f>IF($CD$8="","",IF($BK$10="C",INDEX(Tính!$Q$39:$Q$83,$CD$8)&amp;"/"&amp;$BK$1,IF($BK$10="V",INDEX(Tính!$R$39:$R$83,$CD$8)&amp;"/"&amp;$BL$1,IF($BL$10="","",INDEX(Tính!$C$182:$V$226,$CD$8,INDEX(Tính!$C$278:$V$322,$CD$8,$BL$10))))))</f>
        <v/>
      </c>
      <c r="K46" s="42" t="str">
        <f>IF($CD$9="","",IF($BK$10="C","NHÓM CHÍNH",IF($BK$10="V","NHÓM VƯỢT TRỘI",IF($BL$10="","",INDEX($BA$3:$BA$22,INDEX(Tính!$C$278:$V$322,$CD$9,$BL$10))))))</f>
        <v/>
      </c>
      <c r="L46" s="43" t="str">
        <f>IF(OR($CD$9="",$BL$10=""),"",INDEX(Tính!$C$86:$V$130,$CD$9,INDEX(Tính!$C$278:$V$322,$CD$9,$BL$10)))</f>
        <v/>
      </c>
      <c r="M46" s="43" t="str">
        <f>IF(OR($CD$9="",$BL$10=""),"",INDEX(Tính!$C$134:$V$178,$CD$9,INDEX(Tính!$C$278:$V$322,$CD$9,$BL$10)))</f>
        <v/>
      </c>
      <c r="N46" s="44" t="str">
        <f>IF($CD$9="","",IF($BK$10="C",INDEX(Tính!$Q$39:$Q$83,$CD$9)&amp;"/"&amp;$BK$1,IF($BK$10="V",INDEX(Tính!$R$39:$R$83,$CD$9)&amp;"/"&amp;$BL$1,IF($BL$10="","",INDEX(Tính!$C$182:$V$226,$CD$9,INDEX(Tính!$C$278:$V$322,$CD$9,$BL$10))))))</f>
        <v/>
      </c>
      <c r="P46" s="42" t="str">
        <f>IF($CD$10="","",IF($BK$10="C","NHÓM CHÍNH",IF($BK$10="V","NHÓM VƯỢT TRỘI",IF($BL$10="","",INDEX($BA$3:$BA$22,INDEX(Tính!$C$278:$V$322,$CD$10,$BL$10))))))</f>
        <v/>
      </c>
      <c r="Q46" s="43" t="str">
        <f>IF(OR($CD$10="",$BL$10=""),"",INDEX(Tính!$C$86:$V$130,$CD$10,INDEX(Tính!$C$278:$V$322,$CD$10,$BL$10)))</f>
        <v/>
      </c>
      <c r="R46" s="43" t="str">
        <f>IF(OR($CD$10="",$BL$10=""),"",INDEX(Tính!$C$134:$V$178,$CD$10,INDEX(Tính!$C$278:$V$322,$CD$10,$BL$10)))</f>
        <v/>
      </c>
      <c r="S46" s="44" t="str">
        <f>IF($CD$10="","",IF($BK$10="C",INDEX(Tính!$Q$39:$Q$83,$CD$10)&amp;"/"&amp;$BK$1,IF($BK$10="V",INDEX(Tính!$R$39:$R$83,$CD$10)&amp;"/"&amp;$BL$1,IF($BL$10="","",INDEX(Tính!$C$182:$V$226,$CD$10,INDEX(Tính!$C$278:$V$322,$CD$10,$BL$10))))))</f>
        <v/>
      </c>
      <c r="CA46">
        <v>44</v>
      </c>
      <c r="CB46">
        <f>IF(Tính!B82="",0,IF(OR($AZ$1=0,Tính!D82=$AZ$1),1,0))</f>
        <v>0</v>
      </c>
      <c r="CC46">
        <f>IF(CB46=1,Tính!M82+1+(45-44)/1000000,-1)</f>
        <v>-1</v>
      </c>
      <c r="CD46" t="str">
        <f>IF(LARGE($CC$3:$CC$47,44)&lt;0,"",MATCH(LARGE($CC$3:$CC$47,44),$CC$3:$CC$47,0))</f>
        <v/>
      </c>
    </row>
    <row r="47" spans="1:82" x14ac:dyDescent="0.3">
      <c r="A47" s="42" t="str">
        <f>IF($CD$7="","",IF($BK$11="C","NHÓM CHÍNH",IF($BK$11="V","NHÓM VƯỢT TRỘI",IF($BL$11="","",INDEX($BA$3:$BA$22,INDEX(Tính!$C$278:$V$322,$CD$7,$BL$11))))))</f>
        <v/>
      </c>
      <c r="B47" s="43" t="str">
        <f>IF(OR($CD$7="",$BL$11=""),"",INDEX(Tính!$C$86:$V$130,$CD$7,INDEX(Tính!$C$278:$V$322,$CD$7,$BL$11)))</f>
        <v/>
      </c>
      <c r="C47" s="43" t="str">
        <f>IF(OR($CD$7="",$BL$11=""),"",INDEX(Tính!$C$134:$V$178,$CD$7,INDEX(Tính!$C$278:$V$322,$CD$7,$BL$11)))</f>
        <v/>
      </c>
      <c r="D47" s="44" t="str">
        <f>IF($CD$7="","",IF($BK$11="C",INDEX(Tính!$Q$39:$Q$83,$CD$7)&amp;"/"&amp;$BK$1,IF($BK$11="V",INDEX(Tính!$R$39:$R$83,$CD$7)&amp;"/"&amp;$BL$1,IF($BL$11="","",INDEX(Tính!$C$182:$V$226,$CD$7,INDEX(Tính!$C$278:$V$322,$CD$7,$BL$11))))))</f>
        <v/>
      </c>
      <c r="F47" s="42" t="str">
        <f>IF($CD$8="","",IF($BK$11="C","NHÓM CHÍNH",IF($BK$11="V","NHÓM VƯỢT TRỘI",IF($BL$11="","",INDEX($BA$3:$BA$22,INDEX(Tính!$C$278:$V$322,$CD$8,$BL$11))))))</f>
        <v/>
      </c>
      <c r="G47" s="43" t="str">
        <f>IF(OR($CD$8="",$BL$11=""),"",INDEX(Tính!$C$86:$V$130,$CD$8,INDEX(Tính!$C$278:$V$322,$CD$8,$BL$11)))</f>
        <v/>
      </c>
      <c r="H47" s="43" t="str">
        <f>IF(OR($CD$8="",$BL$11=""),"",INDEX(Tính!$C$134:$V$178,$CD$8,INDEX(Tính!$C$278:$V$322,$CD$8,$BL$11)))</f>
        <v/>
      </c>
      <c r="I47" s="44" t="str">
        <f>IF($CD$8="","",IF($BK$11="C",INDEX(Tính!$Q$39:$Q$83,$CD$8)&amp;"/"&amp;$BK$1,IF($BK$11="V",INDEX(Tính!$R$39:$R$83,$CD$8)&amp;"/"&amp;$BL$1,IF($BL$11="","",INDEX(Tính!$C$182:$V$226,$CD$8,INDEX(Tính!$C$278:$V$322,$CD$8,$BL$11))))))</f>
        <v/>
      </c>
      <c r="K47" s="42" t="str">
        <f>IF($CD$9="","",IF($BK$11="C","NHÓM CHÍNH",IF($BK$11="V","NHÓM VƯỢT TRỘI",IF($BL$11="","",INDEX($BA$3:$BA$22,INDEX(Tính!$C$278:$V$322,$CD$9,$BL$11))))))</f>
        <v/>
      </c>
      <c r="L47" s="43" t="str">
        <f>IF(OR($CD$9="",$BL$11=""),"",INDEX(Tính!$C$86:$V$130,$CD$9,INDEX(Tính!$C$278:$V$322,$CD$9,$BL$11)))</f>
        <v/>
      </c>
      <c r="M47" s="43" t="str">
        <f>IF(OR($CD$9="",$BL$11=""),"",INDEX(Tính!$C$134:$V$178,$CD$9,INDEX(Tính!$C$278:$V$322,$CD$9,$BL$11)))</f>
        <v/>
      </c>
      <c r="N47" s="44" t="str">
        <f>IF($CD$9="","",IF($BK$11="C",INDEX(Tính!$Q$39:$Q$83,$CD$9)&amp;"/"&amp;$BK$1,IF($BK$11="V",INDEX(Tính!$R$39:$R$83,$CD$9)&amp;"/"&amp;$BL$1,IF($BL$11="","",INDEX(Tính!$C$182:$V$226,$CD$9,INDEX(Tính!$C$278:$V$322,$CD$9,$BL$11))))))</f>
        <v/>
      </c>
      <c r="P47" s="42" t="str">
        <f>IF($CD$10="","",IF($BK$11="C","NHÓM CHÍNH",IF($BK$11="V","NHÓM VƯỢT TRỘI",IF($BL$11="","",INDEX($BA$3:$BA$22,INDEX(Tính!$C$278:$V$322,$CD$10,$BL$11))))))</f>
        <v/>
      </c>
      <c r="Q47" s="43" t="str">
        <f>IF(OR($CD$10="",$BL$11=""),"",INDEX(Tính!$C$86:$V$130,$CD$10,INDEX(Tính!$C$278:$V$322,$CD$10,$BL$11)))</f>
        <v/>
      </c>
      <c r="R47" s="43" t="str">
        <f>IF(OR($CD$10="",$BL$11=""),"",INDEX(Tính!$C$134:$V$178,$CD$10,INDEX(Tính!$C$278:$V$322,$CD$10,$BL$11)))</f>
        <v/>
      </c>
      <c r="S47" s="44" t="str">
        <f>IF($CD$10="","",IF($BK$11="C",INDEX(Tính!$Q$39:$Q$83,$CD$10)&amp;"/"&amp;$BK$1,IF($BK$11="V",INDEX(Tính!$R$39:$R$83,$CD$10)&amp;"/"&amp;$BL$1,IF($BL$11="","",INDEX(Tính!$C$182:$V$226,$CD$10,INDEX(Tính!$C$278:$V$322,$CD$10,$BL$11))))))</f>
        <v/>
      </c>
      <c r="CA47">
        <v>45</v>
      </c>
      <c r="CB47">
        <f>IF(Tính!B83="",0,IF(OR($AZ$1=0,Tính!D83=$AZ$1),1,0))</f>
        <v>0</v>
      </c>
      <c r="CC47">
        <f>IF(CB47=1,Tính!M83+1+(45-45)/1000000,-1)</f>
        <v>-1</v>
      </c>
      <c r="CD47" t="str">
        <f>IF(LARGE($CC$3:$CC$47,45)&lt;0,"",MATCH(LARGE($CC$3:$CC$47,45),$CC$3:$CC$47,0))</f>
        <v/>
      </c>
    </row>
    <row r="48" spans="1:82" x14ac:dyDescent="0.3">
      <c r="A48" s="42" t="str">
        <f>IF($CD$7="","",IF($BK$12="C","NHÓM CHÍNH",IF($BK$12="V","NHÓM VƯỢT TRỘI",IF($BL$12="","",INDEX($BA$3:$BA$22,INDEX(Tính!$C$278:$V$322,$CD$7,$BL$12))))))</f>
        <v/>
      </c>
      <c r="B48" s="43" t="str">
        <f>IF(OR($CD$7="",$BL$12=""),"",INDEX(Tính!$C$86:$V$130,$CD$7,INDEX(Tính!$C$278:$V$322,$CD$7,$BL$12)))</f>
        <v/>
      </c>
      <c r="C48" s="43" t="str">
        <f>IF(OR($CD$7="",$BL$12=""),"",INDEX(Tính!$C$134:$V$178,$CD$7,INDEX(Tính!$C$278:$V$322,$CD$7,$BL$12)))</f>
        <v/>
      </c>
      <c r="D48" s="44" t="str">
        <f>IF($CD$7="","",IF($BK$12="C",INDEX(Tính!$Q$39:$Q$83,$CD$7)&amp;"/"&amp;$BK$1,IF($BK$12="V",INDEX(Tính!$R$39:$R$83,$CD$7)&amp;"/"&amp;$BL$1,IF($BL$12="","",INDEX(Tính!$C$182:$V$226,$CD$7,INDEX(Tính!$C$278:$V$322,$CD$7,$BL$12))))))</f>
        <v/>
      </c>
      <c r="F48" s="42" t="str">
        <f>IF($CD$8="","",IF($BK$12="C","NHÓM CHÍNH",IF($BK$12="V","NHÓM VƯỢT TRỘI",IF($BL$12="","",INDEX($BA$3:$BA$22,INDEX(Tính!$C$278:$V$322,$CD$8,$BL$12))))))</f>
        <v/>
      </c>
      <c r="G48" s="43" t="str">
        <f>IF(OR($CD$8="",$BL$12=""),"",INDEX(Tính!$C$86:$V$130,$CD$8,INDEX(Tính!$C$278:$V$322,$CD$8,$BL$12)))</f>
        <v/>
      </c>
      <c r="H48" s="43" t="str">
        <f>IF(OR($CD$8="",$BL$12=""),"",INDEX(Tính!$C$134:$V$178,$CD$8,INDEX(Tính!$C$278:$V$322,$CD$8,$BL$12)))</f>
        <v/>
      </c>
      <c r="I48" s="44" t="str">
        <f>IF($CD$8="","",IF($BK$12="C",INDEX(Tính!$Q$39:$Q$83,$CD$8)&amp;"/"&amp;$BK$1,IF($BK$12="V",INDEX(Tính!$R$39:$R$83,$CD$8)&amp;"/"&amp;$BL$1,IF($BL$12="","",INDEX(Tính!$C$182:$V$226,$CD$8,INDEX(Tính!$C$278:$V$322,$CD$8,$BL$12))))))</f>
        <v/>
      </c>
      <c r="K48" s="42" t="str">
        <f>IF($CD$9="","",IF($BK$12="C","NHÓM CHÍNH",IF($BK$12="V","NHÓM VƯỢT TRỘI",IF($BL$12="","",INDEX($BA$3:$BA$22,INDEX(Tính!$C$278:$V$322,$CD$9,$BL$12))))))</f>
        <v/>
      </c>
      <c r="L48" s="43" t="str">
        <f>IF(OR($CD$9="",$BL$12=""),"",INDEX(Tính!$C$86:$V$130,$CD$9,INDEX(Tính!$C$278:$V$322,$CD$9,$BL$12)))</f>
        <v/>
      </c>
      <c r="M48" s="43" t="str">
        <f>IF(OR($CD$9="",$BL$12=""),"",INDEX(Tính!$C$134:$V$178,$CD$9,INDEX(Tính!$C$278:$V$322,$CD$9,$BL$12)))</f>
        <v/>
      </c>
      <c r="N48" s="44" t="str">
        <f>IF($CD$9="","",IF($BK$12="C",INDEX(Tính!$Q$39:$Q$83,$CD$9)&amp;"/"&amp;$BK$1,IF($BK$12="V",INDEX(Tính!$R$39:$R$83,$CD$9)&amp;"/"&amp;$BL$1,IF($BL$12="","",INDEX(Tính!$C$182:$V$226,$CD$9,INDEX(Tính!$C$278:$V$322,$CD$9,$BL$12))))))</f>
        <v/>
      </c>
      <c r="P48" s="42" t="str">
        <f>IF($CD$10="","",IF($BK$12="C","NHÓM CHÍNH",IF($BK$12="V","NHÓM VƯỢT TRỘI",IF($BL$12="","",INDEX($BA$3:$BA$22,INDEX(Tính!$C$278:$V$322,$CD$10,$BL$12))))))</f>
        <v/>
      </c>
      <c r="Q48" s="43" t="str">
        <f>IF(OR($CD$10="",$BL$12=""),"",INDEX(Tính!$C$86:$V$130,$CD$10,INDEX(Tính!$C$278:$V$322,$CD$10,$BL$12)))</f>
        <v/>
      </c>
      <c r="R48" s="43" t="str">
        <f>IF(OR($CD$10="",$BL$12=""),"",INDEX(Tính!$C$134:$V$178,$CD$10,INDEX(Tính!$C$278:$V$322,$CD$10,$BL$12)))</f>
        <v/>
      </c>
      <c r="S48" s="44" t="str">
        <f>IF($CD$10="","",IF($BK$12="C",INDEX(Tính!$Q$39:$Q$83,$CD$10)&amp;"/"&amp;$BK$1,IF($BK$12="V",INDEX(Tính!$R$39:$R$83,$CD$10)&amp;"/"&amp;$BL$1,IF($BL$12="","",INDEX(Tính!$C$182:$V$226,$CD$10,INDEX(Tính!$C$278:$V$322,$CD$10,$BL$12))))))</f>
        <v/>
      </c>
    </row>
    <row r="49" spans="1:19" x14ac:dyDescent="0.3">
      <c r="A49" s="42" t="str">
        <f>IF($CD$7="","",IF($BK$13="C","NHÓM CHÍNH",IF($BK$13="V","NHÓM VƯỢT TRỘI",IF($BL$13="","",INDEX($BA$3:$BA$22,INDEX(Tính!$C$278:$V$322,$CD$7,$BL$13))))))</f>
        <v/>
      </c>
      <c r="B49" s="43" t="str">
        <f>IF(OR($CD$7="",$BL$13=""),"",INDEX(Tính!$C$86:$V$130,$CD$7,INDEX(Tính!$C$278:$V$322,$CD$7,$BL$13)))</f>
        <v/>
      </c>
      <c r="C49" s="43" t="str">
        <f>IF(OR($CD$7="",$BL$13=""),"",INDEX(Tính!$C$134:$V$178,$CD$7,INDEX(Tính!$C$278:$V$322,$CD$7,$BL$13)))</f>
        <v/>
      </c>
      <c r="D49" s="44" t="str">
        <f>IF($CD$7="","",IF($BK$13="C",INDEX(Tính!$Q$39:$Q$83,$CD$7)&amp;"/"&amp;$BK$1,IF($BK$13="V",INDEX(Tính!$R$39:$R$83,$CD$7)&amp;"/"&amp;$BL$1,IF($BL$13="","",INDEX(Tính!$C$182:$V$226,$CD$7,INDEX(Tính!$C$278:$V$322,$CD$7,$BL$13))))))</f>
        <v/>
      </c>
      <c r="F49" s="42" t="str">
        <f>IF($CD$8="","",IF($BK$13="C","NHÓM CHÍNH",IF($BK$13="V","NHÓM VƯỢT TRỘI",IF($BL$13="","",INDEX($BA$3:$BA$22,INDEX(Tính!$C$278:$V$322,$CD$8,$BL$13))))))</f>
        <v/>
      </c>
      <c r="G49" s="43" t="str">
        <f>IF(OR($CD$8="",$BL$13=""),"",INDEX(Tính!$C$86:$V$130,$CD$8,INDEX(Tính!$C$278:$V$322,$CD$8,$BL$13)))</f>
        <v/>
      </c>
      <c r="H49" s="43" t="str">
        <f>IF(OR($CD$8="",$BL$13=""),"",INDEX(Tính!$C$134:$V$178,$CD$8,INDEX(Tính!$C$278:$V$322,$CD$8,$BL$13)))</f>
        <v/>
      </c>
      <c r="I49" s="44" t="str">
        <f>IF($CD$8="","",IF($BK$13="C",INDEX(Tính!$Q$39:$Q$83,$CD$8)&amp;"/"&amp;$BK$1,IF($BK$13="V",INDEX(Tính!$R$39:$R$83,$CD$8)&amp;"/"&amp;$BL$1,IF($BL$13="","",INDEX(Tính!$C$182:$V$226,$CD$8,INDEX(Tính!$C$278:$V$322,$CD$8,$BL$13))))))</f>
        <v/>
      </c>
      <c r="K49" s="42" t="str">
        <f>IF($CD$9="","",IF($BK$13="C","NHÓM CHÍNH",IF($BK$13="V","NHÓM VƯỢT TRỘI",IF($BL$13="","",INDEX($BA$3:$BA$22,INDEX(Tính!$C$278:$V$322,$CD$9,$BL$13))))))</f>
        <v/>
      </c>
      <c r="L49" s="43" t="str">
        <f>IF(OR($CD$9="",$BL$13=""),"",INDEX(Tính!$C$86:$V$130,$CD$9,INDEX(Tính!$C$278:$V$322,$CD$9,$BL$13)))</f>
        <v/>
      </c>
      <c r="M49" s="43" t="str">
        <f>IF(OR($CD$9="",$BL$13=""),"",INDEX(Tính!$C$134:$V$178,$CD$9,INDEX(Tính!$C$278:$V$322,$CD$9,$BL$13)))</f>
        <v/>
      </c>
      <c r="N49" s="44" t="str">
        <f>IF($CD$9="","",IF($BK$13="C",INDEX(Tính!$Q$39:$Q$83,$CD$9)&amp;"/"&amp;$BK$1,IF($BK$13="V",INDEX(Tính!$R$39:$R$83,$CD$9)&amp;"/"&amp;$BL$1,IF($BL$13="","",INDEX(Tính!$C$182:$V$226,$CD$9,INDEX(Tính!$C$278:$V$322,$CD$9,$BL$13))))))</f>
        <v/>
      </c>
      <c r="P49" s="42" t="str">
        <f>IF($CD$10="","",IF($BK$13="C","NHÓM CHÍNH",IF($BK$13="V","NHÓM VƯỢT TRỘI",IF($BL$13="","",INDEX($BA$3:$BA$22,INDEX(Tính!$C$278:$V$322,$CD$10,$BL$13))))))</f>
        <v/>
      </c>
      <c r="Q49" s="43" t="str">
        <f>IF(OR($CD$10="",$BL$13=""),"",INDEX(Tính!$C$86:$V$130,$CD$10,INDEX(Tính!$C$278:$V$322,$CD$10,$BL$13)))</f>
        <v/>
      </c>
      <c r="R49" s="43" t="str">
        <f>IF(OR($CD$10="",$BL$13=""),"",INDEX(Tính!$C$134:$V$178,$CD$10,INDEX(Tính!$C$278:$V$322,$CD$10,$BL$13)))</f>
        <v/>
      </c>
      <c r="S49" s="44" t="str">
        <f>IF($CD$10="","",IF($BK$13="C",INDEX(Tính!$Q$39:$Q$83,$CD$10)&amp;"/"&amp;$BK$1,IF($BK$13="V",INDEX(Tính!$R$39:$R$83,$CD$10)&amp;"/"&amp;$BL$1,IF($BL$13="","",INDEX(Tính!$C$182:$V$226,$CD$10,INDEX(Tính!$C$278:$V$322,$CD$10,$BL$13))))))</f>
        <v/>
      </c>
    </row>
    <row r="50" spans="1:19" x14ac:dyDescent="0.3">
      <c r="A50" s="42" t="str">
        <f>IF($CD$7="","",IF($BK$14="C","NHÓM CHÍNH",IF($BK$14="V","NHÓM VƯỢT TRỘI",IF($BL$14="","",INDEX($BA$3:$BA$22,INDEX(Tính!$C$278:$V$322,$CD$7,$BL$14))))))</f>
        <v/>
      </c>
      <c r="B50" s="43" t="str">
        <f>IF(OR($CD$7="",$BL$14=""),"",INDEX(Tính!$C$86:$V$130,$CD$7,INDEX(Tính!$C$278:$V$322,$CD$7,$BL$14)))</f>
        <v/>
      </c>
      <c r="C50" s="43" t="str">
        <f>IF(OR($CD$7="",$BL$14=""),"",INDEX(Tính!$C$134:$V$178,$CD$7,INDEX(Tính!$C$278:$V$322,$CD$7,$BL$14)))</f>
        <v/>
      </c>
      <c r="D50" s="44" t="str">
        <f>IF($CD$7="","",IF($BK$14="C",INDEX(Tính!$Q$39:$Q$83,$CD$7)&amp;"/"&amp;$BK$1,IF($BK$14="V",INDEX(Tính!$R$39:$R$83,$CD$7)&amp;"/"&amp;$BL$1,IF($BL$14="","",INDEX(Tính!$C$182:$V$226,$CD$7,INDEX(Tính!$C$278:$V$322,$CD$7,$BL$14))))))</f>
        <v/>
      </c>
      <c r="F50" s="42" t="str">
        <f>IF($CD$8="","",IF($BK$14="C","NHÓM CHÍNH",IF($BK$14="V","NHÓM VƯỢT TRỘI",IF($BL$14="","",INDEX($BA$3:$BA$22,INDEX(Tính!$C$278:$V$322,$CD$8,$BL$14))))))</f>
        <v/>
      </c>
      <c r="G50" s="43" t="str">
        <f>IF(OR($CD$8="",$BL$14=""),"",INDEX(Tính!$C$86:$V$130,$CD$8,INDEX(Tính!$C$278:$V$322,$CD$8,$BL$14)))</f>
        <v/>
      </c>
      <c r="H50" s="43" t="str">
        <f>IF(OR($CD$8="",$BL$14=""),"",INDEX(Tính!$C$134:$V$178,$CD$8,INDEX(Tính!$C$278:$V$322,$CD$8,$BL$14)))</f>
        <v/>
      </c>
      <c r="I50" s="44" t="str">
        <f>IF($CD$8="","",IF($BK$14="C",INDEX(Tính!$Q$39:$Q$83,$CD$8)&amp;"/"&amp;$BK$1,IF($BK$14="V",INDEX(Tính!$R$39:$R$83,$CD$8)&amp;"/"&amp;$BL$1,IF($BL$14="","",INDEX(Tính!$C$182:$V$226,$CD$8,INDEX(Tính!$C$278:$V$322,$CD$8,$BL$14))))))</f>
        <v/>
      </c>
      <c r="K50" s="42" t="str">
        <f>IF($CD$9="","",IF($BK$14="C","NHÓM CHÍNH",IF($BK$14="V","NHÓM VƯỢT TRỘI",IF($BL$14="","",INDEX($BA$3:$BA$22,INDEX(Tính!$C$278:$V$322,$CD$9,$BL$14))))))</f>
        <v/>
      </c>
      <c r="L50" s="43" t="str">
        <f>IF(OR($CD$9="",$BL$14=""),"",INDEX(Tính!$C$86:$V$130,$CD$9,INDEX(Tính!$C$278:$V$322,$CD$9,$BL$14)))</f>
        <v/>
      </c>
      <c r="M50" s="43" t="str">
        <f>IF(OR($CD$9="",$BL$14=""),"",INDEX(Tính!$C$134:$V$178,$CD$9,INDEX(Tính!$C$278:$V$322,$CD$9,$BL$14)))</f>
        <v/>
      </c>
      <c r="N50" s="44" t="str">
        <f>IF($CD$9="","",IF($BK$14="C",INDEX(Tính!$Q$39:$Q$83,$CD$9)&amp;"/"&amp;$BK$1,IF($BK$14="V",INDEX(Tính!$R$39:$R$83,$CD$9)&amp;"/"&amp;$BL$1,IF($BL$14="","",INDEX(Tính!$C$182:$V$226,$CD$9,INDEX(Tính!$C$278:$V$322,$CD$9,$BL$14))))))</f>
        <v/>
      </c>
      <c r="P50" s="42" t="str">
        <f>IF($CD$10="","",IF($BK$14="C","NHÓM CHÍNH",IF($BK$14="V","NHÓM VƯỢT TRỘI",IF($BL$14="","",INDEX($BA$3:$BA$22,INDEX(Tính!$C$278:$V$322,$CD$10,$BL$14))))))</f>
        <v/>
      </c>
      <c r="Q50" s="43" t="str">
        <f>IF(OR($CD$10="",$BL$14=""),"",INDEX(Tính!$C$86:$V$130,$CD$10,INDEX(Tính!$C$278:$V$322,$CD$10,$BL$14)))</f>
        <v/>
      </c>
      <c r="R50" s="43" t="str">
        <f>IF(OR($CD$10="",$BL$14=""),"",INDEX(Tính!$C$134:$V$178,$CD$10,INDEX(Tính!$C$278:$V$322,$CD$10,$BL$14)))</f>
        <v/>
      </c>
      <c r="S50" s="44" t="str">
        <f>IF($CD$10="","",IF($BK$14="C",INDEX(Tính!$Q$39:$Q$83,$CD$10)&amp;"/"&amp;$BK$1,IF($BK$14="V",INDEX(Tính!$R$39:$R$83,$CD$10)&amp;"/"&amp;$BL$1,IF($BL$14="","",INDEX(Tính!$C$182:$V$226,$CD$10,INDEX(Tính!$C$278:$V$322,$CD$10,$BL$14))))))</f>
        <v/>
      </c>
    </row>
    <row r="51" spans="1:19" x14ac:dyDescent="0.3">
      <c r="A51" s="42" t="str">
        <f>IF($CD$7="","",IF($BK$15="C","NHÓM CHÍNH",IF($BK$15="V","NHÓM VƯỢT TRỘI",IF($BL$15="","",INDEX($BA$3:$BA$22,INDEX(Tính!$C$278:$V$322,$CD$7,$BL$15))))))</f>
        <v/>
      </c>
      <c r="B51" s="43" t="str">
        <f>IF(OR($CD$7="",$BL$15=""),"",INDEX(Tính!$C$86:$V$130,$CD$7,INDEX(Tính!$C$278:$V$322,$CD$7,$BL$15)))</f>
        <v/>
      </c>
      <c r="C51" s="43" t="str">
        <f>IF(OR($CD$7="",$BL$15=""),"",INDEX(Tính!$C$134:$V$178,$CD$7,INDEX(Tính!$C$278:$V$322,$CD$7,$BL$15)))</f>
        <v/>
      </c>
      <c r="D51" s="44" t="str">
        <f>IF($CD$7="","",IF($BK$15="C",INDEX(Tính!$Q$39:$Q$83,$CD$7)&amp;"/"&amp;$BK$1,IF($BK$15="V",INDEX(Tính!$R$39:$R$83,$CD$7)&amp;"/"&amp;$BL$1,IF($BL$15="","",INDEX(Tính!$C$182:$V$226,$CD$7,INDEX(Tính!$C$278:$V$322,$CD$7,$BL$15))))))</f>
        <v/>
      </c>
      <c r="F51" s="42" t="str">
        <f>IF($CD$8="","",IF($BK$15="C","NHÓM CHÍNH",IF($BK$15="V","NHÓM VƯỢT TRỘI",IF($BL$15="","",INDEX($BA$3:$BA$22,INDEX(Tính!$C$278:$V$322,$CD$8,$BL$15))))))</f>
        <v/>
      </c>
      <c r="G51" s="43" t="str">
        <f>IF(OR($CD$8="",$BL$15=""),"",INDEX(Tính!$C$86:$V$130,$CD$8,INDEX(Tính!$C$278:$V$322,$CD$8,$BL$15)))</f>
        <v/>
      </c>
      <c r="H51" s="43" t="str">
        <f>IF(OR($CD$8="",$BL$15=""),"",INDEX(Tính!$C$134:$V$178,$CD$8,INDEX(Tính!$C$278:$V$322,$CD$8,$BL$15)))</f>
        <v/>
      </c>
      <c r="I51" s="44" t="str">
        <f>IF($CD$8="","",IF($BK$15="C",INDEX(Tính!$Q$39:$Q$83,$CD$8)&amp;"/"&amp;$BK$1,IF($BK$15="V",INDEX(Tính!$R$39:$R$83,$CD$8)&amp;"/"&amp;$BL$1,IF($BL$15="","",INDEX(Tính!$C$182:$V$226,$CD$8,INDEX(Tính!$C$278:$V$322,$CD$8,$BL$15))))))</f>
        <v/>
      </c>
      <c r="K51" s="42" t="str">
        <f>IF($CD$9="","",IF($BK$15="C","NHÓM CHÍNH",IF($BK$15="V","NHÓM VƯỢT TRỘI",IF($BL$15="","",INDEX($BA$3:$BA$22,INDEX(Tính!$C$278:$V$322,$CD$9,$BL$15))))))</f>
        <v/>
      </c>
      <c r="L51" s="43" t="str">
        <f>IF(OR($CD$9="",$BL$15=""),"",INDEX(Tính!$C$86:$V$130,$CD$9,INDEX(Tính!$C$278:$V$322,$CD$9,$BL$15)))</f>
        <v/>
      </c>
      <c r="M51" s="43" t="str">
        <f>IF(OR($CD$9="",$BL$15=""),"",INDEX(Tính!$C$134:$V$178,$CD$9,INDEX(Tính!$C$278:$V$322,$CD$9,$BL$15)))</f>
        <v/>
      </c>
      <c r="N51" s="44" t="str">
        <f>IF($CD$9="","",IF($BK$15="C",INDEX(Tính!$Q$39:$Q$83,$CD$9)&amp;"/"&amp;$BK$1,IF($BK$15="V",INDEX(Tính!$R$39:$R$83,$CD$9)&amp;"/"&amp;$BL$1,IF($BL$15="","",INDEX(Tính!$C$182:$V$226,$CD$9,INDEX(Tính!$C$278:$V$322,$CD$9,$BL$15))))))</f>
        <v/>
      </c>
      <c r="P51" s="42" t="str">
        <f>IF($CD$10="","",IF($BK$15="C","NHÓM CHÍNH",IF($BK$15="V","NHÓM VƯỢT TRỘI",IF($BL$15="","",INDEX($BA$3:$BA$22,INDEX(Tính!$C$278:$V$322,$CD$10,$BL$15))))))</f>
        <v/>
      </c>
      <c r="Q51" s="43" t="str">
        <f>IF(OR($CD$10="",$BL$15=""),"",INDEX(Tính!$C$86:$V$130,$CD$10,INDEX(Tính!$C$278:$V$322,$CD$10,$BL$15)))</f>
        <v/>
      </c>
      <c r="R51" s="43" t="str">
        <f>IF(OR($CD$10="",$BL$15=""),"",INDEX(Tính!$C$134:$V$178,$CD$10,INDEX(Tính!$C$278:$V$322,$CD$10,$BL$15)))</f>
        <v/>
      </c>
      <c r="S51" s="44" t="str">
        <f>IF($CD$10="","",IF($BK$15="C",INDEX(Tính!$Q$39:$Q$83,$CD$10)&amp;"/"&amp;$BK$1,IF($BK$15="V",INDEX(Tính!$R$39:$R$83,$CD$10)&amp;"/"&amp;$BL$1,IF($BL$15="","",INDEX(Tính!$C$182:$V$226,$CD$10,INDEX(Tính!$C$278:$V$322,$CD$10,$BL$15))))))</f>
        <v/>
      </c>
    </row>
    <row r="52" spans="1:19" x14ac:dyDescent="0.3">
      <c r="A52" s="42" t="str">
        <f>IF($CD$7="","",IF($BK$16="C","NHÓM CHÍNH",IF($BK$16="V","NHÓM VƯỢT TRỘI",IF($BL$16="","",INDEX($BA$3:$BA$22,INDEX(Tính!$C$278:$V$322,$CD$7,$BL$16))))))</f>
        <v/>
      </c>
      <c r="B52" s="43" t="str">
        <f>IF(OR($CD$7="",$BL$16=""),"",INDEX(Tính!$C$86:$V$130,$CD$7,INDEX(Tính!$C$278:$V$322,$CD$7,$BL$16)))</f>
        <v/>
      </c>
      <c r="C52" s="43" t="str">
        <f>IF(OR($CD$7="",$BL$16=""),"",INDEX(Tính!$C$134:$V$178,$CD$7,INDEX(Tính!$C$278:$V$322,$CD$7,$BL$16)))</f>
        <v/>
      </c>
      <c r="D52" s="44" t="str">
        <f>IF($CD$7="","",IF($BK$16="C",INDEX(Tính!$Q$39:$Q$83,$CD$7)&amp;"/"&amp;$BK$1,IF($BK$16="V",INDEX(Tính!$R$39:$R$83,$CD$7)&amp;"/"&amp;$BL$1,IF($BL$16="","",INDEX(Tính!$C$182:$V$226,$CD$7,INDEX(Tính!$C$278:$V$322,$CD$7,$BL$16))))))</f>
        <v/>
      </c>
      <c r="F52" s="42" t="str">
        <f>IF($CD$8="","",IF($BK$16="C","NHÓM CHÍNH",IF($BK$16="V","NHÓM VƯỢT TRỘI",IF($BL$16="","",INDEX($BA$3:$BA$22,INDEX(Tính!$C$278:$V$322,$CD$8,$BL$16))))))</f>
        <v/>
      </c>
      <c r="G52" s="43" t="str">
        <f>IF(OR($CD$8="",$BL$16=""),"",INDEX(Tính!$C$86:$V$130,$CD$8,INDEX(Tính!$C$278:$V$322,$CD$8,$BL$16)))</f>
        <v/>
      </c>
      <c r="H52" s="43" t="str">
        <f>IF(OR($CD$8="",$BL$16=""),"",INDEX(Tính!$C$134:$V$178,$CD$8,INDEX(Tính!$C$278:$V$322,$CD$8,$BL$16)))</f>
        <v/>
      </c>
      <c r="I52" s="44" t="str">
        <f>IF($CD$8="","",IF($BK$16="C",INDEX(Tính!$Q$39:$Q$83,$CD$8)&amp;"/"&amp;$BK$1,IF($BK$16="V",INDEX(Tính!$R$39:$R$83,$CD$8)&amp;"/"&amp;$BL$1,IF($BL$16="","",INDEX(Tính!$C$182:$V$226,$CD$8,INDEX(Tính!$C$278:$V$322,$CD$8,$BL$16))))))</f>
        <v/>
      </c>
      <c r="K52" s="42" t="str">
        <f>IF($CD$9="","",IF($BK$16="C","NHÓM CHÍNH",IF($BK$16="V","NHÓM VƯỢT TRỘI",IF($BL$16="","",INDEX($BA$3:$BA$22,INDEX(Tính!$C$278:$V$322,$CD$9,$BL$16))))))</f>
        <v/>
      </c>
      <c r="L52" s="43" t="str">
        <f>IF(OR($CD$9="",$BL$16=""),"",INDEX(Tính!$C$86:$V$130,$CD$9,INDEX(Tính!$C$278:$V$322,$CD$9,$BL$16)))</f>
        <v/>
      </c>
      <c r="M52" s="43" t="str">
        <f>IF(OR($CD$9="",$BL$16=""),"",INDEX(Tính!$C$134:$V$178,$CD$9,INDEX(Tính!$C$278:$V$322,$CD$9,$BL$16)))</f>
        <v/>
      </c>
      <c r="N52" s="44" t="str">
        <f>IF($CD$9="","",IF($BK$16="C",INDEX(Tính!$Q$39:$Q$83,$CD$9)&amp;"/"&amp;$BK$1,IF($BK$16="V",INDEX(Tính!$R$39:$R$83,$CD$9)&amp;"/"&amp;$BL$1,IF($BL$16="","",INDEX(Tính!$C$182:$V$226,$CD$9,INDEX(Tính!$C$278:$V$322,$CD$9,$BL$16))))))</f>
        <v/>
      </c>
      <c r="P52" s="42" t="str">
        <f>IF($CD$10="","",IF($BK$16="C","NHÓM CHÍNH",IF($BK$16="V","NHÓM VƯỢT TRỘI",IF($BL$16="","",INDEX($BA$3:$BA$22,INDEX(Tính!$C$278:$V$322,$CD$10,$BL$16))))))</f>
        <v/>
      </c>
      <c r="Q52" s="43" t="str">
        <f>IF(OR($CD$10="",$BL$16=""),"",INDEX(Tính!$C$86:$V$130,$CD$10,INDEX(Tính!$C$278:$V$322,$CD$10,$BL$16)))</f>
        <v/>
      </c>
      <c r="R52" s="43" t="str">
        <f>IF(OR($CD$10="",$BL$16=""),"",INDEX(Tính!$C$134:$V$178,$CD$10,INDEX(Tính!$C$278:$V$322,$CD$10,$BL$16)))</f>
        <v/>
      </c>
      <c r="S52" s="44" t="str">
        <f>IF($CD$10="","",IF($BK$16="C",INDEX(Tính!$Q$39:$Q$83,$CD$10)&amp;"/"&amp;$BK$1,IF($BK$16="V",INDEX(Tính!$R$39:$R$83,$CD$10)&amp;"/"&amp;$BL$1,IF($BL$16="","",INDEX(Tính!$C$182:$V$226,$CD$10,INDEX(Tính!$C$278:$V$322,$CD$10,$BL$16))))))</f>
        <v/>
      </c>
    </row>
    <row r="53" spans="1:19" x14ac:dyDescent="0.3">
      <c r="A53" s="42" t="str">
        <f>IF($CD$7="","",IF($BK$17="C","NHÓM CHÍNH",IF($BK$17="V","NHÓM VƯỢT TRỘI",IF($BL$17="","",INDEX($BA$3:$BA$22,INDEX(Tính!$C$278:$V$322,$CD$7,$BL$17))))))</f>
        <v/>
      </c>
      <c r="B53" s="43" t="str">
        <f>IF(OR($CD$7="",$BL$17=""),"",INDEX(Tính!$C$86:$V$130,$CD$7,INDEX(Tính!$C$278:$V$322,$CD$7,$BL$17)))</f>
        <v/>
      </c>
      <c r="C53" s="43" t="str">
        <f>IF(OR($CD$7="",$BL$17=""),"",INDEX(Tính!$C$134:$V$178,$CD$7,INDEX(Tính!$C$278:$V$322,$CD$7,$BL$17)))</f>
        <v/>
      </c>
      <c r="D53" s="44" t="str">
        <f>IF($CD$7="","",IF($BK$17="C",INDEX(Tính!$Q$39:$Q$83,$CD$7)&amp;"/"&amp;$BK$1,IF($BK$17="V",INDEX(Tính!$R$39:$R$83,$CD$7)&amp;"/"&amp;$BL$1,IF($BL$17="","",INDEX(Tính!$C$182:$V$226,$CD$7,INDEX(Tính!$C$278:$V$322,$CD$7,$BL$17))))))</f>
        <v/>
      </c>
      <c r="F53" s="42" t="str">
        <f>IF($CD$8="","",IF($BK$17="C","NHÓM CHÍNH",IF($BK$17="V","NHÓM VƯỢT TRỘI",IF($BL$17="","",INDEX($BA$3:$BA$22,INDEX(Tính!$C$278:$V$322,$CD$8,$BL$17))))))</f>
        <v/>
      </c>
      <c r="G53" s="43" t="str">
        <f>IF(OR($CD$8="",$BL$17=""),"",INDEX(Tính!$C$86:$V$130,$CD$8,INDEX(Tính!$C$278:$V$322,$CD$8,$BL$17)))</f>
        <v/>
      </c>
      <c r="H53" s="43" t="str">
        <f>IF(OR($CD$8="",$BL$17=""),"",INDEX(Tính!$C$134:$V$178,$CD$8,INDEX(Tính!$C$278:$V$322,$CD$8,$BL$17)))</f>
        <v/>
      </c>
      <c r="I53" s="44" t="str">
        <f>IF($CD$8="","",IF($BK$17="C",INDEX(Tính!$Q$39:$Q$83,$CD$8)&amp;"/"&amp;$BK$1,IF($BK$17="V",INDEX(Tính!$R$39:$R$83,$CD$8)&amp;"/"&amp;$BL$1,IF($BL$17="","",INDEX(Tính!$C$182:$V$226,$CD$8,INDEX(Tính!$C$278:$V$322,$CD$8,$BL$17))))))</f>
        <v/>
      </c>
      <c r="K53" s="42" t="str">
        <f>IF($CD$9="","",IF($BK$17="C","NHÓM CHÍNH",IF($BK$17="V","NHÓM VƯỢT TRỘI",IF($BL$17="","",INDEX($BA$3:$BA$22,INDEX(Tính!$C$278:$V$322,$CD$9,$BL$17))))))</f>
        <v/>
      </c>
      <c r="L53" s="43" t="str">
        <f>IF(OR($CD$9="",$BL$17=""),"",INDEX(Tính!$C$86:$V$130,$CD$9,INDEX(Tính!$C$278:$V$322,$CD$9,$BL$17)))</f>
        <v/>
      </c>
      <c r="M53" s="43" t="str">
        <f>IF(OR($CD$9="",$BL$17=""),"",INDEX(Tính!$C$134:$V$178,$CD$9,INDEX(Tính!$C$278:$V$322,$CD$9,$BL$17)))</f>
        <v/>
      </c>
      <c r="N53" s="44" t="str">
        <f>IF($CD$9="","",IF($BK$17="C",INDEX(Tính!$Q$39:$Q$83,$CD$9)&amp;"/"&amp;$BK$1,IF($BK$17="V",INDEX(Tính!$R$39:$R$83,$CD$9)&amp;"/"&amp;$BL$1,IF($BL$17="","",INDEX(Tính!$C$182:$V$226,$CD$9,INDEX(Tính!$C$278:$V$322,$CD$9,$BL$17))))))</f>
        <v/>
      </c>
      <c r="P53" s="42" t="str">
        <f>IF($CD$10="","",IF($BK$17="C","NHÓM CHÍNH",IF($BK$17="V","NHÓM VƯỢT TRỘI",IF($BL$17="","",INDEX($BA$3:$BA$22,INDEX(Tính!$C$278:$V$322,$CD$10,$BL$17))))))</f>
        <v/>
      </c>
      <c r="Q53" s="43" t="str">
        <f>IF(OR($CD$10="",$BL$17=""),"",INDEX(Tính!$C$86:$V$130,$CD$10,INDEX(Tính!$C$278:$V$322,$CD$10,$BL$17)))</f>
        <v/>
      </c>
      <c r="R53" s="43" t="str">
        <f>IF(OR($CD$10="",$BL$17=""),"",INDEX(Tính!$C$134:$V$178,$CD$10,INDEX(Tính!$C$278:$V$322,$CD$10,$BL$17)))</f>
        <v/>
      </c>
      <c r="S53" s="44" t="str">
        <f>IF($CD$10="","",IF($BK$17="C",INDEX(Tính!$Q$39:$Q$83,$CD$10)&amp;"/"&amp;$BK$1,IF($BK$17="V",INDEX(Tính!$R$39:$R$83,$CD$10)&amp;"/"&amp;$BL$1,IF($BL$17="","",INDEX(Tính!$C$182:$V$226,$CD$10,INDEX(Tính!$C$278:$V$322,$CD$10,$BL$17))))))</f>
        <v/>
      </c>
    </row>
    <row r="54" spans="1:19" x14ac:dyDescent="0.3">
      <c r="A54" s="42" t="str">
        <f>IF($CD$7="","",IF($BK$18="C","NHÓM CHÍNH",IF($BK$18="V","NHÓM VƯỢT TRỘI",IF($BL$18="","",INDEX($BA$3:$BA$22,INDEX(Tính!$C$278:$V$322,$CD$7,$BL$18))))))</f>
        <v/>
      </c>
      <c r="B54" s="43" t="str">
        <f>IF(OR($CD$7="",$BL$18=""),"",INDEX(Tính!$C$86:$V$130,$CD$7,INDEX(Tính!$C$278:$V$322,$CD$7,$BL$18)))</f>
        <v/>
      </c>
      <c r="C54" s="43" t="str">
        <f>IF(OR($CD$7="",$BL$18=""),"",INDEX(Tính!$C$134:$V$178,$CD$7,INDEX(Tính!$C$278:$V$322,$CD$7,$BL$18)))</f>
        <v/>
      </c>
      <c r="D54" s="44" t="str">
        <f>IF($CD$7="","",IF($BK$18="C",INDEX(Tính!$Q$39:$Q$83,$CD$7)&amp;"/"&amp;$BK$1,IF($BK$18="V",INDEX(Tính!$R$39:$R$83,$CD$7)&amp;"/"&amp;$BL$1,IF($BL$18="","",INDEX(Tính!$C$182:$V$226,$CD$7,INDEX(Tính!$C$278:$V$322,$CD$7,$BL$18))))))</f>
        <v/>
      </c>
      <c r="F54" s="42" t="str">
        <f>IF($CD$8="","",IF($BK$18="C","NHÓM CHÍNH",IF($BK$18="V","NHÓM VƯỢT TRỘI",IF($BL$18="","",INDEX($BA$3:$BA$22,INDEX(Tính!$C$278:$V$322,$CD$8,$BL$18))))))</f>
        <v/>
      </c>
      <c r="G54" s="43" t="str">
        <f>IF(OR($CD$8="",$BL$18=""),"",INDEX(Tính!$C$86:$V$130,$CD$8,INDEX(Tính!$C$278:$V$322,$CD$8,$BL$18)))</f>
        <v/>
      </c>
      <c r="H54" s="43" t="str">
        <f>IF(OR($CD$8="",$BL$18=""),"",INDEX(Tính!$C$134:$V$178,$CD$8,INDEX(Tính!$C$278:$V$322,$CD$8,$BL$18)))</f>
        <v/>
      </c>
      <c r="I54" s="44" t="str">
        <f>IF($CD$8="","",IF($BK$18="C",INDEX(Tính!$Q$39:$Q$83,$CD$8)&amp;"/"&amp;$BK$1,IF($BK$18="V",INDEX(Tính!$R$39:$R$83,$CD$8)&amp;"/"&amp;$BL$1,IF($BL$18="","",INDEX(Tính!$C$182:$V$226,$CD$8,INDEX(Tính!$C$278:$V$322,$CD$8,$BL$18))))))</f>
        <v/>
      </c>
      <c r="K54" s="42" t="str">
        <f>IF($CD$9="","",IF($BK$18="C","NHÓM CHÍNH",IF($BK$18="V","NHÓM VƯỢT TRỘI",IF($BL$18="","",INDEX($BA$3:$BA$22,INDEX(Tính!$C$278:$V$322,$CD$9,$BL$18))))))</f>
        <v/>
      </c>
      <c r="L54" s="43" t="str">
        <f>IF(OR($CD$9="",$BL$18=""),"",INDEX(Tính!$C$86:$V$130,$CD$9,INDEX(Tính!$C$278:$V$322,$CD$9,$BL$18)))</f>
        <v/>
      </c>
      <c r="M54" s="43" t="str">
        <f>IF(OR($CD$9="",$BL$18=""),"",INDEX(Tính!$C$134:$V$178,$CD$9,INDEX(Tính!$C$278:$V$322,$CD$9,$BL$18)))</f>
        <v/>
      </c>
      <c r="N54" s="44" t="str">
        <f>IF($CD$9="","",IF($BK$18="C",INDEX(Tính!$Q$39:$Q$83,$CD$9)&amp;"/"&amp;$BK$1,IF($BK$18="V",INDEX(Tính!$R$39:$R$83,$CD$9)&amp;"/"&amp;$BL$1,IF($BL$18="","",INDEX(Tính!$C$182:$V$226,$CD$9,INDEX(Tính!$C$278:$V$322,$CD$9,$BL$18))))))</f>
        <v/>
      </c>
      <c r="P54" s="42" t="str">
        <f>IF($CD$10="","",IF($BK$18="C","NHÓM CHÍNH",IF($BK$18="V","NHÓM VƯỢT TRỘI",IF($BL$18="","",INDEX($BA$3:$BA$22,INDEX(Tính!$C$278:$V$322,$CD$10,$BL$18))))))</f>
        <v/>
      </c>
      <c r="Q54" s="43" t="str">
        <f>IF(OR($CD$10="",$BL$18=""),"",INDEX(Tính!$C$86:$V$130,$CD$10,INDEX(Tính!$C$278:$V$322,$CD$10,$BL$18)))</f>
        <v/>
      </c>
      <c r="R54" s="43" t="str">
        <f>IF(OR($CD$10="",$BL$18=""),"",INDEX(Tính!$C$134:$V$178,$CD$10,INDEX(Tính!$C$278:$V$322,$CD$10,$BL$18)))</f>
        <v/>
      </c>
      <c r="S54" s="44" t="str">
        <f>IF($CD$10="","",IF($BK$18="C",INDEX(Tính!$Q$39:$Q$83,$CD$10)&amp;"/"&amp;$BK$1,IF($BK$18="V",INDEX(Tính!$R$39:$R$83,$CD$10)&amp;"/"&amp;$BL$1,IF($BL$18="","",INDEX(Tính!$C$182:$V$226,$CD$10,INDEX(Tính!$C$278:$V$322,$CD$10,$BL$18))))))</f>
        <v/>
      </c>
    </row>
    <row r="55" spans="1:19" x14ac:dyDescent="0.3">
      <c r="A55" s="42" t="str">
        <f>IF($CD$7="","",IF($BK$19="C","NHÓM CHÍNH",IF($BK$19="V","NHÓM VƯỢT TRỘI",IF($BL$19="","",INDEX($BA$3:$BA$22,INDEX(Tính!$C$278:$V$322,$CD$7,$BL$19))))))</f>
        <v/>
      </c>
      <c r="B55" s="43" t="str">
        <f>IF(OR($CD$7="",$BL$19=""),"",INDEX(Tính!$C$86:$V$130,$CD$7,INDEX(Tính!$C$278:$V$322,$CD$7,$BL$19)))</f>
        <v/>
      </c>
      <c r="C55" s="43" t="str">
        <f>IF(OR($CD$7="",$BL$19=""),"",INDEX(Tính!$C$134:$V$178,$CD$7,INDEX(Tính!$C$278:$V$322,$CD$7,$BL$19)))</f>
        <v/>
      </c>
      <c r="D55" s="44" t="str">
        <f>IF($CD$7="","",IF($BK$19="C",INDEX(Tính!$Q$39:$Q$83,$CD$7)&amp;"/"&amp;$BK$1,IF($BK$19="V",INDEX(Tính!$R$39:$R$83,$CD$7)&amp;"/"&amp;$BL$1,IF($BL$19="","",INDEX(Tính!$C$182:$V$226,$CD$7,INDEX(Tính!$C$278:$V$322,$CD$7,$BL$19))))))</f>
        <v/>
      </c>
      <c r="F55" s="42" t="str">
        <f>IF($CD$8="","",IF($BK$19="C","NHÓM CHÍNH",IF($BK$19="V","NHÓM VƯỢT TRỘI",IF($BL$19="","",INDEX($BA$3:$BA$22,INDEX(Tính!$C$278:$V$322,$CD$8,$BL$19))))))</f>
        <v/>
      </c>
      <c r="G55" s="43" t="str">
        <f>IF(OR($CD$8="",$BL$19=""),"",INDEX(Tính!$C$86:$V$130,$CD$8,INDEX(Tính!$C$278:$V$322,$CD$8,$BL$19)))</f>
        <v/>
      </c>
      <c r="H55" s="43" t="str">
        <f>IF(OR($CD$8="",$BL$19=""),"",INDEX(Tính!$C$134:$V$178,$CD$8,INDEX(Tính!$C$278:$V$322,$CD$8,$BL$19)))</f>
        <v/>
      </c>
      <c r="I55" s="44" t="str">
        <f>IF($CD$8="","",IF($BK$19="C",INDEX(Tính!$Q$39:$Q$83,$CD$8)&amp;"/"&amp;$BK$1,IF($BK$19="V",INDEX(Tính!$R$39:$R$83,$CD$8)&amp;"/"&amp;$BL$1,IF($BL$19="","",INDEX(Tính!$C$182:$V$226,$CD$8,INDEX(Tính!$C$278:$V$322,$CD$8,$BL$19))))))</f>
        <v/>
      </c>
      <c r="K55" s="42" t="str">
        <f>IF($CD$9="","",IF($BK$19="C","NHÓM CHÍNH",IF($BK$19="V","NHÓM VƯỢT TRỘI",IF($BL$19="","",INDEX($BA$3:$BA$22,INDEX(Tính!$C$278:$V$322,$CD$9,$BL$19))))))</f>
        <v/>
      </c>
      <c r="L55" s="43" t="str">
        <f>IF(OR($CD$9="",$BL$19=""),"",INDEX(Tính!$C$86:$V$130,$CD$9,INDEX(Tính!$C$278:$V$322,$CD$9,$BL$19)))</f>
        <v/>
      </c>
      <c r="M55" s="43" t="str">
        <f>IF(OR($CD$9="",$BL$19=""),"",INDEX(Tính!$C$134:$V$178,$CD$9,INDEX(Tính!$C$278:$V$322,$CD$9,$BL$19)))</f>
        <v/>
      </c>
      <c r="N55" s="44" t="str">
        <f>IF($CD$9="","",IF($BK$19="C",INDEX(Tính!$Q$39:$Q$83,$CD$9)&amp;"/"&amp;$BK$1,IF($BK$19="V",INDEX(Tính!$R$39:$R$83,$CD$9)&amp;"/"&amp;$BL$1,IF($BL$19="","",INDEX(Tính!$C$182:$V$226,$CD$9,INDEX(Tính!$C$278:$V$322,$CD$9,$BL$19))))))</f>
        <v/>
      </c>
      <c r="P55" s="42" t="str">
        <f>IF($CD$10="","",IF($BK$19="C","NHÓM CHÍNH",IF($BK$19="V","NHÓM VƯỢT TRỘI",IF($BL$19="","",INDEX($BA$3:$BA$22,INDEX(Tính!$C$278:$V$322,$CD$10,$BL$19))))))</f>
        <v/>
      </c>
      <c r="Q55" s="43" t="str">
        <f>IF(OR($CD$10="",$BL$19=""),"",INDEX(Tính!$C$86:$V$130,$CD$10,INDEX(Tính!$C$278:$V$322,$CD$10,$BL$19)))</f>
        <v/>
      </c>
      <c r="R55" s="43" t="str">
        <f>IF(OR($CD$10="",$BL$19=""),"",INDEX(Tính!$C$134:$V$178,$CD$10,INDEX(Tính!$C$278:$V$322,$CD$10,$BL$19)))</f>
        <v/>
      </c>
      <c r="S55" s="44" t="str">
        <f>IF($CD$10="","",IF($BK$19="C",INDEX(Tính!$Q$39:$Q$83,$CD$10)&amp;"/"&amp;$BK$1,IF($BK$19="V",INDEX(Tính!$R$39:$R$83,$CD$10)&amp;"/"&amp;$BL$1,IF($BL$19="","",INDEX(Tính!$C$182:$V$226,$CD$10,INDEX(Tính!$C$278:$V$322,$CD$10,$BL$19))))))</f>
        <v/>
      </c>
    </row>
    <row r="56" spans="1:19" x14ac:dyDescent="0.3">
      <c r="A56" s="42" t="str">
        <f>IF($CD$7="","",IF($BK$20="C","NHÓM CHÍNH",IF($BK$20="V","NHÓM VƯỢT TRỘI",IF($BL$20="","",INDEX($BA$3:$BA$22,INDEX(Tính!$C$278:$V$322,$CD$7,$BL$20))))))</f>
        <v/>
      </c>
      <c r="B56" s="43" t="str">
        <f>IF(OR($CD$7="",$BL$20=""),"",INDEX(Tính!$C$86:$V$130,$CD$7,INDEX(Tính!$C$278:$V$322,$CD$7,$BL$20)))</f>
        <v/>
      </c>
      <c r="C56" s="43" t="str">
        <f>IF(OR($CD$7="",$BL$20=""),"",INDEX(Tính!$C$134:$V$178,$CD$7,INDEX(Tính!$C$278:$V$322,$CD$7,$BL$20)))</f>
        <v/>
      </c>
      <c r="D56" s="44" t="str">
        <f>IF($CD$7="","",IF($BK$20="C",INDEX(Tính!$Q$39:$Q$83,$CD$7)&amp;"/"&amp;$BK$1,IF($BK$20="V",INDEX(Tính!$R$39:$R$83,$CD$7)&amp;"/"&amp;$BL$1,IF($BL$20="","",INDEX(Tính!$C$182:$V$226,$CD$7,INDEX(Tính!$C$278:$V$322,$CD$7,$BL$20))))))</f>
        <v/>
      </c>
      <c r="F56" s="42" t="str">
        <f>IF($CD$8="","",IF($BK$20="C","NHÓM CHÍNH",IF($BK$20="V","NHÓM VƯỢT TRỘI",IF($BL$20="","",INDEX($BA$3:$BA$22,INDEX(Tính!$C$278:$V$322,$CD$8,$BL$20))))))</f>
        <v/>
      </c>
      <c r="G56" s="43" t="str">
        <f>IF(OR($CD$8="",$BL$20=""),"",INDEX(Tính!$C$86:$V$130,$CD$8,INDEX(Tính!$C$278:$V$322,$CD$8,$BL$20)))</f>
        <v/>
      </c>
      <c r="H56" s="43" t="str">
        <f>IF(OR($CD$8="",$BL$20=""),"",INDEX(Tính!$C$134:$V$178,$CD$8,INDEX(Tính!$C$278:$V$322,$CD$8,$BL$20)))</f>
        <v/>
      </c>
      <c r="I56" s="44" t="str">
        <f>IF($CD$8="","",IF($BK$20="C",INDEX(Tính!$Q$39:$Q$83,$CD$8)&amp;"/"&amp;$BK$1,IF($BK$20="V",INDEX(Tính!$R$39:$R$83,$CD$8)&amp;"/"&amp;$BL$1,IF($BL$20="","",INDEX(Tính!$C$182:$V$226,$CD$8,INDEX(Tính!$C$278:$V$322,$CD$8,$BL$20))))))</f>
        <v/>
      </c>
      <c r="K56" s="42" t="str">
        <f>IF($CD$9="","",IF($BK$20="C","NHÓM CHÍNH",IF($BK$20="V","NHÓM VƯỢT TRỘI",IF($BL$20="","",INDEX($BA$3:$BA$22,INDEX(Tính!$C$278:$V$322,$CD$9,$BL$20))))))</f>
        <v/>
      </c>
      <c r="L56" s="43" t="str">
        <f>IF(OR($CD$9="",$BL$20=""),"",INDEX(Tính!$C$86:$V$130,$CD$9,INDEX(Tính!$C$278:$V$322,$CD$9,$BL$20)))</f>
        <v/>
      </c>
      <c r="M56" s="43" t="str">
        <f>IF(OR($CD$9="",$BL$20=""),"",INDEX(Tính!$C$134:$V$178,$CD$9,INDEX(Tính!$C$278:$V$322,$CD$9,$BL$20)))</f>
        <v/>
      </c>
      <c r="N56" s="44" t="str">
        <f>IF($CD$9="","",IF($BK$20="C",INDEX(Tính!$Q$39:$Q$83,$CD$9)&amp;"/"&amp;$BK$1,IF($BK$20="V",INDEX(Tính!$R$39:$R$83,$CD$9)&amp;"/"&amp;$BL$1,IF($BL$20="","",INDEX(Tính!$C$182:$V$226,$CD$9,INDEX(Tính!$C$278:$V$322,$CD$9,$BL$20))))))</f>
        <v/>
      </c>
      <c r="P56" s="42" t="str">
        <f>IF($CD$10="","",IF($BK$20="C","NHÓM CHÍNH",IF($BK$20="V","NHÓM VƯỢT TRỘI",IF($BL$20="","",INDEX($BA$3:$BA$22,INDEX(Tính!$C$278:$V$322,$CD$10,$BL$20))))))</f>
        <v/>
      </c>
      <c r="Q56" s="43" t="str">
        <f>IF(OR($CD$10="",$BL$20=""),"",INDEX(Tính!$C$86:$V$130,$CD$10,INDEX(Tính!$C$278:$V$322,$CD$10,$BL$20)))</f>
        <v/>
      </c>
      <c r="R56" s="43" t="str">
        <f>IF(OR($CD$10="",$BL$20=""),"",INDEX(Tính!$C$134:$V$178,$CD$10,INDEX(Tính!$C$278:$V$322,$CD$10,$BL$20)))</f>
        <v/>
      </c>
      <c r="S56" s="44" t="str">
        <f>IF($CD$10="","",IF($BK$20="C",INDEX(Tính!$Q$39:$Q$83,$CD$10)&amp;"/"&amp;$BK$1,IF($BK$20="V",INDEX(Tính!$R$39:$R$83,$CD$10)&amp;"/"&amp;$BL$1,IF($BL$20="","",INDEX(Tính!$C$182:$V$226,$CD$10,INDEX(Tính!$C$278:$V$322,$CD$10,$BL$20))))))</f>
        <v/>
      </c>
    </row>
    <row r="57" spans="1:19" x14ac:dyDescent="0.3">
      <c r="A57" s="42" t="str">
        <f>IF($CD$7="","",IF($BK$21="C","NHÓM CHÍNH",IF($BK$21="V","NHÓM VƯỢT TRỘI",IF($BL$21="","",INDEX($BA$3:$BA$22,INDEX(Tính!$C$278:$V$322,$CD$7,$BL$21))))))</f>
        <v/>
      </c>
      <c r="B57" s="43" t="str">
        <f>IF(OR($CD$7="",$BL$21=""),"",INDEX(Tính!$C$86:$V$130,$CD$7,INDEX(Tính!$C$278:$V$322,$CD$7,$BL$21)))</f>
        <v/>
      </c>
      <c r="C57" s="43" t="str">
        <f>IF(OR($CD$7="",$BL$21=""),"",INDEX(Tính!$C$134:$V$178,$CD$7,INDEX(Tính!$C$278:$V$322,$CD$7,$BL$21)))</f>
        <v/>
      </c>
      <c r="D57" s="44" t="str">
        <f>IF($CD$7="","",IF($BK$21="C",INDEX(Tính!$Q$39:$Q$83,$CD$7)&amp;"/"&amp;$BK$1,IF($BK$21="V",INDEX(Tính!$R$39:$R$83,$CD$7)&amp;"/"&amp;$BL$1,IF($BL$21="","",INDEX(Tính!$C$182:$V$226,$CD$7,INDEX(Tính!$C$278:$V$322,$CD$7,$BL$21))))))</f>
        <v/>
      </c>
      <c r="F57" s="42" t="str">
        <f>IF($CD$8="","",IF($BK$21="C","NHÓM CHÍNH",IF($BK$21="V","NHÓM VƯỢT TRỘI",IF($BL$21="","",INDEX($BA$3:$BA$22,INDEX(Tính!$C$278:$V$322,$CD$8,$BL$21))))))</f>
        <v/>
      </c>
      <c r="G57" s="43" t="str">
        <f>IF(OR($CD$8="",$BL$21=""),"",INDEX(Tính!$C$86:$V$130,$CD$8,INDEX(Tính!$C$278:$V$322,$CD$8,$BL$21)))</f>
        <v/>
      </c>
      <c r="H57" s="43" t="str">
        <f>IF(OR($CD$8="",$BL$21=""),"",INDEX(Tính!$C$134:$V$178,$CD$8,INDEX(Tính!$C$278:$V$322,$CD$8,$BL$21)))</f>
        <v/>
      </c>
      <c r="I57" s="44" t="str">
        <f>IF($CD$8="","",IF($BK$21="C",INDEX(Tính!$Q$39:$Q$83,$CD$8)&amp;"/"&amp;$BK$1,IF($BK$21="V",INDEX(Tính!$R$39:$R$83,$CD$8)&amp;"/"&amp;$BL$1,IF($BL$21="","",INDEX(Tính!$C$182:$V$226,$CD$8,INDEX(Tính!$C$278:$V$322,$CD$8,$BL$21))))))</f>
        <v/>
      </c>
      <c r="K57" s="42" t="str">
        <f>IF($CD$9="","",IF($BK$21="C","NHÓM CHÍNH",IF($BK$21="V","NHÓM VƯỢT TRỘI",IF($BL$21="","",INDEX($BA$3:$BA$22,INDEX(Tính!$C$278:$V$322,$CD$9,$BL$21))))))</f>
        <v/>
      </c>
      <c r="L57" s="43" t="str">
        <f>IF(OR($CD$9="",$BL$21=""),"",INDEX(Tính!$C$86:$V$130,$CD$9,INDEX(Tính!$C$278:$V$322,$CD$9,$BL$21)))</f>
        <v/>
      </c>
      <c r="M57" s="43" t="str">
        <f>IF(OR($CD$9="",$BL$21=""),"",INDEX(Tính!$C$134:$V$178,$CD$9,INDEX(Tính!$C$278:$V$322,$CD$9,$BL$21)))</f>
        <v/>
      </c>
      <c r="N57" s="44" t="str">
        <f>IF($CD$9="","",IF($BK$21="C",INDEX(Tính!$Q$39:$Q$83,$CD$9)&amp;"/"&amp;$BK$1,IF($BK$21="V",INDEX(Tính!$R$39:$R$83,$CD$9)&amp;"/"&amp;$BL$1,IF($BL$21="","",INDEX(Tính!$C$182:$V$226,$CD$9,INDEX(Tính!$C$278:$V$322,$CD$9,$BL$21))))))</f>
        <v/>
      </c>
      <c r="P57" s="42" t="str">
        <f>IF($CD$10="","",IF($BK$21="C","NHÓM CHÍNH",IF($BK$21="V","NHÓM VƯỢT TRỘI",IF($BL$21="","",INDEX($BA$3:$BA$22,INDEX(Tính!$C$278:$V$322,$CD$10,$BL$21))))))</f>
        <v/>
      </c>
      <c r="Q57" s="43" t="str">
        <f>IF(OR($CD$10="",$BL$21=""),"",INDEX(Tính!$C$86:$V$130,$CD$10,INDEX(Tính!$C$278:$V$322,$CD$10,$BL$21)))</f>
        <v/>
      </c>
      <c r="R57" s="43" t="str">
        <f>IF(OR($CD$10="",$BL$21=""),"",INDEX(Tính!$C$134:$V$178,$CD$10,INDEX(Tính!$C$278:$V$322,$CD$10,$BL$21)))</f>
        <v/>
      </c>
      <c r="S57" s="44" t="str">
        <f>IF($CD$10="","",IF($BK$21="C",INDEX(Tính!$Q$39:$Q$83,$CD$10)&amp;"/"&amp;$BK$1,IF($BK$21="V",INDEX(Tính!$R$39:$R$83,$CD$10)&amp;"/"&amp;$BL$1,IF($BL$21="","",INDEX(Tính!$C$182:$V$226,$CD$10,INDEX(Tính!$C$278:$V$322,$CD$10,$BL$21))))))</f>
        <v/>
      </c>
    </row>
    <row r="58" spans="1:19" x14ac:dyDescent="0.3">
      <c r="A58" s="42" t="str">
        <f>IF($CD$7="","",IF($BK$22="C","NHÓM CHÍNH",IF($BK$22="V","NHÓM VƯỢT TRỘI",IF($BL$22="","",INDEX($BA$3:$BA$22,INDEX(Tính!$C$278:$V$322,$CD$7,$BL$22))))))</f>
        <v/>
      </c>
      <c r="B58" s="43" t="str">
        <f>IF(OR($CD$7="",$BL$22=""),"",INDEX(Tính!$C$86:$V$130,$CD$7,INDEX(Tính!$C$278:$V$322,$CD$7,$BL$22)))</f>
        <v/>
      </c>
      <c r="C58" s="43" t="str">
        <f>IF(OR($CD$7="",$BL$22=""),"",INDEX(Tính!$C$134:$V$178,$CD$7,INDEX(Tính!$C$278:$V$322,$CD$7,$BL$22)))</f>
        <v/>
      </c>
      <c r="D58" s="44" t="str">
        <f>IF($CD$7="","",IF($BK$22="C",INDEX(Tính!$Q$39:$Q$83,$CD$7)&amp;"/"&amp;$BK$1,IF($BK$22="V",INDEX(Tính!$R$39:$R$83,$CD$7)&amp;"/"&amp;$BL$1,IF($BL$22="","",INDEX(Tính!$C$182:$V$226,$CD$7,INDEX(Tính!$C$278:$V$322,$CD$7,$BL$22))))))</f>
        <v/>
      </c>
      <c r="F58" s="42" t="str">
        <f>IF($CD$8="","",IF($BK$22="C","NHÓM CHÍNH",IF($BK$22="V","NHÓM VƯỢT TRỘI",IF($BL$22="","",INDEX($BA$3:$BA$22,INDEX(Tính!$C$278:$V$322,$CD$8,$BL$22))))))</f>
        <v/>
      </c>
      <c r="G58" s="43" t="str">
        <f>IF(OR($CD$8="",$BL$22=""),"",INDEX(Tính!$C$86:$V$130,$CD$8,INDEX(Tính!$C$278:$V$322,$CD$8,$BL$22)))</f>
        <v/>
      </c>
      <c r="H58" s="43" t="str">
        <f>IF(OR($CD$8="",$BL$22=""),"",INDEX(Tính!$C$134:$V$178,$CD$8,INDEX(Tính!$C$278:$V$322,$CD$8,$BL$22)))</f>
        <v/>
      </c>
      <c r="I58" s="44" t="str">
        <f>IF($CD$8="","",IF($BK$22="C",INDEX(Tính!$Q$39:$Q$83,$CD$8)&amp;"/"&amp;$BK$1,IF($BK$22="V",INDEX(Tính!$R$39:$R$83,$CD$8)&amp;"/"&amp;$BL$1,IF($BL$22="","",INDEX(Tính!$C$182:$V$226,$CD$8,INDEX(Tính!$C$278:$V$322,$CD$8,$BL$22))))))</f>
        <v/>
      </c>
      <c r="K58" s="42" t="str">
        <f>IF($CD$9="","",IF($BK$22="C","NHÓM CHÍNH",IF($BK$22="V","NHÓM VƯỢT TRỘI",IF($BL$22="","",INDEX($BA$3:$BA$22,INDEX(Tính!$C$278:$V$322,$CD$9,$BL$22))))))</f>
        <v/>
      </c>
      <c r="L58" s="43" t="str">
        <f>IF(OR($CD$9="",$BL$22=""),"",INDEX(Tính!$C$86:$V$130,$CD$9,INDEX(Tính!$C$278:$V$322,$CD$9,$BL$22)))</f>
        <v/>
      </c>
      <c r="M58" s="43" t="str">
        <f>IF(OR($CD$9="",$BL$22=""),"",INDEX(Tính!$C$134:$V$178,$CD$9,INDEX(Tính!$C$278:$V$322,$CD$9,$BL$22)))</f>
        <v/>
      </c>
      <c r="N58" s="44" t="str">
        <f>IF($CD$9="","",IF($BK$22="C",INDEX(Tính!$Q$39:$Q$83,$CD$9)&amp;"/"&amp;$BK$1,IF($BK$22="V",INDEX(Tính!$R$39:$R$83,$CD$9)&amp;"/"&amp;$BL$1,IF($BL$22="","",INDEX(Tính!$C$182:$V$226,$CD$9,INDEX(Tính!$C$278:$V$322,$CD$9,$BL$22))))))</f>
        <v/>
      </c>
      <c r="P58" s="42" t="str">
        <f>IF($CD$10="","",IF($BK$22="C","NHÓM CHÍNH",IF($BK$22="V","NHÓM VƯỢT TRỘI",IF($BL$22="","",INDEX($BA$3:$BA$22,INDEX(Tính!$C$278:$V$322,$CD$10,$BL$22))))))</f>
        <v/>
      </c>
      <c r="Q58" s="43" t="str">
        <f>IF(OR($CD$10="",$BL$22=""),"",INDEX(Tính!$C$86:$V$130,$CD$10,INDEX(Tính!$C$278:$V$322,$CD$10,$BL$22)))</f>
        <v/>
      </c>
      <c r="R58" s="43" t="str">
        <f>IF(OR($CD$10="",$BL$22=""),"",INDEX(Tính!$C$134:$V$178,$CD$10,INDEX(Tính!$C$278:$V$322,$CD$10,$BL$22)))</f>
        <v/>
      </c>
      <c r="S58" s="44" t="str">
        <f>IF($CD$10="","",IF($BK$22="C",INDEX(Tính!$Q$39:$Q$83,$CD$10)&amp;"/"&amp;$BK$1,IF($BK$22="V",INDEX(Tính!$R$39:$R$83,$CD$10)&amp;"/"&amp;$BL$1,IF($BL$22="","",INDEX(Tính!$C$182:$V$226,$CD$10,INDEX(Tính!$C$278:$V$322,$CD$10,$BL$22))))))</f>
        <v/>
      </c>
    </row>
    <row r="59" spans="1:19" x14ac:dyDescent="0.3">
      <c r="A59" s="42" t="str">
        <f>IF($CD$7="","",IF($BK$23="C","NHÓM CHÍNH",IF($BK$23="V","NHÓM VƯỢT TRỘI",IF($BL$23="","",INDEX($BA$3:$BA$22,INDEX(Tính!$C$278:$V$322,$CD$7,$BL$23))))))</f>
        <v/>
      </c>
      <c r="B59" s="43" t="str">
        <f>IF(OR($CD$7="",$BL$23=""),"",INDEX(Tính!$C$86:$V$130,$CD$7,INDEX(Tính!$C$278:$V$322,$CD$7,$BL$23)))</f>
        <v/>
      </c>
      <c r="C59" s="43" t="str">
        <f>IF(OR($CD$7="",$BL$23=""),"",INDEX(Tính!$C$134:$V$178,$CD$7,INDEX(Tính!$C$278:$V$322,$CD$7,$BL$23)))</f>
        <v/>
      </c>
      <c r="D59" s="44" t="str">
        <f>IF($CD$7="","",IF($BK$23="C",INDEX(Tính!$Q$39:$Q$83,$CD$7)&amp;"/"&amp;$BK$1,IF($BK$23="V",INDEX(Tính!$R$39:$R$83,$CD$7)&amp;"/"&amp;$BL$1,IF($BL$23="","",INDEX(Tính!$C$182:$V$226,$CD$7,INDEX(Tính!$C$278:$V$322,$CD$7,$BL$23))))))</f>
        <v/>
      </c>
      <c r="F59" s="42" t="str">
        <f>IF($CD$8="","",IF($BK$23="C","NHÓM CHÍNH",IF($BK$23="V","NHÓM VƯỢT TRỘI",IF($BL$23="","",INDEX($BA$3:$BA$22,INDEX(Tính!$C$278:$V$322,$CD$8,$BL$23))))))</f>
        <v/>
      </c>
      <c r="G59" s="43" t="str">
        <f>IF(OR($CD$8="",$BL$23=""),"",INDEX(Tính!$C$86:$V$130,$CD$8,INDEX(Tính!$C$278:$V$322,$CD$8,$BL$23)))</f>
        <v/>
      </c>
      <c r="H59" s="43" t="str">
        <f>IF(OR($CD$8="",$BL$23=""),"",INDEX(Tính!$C$134:$V$178,$CD$8,INDEX(Tính!$C$278:$V$322,$CD$8,$BL$23)))</f>
        <v/>
      </c>
      <c r="I59" s="44" t="str">
        <f>IF($CD$8="","",IF($BK$23="C",INDEX(Tính!$Q$39:$Q$83,$CD$8)&amp;"/"&amp;$BK$1,IF($BK$23="V",INDEX(Tính!$R$39:$R$83,$CD$8)&amp;"/"&amp;$BL$1,IF($BL$23="","",INDEX(Tính!$C$182:$V$226,$CD$8,INDEX(Tính!$C$278:$V$322,$CD$8,$BL$23))))))</f>
        <v/>
      </c>
      <c r="K59" s="42" t="str">
        <f>IF($CD$9="","",IF($BK$23="C","NHÓM CHÍNH",IF($BK$23="V","NHÓM VƯỢT TRỘI",IF($BL$23="","",INDEX($BA$3:$BA$22,INDEX(Tính!$C$278:$V$322,$CD$9,$BL$23))))))</f>
        <v/>
      </c>
      <c r="L59" s="43" t="str">
        <f>IF(OR($CD$9="",$BL$23=""),"",INDEX(Tính!$C$86:$V$130,$CD$9,INDEX(Tính!$C$278:$V$322,$CD$9,$BL$23)))</f>
        <v/>
      </c>
      <c r="M59" s="43" t="str">
        <f>IF(OR($CD$9="",$BL$23=""),"",INDEX(Tính!$C$134:$V$178,$CD$9,INDEX(Tính!$C$278:$V$322,$CD$9,$BL$23)))</f>
        <v/>
      </c>
      <c r="N59" s="44" t="str">
        <f>IF($CD$9="","",IF($BK$23="C",INDEX(Tính!$Q$39:$Q$83,$CD$9)&amp;"/"&amp;$BK$1,IF($BK$23="V",INDEX(Tính!$R$39:$R$83,$CD$9)&amp;"/"&amp;$BL$1,IF($BL$23="","",INDEX(Tính!$C$182:$V$226,$CD$9,INDEX(Tính!$C$278:$V$322,$CD$9,$BL$23))))))</f>
        <v/>
      </c>
      <c r="P59" s="42" t="str">
        <f>IF($CD$10="","",IF($BK$23="C","NHÓM CHÍNH",IF($BK$23="V","NHÓM VƯỢT TRỘI",IF($BL$23="","",INDEX($BA$3:$BA$22,INDEX(Tính!$C$278:$V$322,$CD$10,$BL$23))))))</f>
        <v/>
      </c>
      <c r="Q59" s="43" t="str">
        <f>IF(OR($CD$10="",$BL$23=""),"",INDEX(Tính!$C$86:$V$130,$CD$10,INDEX(Tính!$C$278:$V$322,$CD$10,$BL$23)))</f>
        <v/>
      </c>
      <c r="R59" s="43" t="str">
        <f>IF(OR($CD$10="",$BL$23=""),"",INDEX(Tính!$C$134:$V$178,$CD$10,INDEX(Tính!$C$278:$V$322,$CD$10,$BL$23)))</f>
        <v/>
      </c>
      <c r="S59" s="44" t="str">
        <f>IF($CD$10="","",IF($BK$23="C",INDEX(Tính!$Q$39:$Q$83,$CD$10)&amp;"/"&amp;$BK$1,IF($BK$23="V",INDEX(Tính!$R$39:$R$83,$CD$10)&amp;"/"&amp;$BL$1,IF($BL$23="","",INDEX(Tính!$C$182:$V$226,$CD$10,INDEX(Tính!$C$278:$V$322,$CD$10,$BL$23))))))</f>
        <v/>
      </c>
    </row>
    <row r="60" spans="1:19" x14ac:dyDescent="0.3">
      <c r="A60" s="42" t="str">
        <f>IF($CD$7="","",IF($BK$24="C","NHÓM CHÍNH",IF($BK$24="V","NHÓM VƯỢT TRỘI",IF($BL$24="","",INDEX($BA$3:$BA$22,INDEX(Tính!$C$278:$V$322,$CD$7,$BL$24))))))</f>
        <v/>
      </c>
      <c r="B60" s="43" t="str">
        <f>IF(OR($CD$7="",$BL$24=""),"",INDEX(Tính!$C$86:$V$130,$CD$7,INDEX(Tính!$C$278:$V$322,$CD$7,$BL$24)))</f>
        <v/>
      </c>
      <c r="C60" s="43" t="str">
        <f>IF(OR($CD$7="",$BL$24=""),"",INDEX(Tính!$C$134:$V$178,$CD$7,INDEX(Tính!$C$278:$V$322,$CD$7,$BL$24)))</f>
        <v/>
      </c>
      <c r="D60" s="44" t="str">
        <f>IF($CD$7="","",IF($BK$24="C",INDEX(Tính!$Q$39:$Q$83,$CD$7)&amp;"/"&amp;$BK$1,IF($BK$24="V",INDEX(Tính!$R$39:$R$83,$CD$7)&amp;"/"&amp;$BL$1,IF($BL$24="","",INDEX(Tính!$C$182:$V$226,$CD$7,INDEX(Tính!$C$278:$V$322,$CD$7,$BL$24))))))</f>
        <v/>
      </c>
      <c r="F60" s="42" t="str">
        <f>IF($CD$8="","",IF($BK$24="C","NHÓM CHÍNH",IF($BK$24="V","NHÓM VƯỢT TRỘI",IF($BL$24="","",INDEX($BA$3:$BA$22,INDEX(Tính!$C$278:$V$322,$CD$8,$BL$24))))))</f>
        <v/>
      </c>
      <c r="G60" s="43" t="str">
        <f>IF(OR($CD$8="",$BL$24=""),"",INDEX(Tính!$C$86:$V$130,$CD$8,INDEX(Tính!$C$278:$V$322,$CD$8,$BL$24)))</f>
        <v/>
      </c>
      <c r="H60" s="43" t="str">
        <f>IF(OR($CD$8="",$BL$24=""),"",INDEX(Tính!$C$134:$V$178,$CD$8,INDEX(Tính!$C$278:$V$322,$CD$8,$BL$24)))</f>
        <v/>
      </c>
      <c r="I60" s="44" t="str">
        <f>IF($CD$8="","",IF($BK$24="C",INDEX(Tính!$Q$39:$Q$83,$CD$8)&amp;"/"&amp;$BK$1,IF($BK$24="V",INDEX(Tính!$R$39:$R$83,$CD$8)&amp;"/"&amp;$BL$1,IF($BL$24="","",INDEX(Tính!$C$182:$V$226,$CD$8,INDEX(Tính!$C$278:$V$322,$CD$8,$BL$24))))))</f>
        <v/>
      </c>
      <c r="K60" s="42" t="str">
        <f>IF($CD$9="","",IF($BK$24="C","NHÓM CHÍNH",IF($BK$24="V","NHÓM VƯỢT TRỘI",IF($BL$24="","",INDEX($BA$3:$BA$22,INDEX(Tính!$C$278:$V$322,$CD$9,$BL$24))))))</f>
        <v/>
      </c>
      <c r="L60" s="43" t="str">
        <f>IF(OR($CD$9="",$BL$24=""),"",INDEX(Tính!$C$86:$V$130,$CD$9,INDEX(Tính!$C$278:$V$322,$CD$9,$BL$24)))</f>
        <v/>
      </c>
      <c r="M60" s="43" t="str">
        <f>IF(OR($CD$9="",$BL$24=""),"",INDEX(Tính!$C$134:$V$178,$CD$9,INDEX(Tính!$C$278:$V$322,$CD$9,$BL$24)))</f>
        <v/>
      </c>
      <c r="N60" s="44" t="str">
        <f>IF($CD$9="","",IF($BK$24="C",INDEX(Tính!$Q$39:$Q$83,$CD$9)&amp;"/"&amp;$BK$1,IF($BK$24="V",INDEX(Tính!$R$39:$R$83,$CD$9)&amp;"/"&amp;$BL$1,IF($BL$24="","",INDEX(Tính!$C$182:$V$226,$CD$9,INDEX(Tính!$C$278:$V$322,$CD$9,$BL$24))))))</f>
        <v/>
      </c>
      <c r="P60" s="42" t="str">
        <f>IF($CD$10="","",IF($BK$24="C","NHÓM CHÍNH",IF($BK$24="V","NHÓM VƯỢT TRỘI",IF($BL$24="","",INDEX($BA$3:$BA$22,INDEX(Tính!$C$278:$V$322,$CD$10,$BL$24))))))</f>
        <v/>
      </c>
      <c r="Q60" s="43" t="str">
        <f>IF(OR($CD$10="",$BL$24=""),"",INDEX(Tính!$C$86:$V$130,$CD$10,INDEX(Tính!$C$278:$V$322,$CD$10,$BL$24)))</f>
        <v/>
      </c>
      <c r="R60" s="43" t="str">
        <f>IF(OR($CD$10="",$BL$24=""),"",INDEX(Tính!$C$134:$V$178,$CD$10,INDEX(Tính!$C$278:$V$322,$CD$10,$BL$24)))</f>
        <v/>
      </c>
      <c r="S60" s="44" t="str">
        <f>IF($CD$10="","",IF($BK$24="C",INDEX(Tính!$Q$39:$Q$83,$CD$10)&amp;"/"&amp;$BK$1,IF($BK$24="V",INDEX(Tính!$R$39:$R$83,$CD$10)&amp;"/"&amp;$BL$1,IF($BL$24="","",INDEX(Tính!$C$182:$V$226,$CD$10,INDEX(Tính!$C$278:$V$322,$CD$10,$BL$24))))))</f>
        <v/>
      </c>
    </row>
    <row r="62" spans="1:19" x14ac:dyDescent="0.3">
      <c r="A62" s="81" t="str">
        <f>IF($CD$11="","",9&amp;". "&amp;IF($CD$11="","",INDEX(Tính!$F$39:$F$83,$CD$11))&amp;" · "&amp;IF($CD$11="","",INDEX(Tính!$O$39:$O$83,$CD$11)))</f>
        <v/>
      </c>
      <c r="B62" s="52"/>
      <c r="C62" s="52"/>
      <c r="D62" s="52"/>
      <c r="F62" s="81" t="str">
        <f>IF($CD$12="","",10&amp;". "&amp;IF($CD$12="","",INDEX(Tính!$F$39:$F$83,$CD$12))&amp;" · "&amp;IF($CD$12="","",INDEX(Tính!$O$39:$O$83,$CD$12)))</f>
        <v/>
      </c>
      <c r="G62" s="52"/>
      <c r="H62" s="52"/>
      <c r="I62" s="52"/>
      <c r="K62" s="81" t="str">
        <f>IF($CD$13="","",11&amp;". "&amp;IF($CD$13="","",INDEX(Tính!$F$39:$F$83,$CD$13))&amp;" · "&amp;IF($CD$13="","",INDEX(Tính!$O$39:$O$83,$CD$13)))</f>
        <v/>
      </c>
      <c r="L62" s="52"/>
      <c r="M62" s="52"/>
      <c r="N62" s="52"/>
      <c r="P62" s="81" t="str">
        <f>IF($CD$14="","",12&amp;". "&amp;IF($CD$14="","",INDEX(Tính!$F$39:$F$83,$CD$14))&amp;" · "&amp;IF($CD$14="","",INDEX(Tính!$O$39:$O$83,$CD$14)))</f>
        <v/>
      </c>
      <c r="Q62" s="52"/>
      <c r="R62" s="52"/>
      <c r="S62" s="52"/>
    </row>
    <row r="63" spans="1:19" x14ac:dyDescent="0.3">
      <c r="A63" s="35" t="str">
        <f>IF($CD$11="","","DỰ KIẾN")</f>
        <v/>
      </c>
      <c r="B63" s="35" t="str">
        <f>IF($CD$11="","","% HT")</f>
        <v/>
      </c>
      <c r="C63" s="35" t="str">
        <f>IF($CD$11="","","NH ĐẠT")</f>
        <v/>
      </c>
      <c r="D63" s="35" t="str">
        <f>IF($CD$11="","","HẠNG")</f>
        <v/>
      </c>
      <c r="F63" s="35" t="str">
        <f>IF($CD$12="","","DỰ KIẾN")</f>
        <v/>
      </c>
      <c r="G63" s="35" t="str">
        <f>IF($CD$12="","","% HT")</f>
        <v/>
      </c>
      <c r="H63" s="35" t="str">
        <f>IF($CD$12="","","NH ĐẠT")</f>
        <v/>
      </c>
      <c r="I63" s="35" t="str">
        <f>IF($CD$12="","","HẠNG")</f>
        <v/>
      </c>
      <c r="K63" s="35" t="str">
        <f>IF($CD$13="","","DỰ KIẾN")</f>
        <v/>
      </c>
      <c r="L63" s="35" t="str">
        <f>IF($CD$13="","","% HT")</f>
        <v/>
      </c>
      <c r="M63" s="35" t="str">
        <f>IF($CD$13="","","NH ĐẠT")</f>
        <v/>
      </c>
      <c r="N63" s="35" t="str">
        <f>IF($CD$13="","","HẠNG")</f>
        <v/>
      </c>
      <c r="P63" s="35" t="str">
        <f>IF($CD$14="","","DỰ KIẾN")</f>
        <v/>
      </c>
      <c r="Q63" s="35" t="str">
        <f>IF($CD$14="","","% HT")</f>
        <v/>
      </c>
      <c r="R63" s="35" t="str">
        <f>IF($CD$14="","","NH ĐẠT")</f>
        <v/>
      </c>
      <c r="S63" s="35" t="str">
        <f>IF($CD$14="","","HẠNG")</f>
        <v/>
      </c>
    </row>
    <row r="64" spans="1:19" ht="15.6" x14ac:dyDescent="0.3">
      <c r="A64" s="36" t="str">
        <f>IF($CD$11="","",IF($CD$11="","",INDEX(Tính!$M$39:$M$83,$CD$11)))</f>
        <v/>
      </c>
      <c r="B64" s="36" t="str">
        <f>IF($CD$11="","",IF($CD$11="","",INDEX(Tính!$N$39:$N$83,$CD$11)))</f>
        <v/>
      </c>
      <c r="C64" s="37" t="str">
        <f>IF($CD$11="","",IF($CD$11="","",INDEX(Tính!$P$39:$P$83,$CD$11))&amp;"/"&amp;COUNTIF($BA$3:$BA$22,"?*"))</f>
        <v/>
      </c>
      <c r="D64" s="37" t="str">
        <f>IF($CD$11="","",9)</f>
        <v/>
      </c>
      <c r="F64" s="36" t="str">
        <f>IF($CD$12="","",IF($CD$12="","",INDEX(Tính!$M$39:$M$83,$CD$12)))</f>
        <v/>
      </c>
      <c r="G64" s="36" t="str">
        <f>IF($CD$12="","",IF($CD$12="","",INDEX(Tính!$N$39:$N$83,$CD$12)))</f>
        <v/>
      </c>
      <c r="H64" s="37" t="str">
        <f>IF($CD$12="","",IF($CD$12="","",INDEX(Tính!$P$39:$P$83,$CD$12))&amp;"/"&amp;COUNTIF($BA$3:$BA$22,"?*"))</f>
        <v/>
      </c>
      <c r="I64" s="37" t="str">
        <f>IF($CD$12="","",10)</f>
        <v/>
      </c>
      <c r="K64" s="36" t="str">
        <f>IF($CD$13="","",IF($CD$13="","",INDEX(Tính!$M$39:$M$83,$CD$13)))</f>
        <v/>
      </c>
      <c r="L64" s="36" t="str">
        <f>IF($CD$13="","",IF($CD$13="","",INDEX(Tính!$N$39:$N$83,$CD$13)))</f>
        <v/>
      </c>
      <c r="M64" s="37" t="str">
        <f>IF($CD$13="","",IF($CD$13="","",INDEX(Tính!$P$39:$P$83,$CD$13))&amp;"/"&amp;COUNTIF($BA$3:$BA$22,"?*"))</f>
        <v/>
      </c>
      <c r="N64" s="37" t="str">
        <f>IF($CD$13="","",11)</f>
        <v/>
      </c>
      <c r="P64" s="36" t="str">
        <f>IF($CD$14="","",IF($CD$14="","",INDEX(Tính!$M$39:$M$83,$CD$14)))</f>
        <v/>
      </c>
      <c r="Q64" s="36" t="str">
        <f>IF($CD$14="","",IF($CD$14="","",INDEX(Tính!$N$39:$N$83,$CD$14)))</f>
        <v/>
      </c>
      <c r="R64" s="37" t="str">
        <f>IF($CD$14="","",IF($CD$14="","",INDEX(Tính!$P$39:$P$83,$CD$14))&amp;"/"&amp;COUNTIF($BA$3:$BA$22,"?*"))</f>
        <v/>
      </c>
      <c r="S64" s="37" t="str">
        <f>IF($CD$14="","",12)</f>
        <v/>
      </c>
    </row>
    <row r="65" spans="1:19" x14ac:dyDescent="0.3">
      <c r="A65" s="35" t="str">
        <f>IF($CD$11="","","DT QĐ")</f>
        <v/>
      </c>
      <c r="B65" s="35" t="str">
        <f>IF($CD$11="","","MỤC TIÊU")</f>
        <v/>
      </c>
      <c r="C65" s="35" t="str">
        <f>IF($CD$11="","","HÔM NAY")</f>
        <v/>
      </c>
      <c r="D65" s="35"/>
      <c r="F65" s="35" t="str">
        <f>IF($CD$12="","","DT QĐ")</f>
        <v/>
      </c>
      <c r="G65" s="35" t="str">
        <f>IF($CD$12="","","MỤC TIÊU")</f>
        <v/>
      </c>
      <c r="H65" s="35" t="str">
        <f>IF($CD$12="","","HÔM NAY")</f>
        <v/>
      </c>
      <c r="I65" s="35"/>
      <c r="K65" s="35" t="str">
        <f>IF($CD$13="","","DT QĐ")</f>
        <v/>
      </c>
      <c r="L65" s="35" t="str">
        <f>IF($CD$13="","","MỤC TIÊU")</f>
        <v/>
      </c>
      <c r="M65" s="35" t="str">
        <f>IF($CD$13="","","HÔM NAY")</f>
        <v/>
      </c>
      <c r="N65" s="35"/>
      <c r="P65" s="35" t="str">
        <f>IF($CD$14="","","DT QĐ")</f>
        <v/>
      </c>
      <c r="Q65" s="35" t="str">
        <f>IF($CD$14="","","MỤC TIÊU")</f>
        <v/>
      </c>
      <c r="R65" s="35" t="str">
        <f>IF($CD$14="","","HÔM NAY")</f>
        <v/>
      </c>
      <c r="S65" s="35"/>
    </row>
    <row r="66" spans="1:19" x14ac:dyDescent="0.3">
      <c r="A66" s="38" t="str">
        <f>IF($CD$11="","",IF($CD$11="","",INDEX(Tính!$K$39:$K$83,$CD$11)))</f>
        <v/>
      </c>
      <c r="B66" s="39" t="str">
        <f>IF($CD$11="","",IF($CD$11="","",INDEX(Tính!$J$39:$J$83,$CD$11)))</f>
        <v/>
      </c>
      <c r="C66" s="38" t="str">
        <f>IF($CD$11="","",IF($CD$11="","",INDEX(Tính!$L$39:$L$83,$CD$11)))</f>
        <v/>
      </c>
      <c r="D66" s="40" t="str">
        <f>IF($CD$11="","","")</f>
        <v/>
      </c>
      <c r="F66" s="38" t="str">
        <f>IF($CD$12="","",IF($CD$12="","",INDEX(Tính!$K$39:$K$83,$CD$12)))</f>
        <v/>
      </c>
      <c r="G66" s="39" t="str">
        <f>IF($CD$12="","",IF($CD$12="","",INDEX(Tính!$J$39:$J$83,$CD$12)))</f>
        <v/>
      </c>
      <c r="H66" s="38" t="str">
        <f>IF($CD$12="","",IF($CD$12="","",INDEX(Tính!$L$39:$L$83,$CD$12)))</f>
        <v/>
      </c>
      <c r="I66" s="40" t="str">
        <f>IF($CD$12="","","")</f>
        <v/>
      </c>
      <c r="K66" s="38" t="str">
        <f>IF($CD$13="","",IF($CD$13="","",INDEX(Tính!$K$39:$K$83,$CD$13)))</f>
        <v/>
      </c>
      <c r="L66" s="39" t="str">
        <f>IF($CD$13="","",IF($CD$13="","",INDEX(Tính!$J$39:$J$83,$CD$13)))</f>
        <v/>
      </c>
      <c r="M66" s="38" t="str">
        <f>IF($CD$13="","",IF($CD$13="","",INDEX(Tính!$L$39:$L$83,$CD$13)))</f>
        <v/>
      </c>
      <c r="N66" s="40" t="str">
        <f>IF($CD$13="","","")</f>
        <v/>
      </c>
      <c r="P66" s="38" t="str">
        <f>IF($CD$14="","",IF($CD$14="","",INDEX(Tính!$K$39:$K$83,$CD$14)))</f>
        <v/>
      </c>
      <c r="Q66" s="39" t="str">
        <f>IF($CD$14="","",IF($CD$14="","",INDEX(Tính!$J$39:$J$83,$CD$14)))</f>
        <v/>
      </c>
      <c r="R66" s="38" t="str">
        <f>IF($CD$14="","",IF($CD$14="","",INDEX(Tính!$L$39:$L$83,$CD$14)))</f>
        <v/>
      </c>
      <c r="S66" s="40" t="str">
        <f>IF($CD$14="","","")</f>
        <v/>
      </c>
    </row>
    <row r="67" spans="1:19" x14ac:dyDescent="0.3">
      <c r="A67" s="41" t="str">
        <f>IF($CD$11="","","Nhóm hàng")</f>
        <v/>
      </c>
      <c r="B67" s="41" t="str">
        <f>IF($CD$11="","","TH")</f>
        <v/>
      </c>
      <c r="C67" s="41" t="str">
        <f>IF($CD$11="","","Target")</f>
        <v/>
      </c>
      <c r="D67" s="41" t="str">
        <f>IF($CD$11="","","DK")</f>
        <v/>
      </c>
      <c r="F67" s="41" t="str">
        <f>IF($CD$12="","","Nhóm hàng")</f>
        <v/>
      </c>
      <c r="G67" s="41" t="str">
        <f>IF($CD$12="","","TH")</f>
        <v/>
      </c>
      <c r="H67" s="41" t="str">
        <f>IF($CD$12="","","Target")</f>
        <v/>
      </c>
      <c r="I67" s="41" t="str">
        <f>IF($CD$12="","","DK")</f>
        <v/>
      </c>
      <c r="K67" s="41" t="str">
        <f>IF($CD$13="","","Nhóm hàng")</f>
        <v/>
      </c>
      <c r="L67" s="41" t="str">
        <f>IF($CD$13="","","TH")</f>
        <v/>
      </c>
      <c r="M67" s="41" t="str">
        <f>IF($CD$13="","","Target")</f>
        <v/>
      </c>
      <c r="N67" s="41" t="str">
        <f>IF($CD$13="","","DK")</f>
        <v/>
      </c>
      <c r="P67" s="41" t="str">
        <f>IF($CD$14="","","Nhóm hàng")</f>
        <v/>
      </c>
      <c r="Q67" s="41" t="str">
        <f>IF($CD$14="","","TH")</f>
        <v/>
      </c>
      <c r="R67" s="41" t="str">
        <f>IF($CD$14="","","Target")</f>
        <v/>
      </c>
      <c r="S67" s="41" t="str">
        <f>IF($CD$14="","","DK")</f>
        <v/>
      </c>
    </row>
    <row r="68" spans="1:19" x14ac:dyDescent="0.3">
      <c r="A68" s="42" t="str">
        <f>IF($CD$11="","",IF($BK$3="C","NHÓM CHÍNH",IF($BK$3="V","NHÓM VƯỢT TRỘI",IF($BL$3="","",INDEX($BA$3:$BA$22,INDEX(Tính!$C$278:$V$322,$CD$11,$BL$3))))))</f>
        <v/>
      </c>
      <c r="B68" s="43" t="str">
        <f>IF(OR($CD$11="",$BL$3=""),"",INDEX(Tính!$C$86:$V$130,$CD$11,INDEX(Tính!$C$278:$V$322,$CD$11,$BL$3)))</f>
        <v/>
      </c>
      <c r="C68" s="43" t="str">
        <f>IF(OR($CD$11="",$BL$3=""),"",INDEX(Tính!$C$134:$V$178,$CD$11,INDEX(Tính!$C$278:$V$322,$CD$11,$BL$3)))</f>
        <v/>
      </c>
      <c r="D68" s="44" t="str">
        <f>IF($CD$11="","",IF($BK$3="C",INDEX(Tính!$Q$39:$Q$83,$CD$11)&amp;"/"&amp;$BK$1,IF($BK$3="V",INDEX(Tính!$R$39:$R$83,$CD$11)&amp;"/"&amp;$BL$1,IF($BL$3="","",INDEX(Tính!$C$182:$V$226,$CD$11,INDEX(Tính!$C$278:$V$322,$CD$11,$BL$3))))))</f>
        <v/>
      </c>
      <c r="F68" s="42" t="str">
        <f>IF($CD$12="","",IF($BK$3="C","NHÓM CHÍNH",IF($BK$3="V","NHÓM VƯỢT TRỘI",IF($BL$3="","",INDEX($BA$3:$BA$22,INDEX(Tính!$C$278:$V$322,$CD$12,$BL$3))))))</f>
        <v/>
      </c>
      <c r="G68" s="43" t="str">
        <f>IF(OR($CD$12="",$BL$3=""),"",INDEX(Tính!$C$86:$V$130,$CD$12,INDEX(Tính!$C$278:$V$322,$CD$12,$BL$3)))</f>
        <v/>
      </c>
      <c r="H68" s="43" t="str">
        <f>IF(OR($CD$12="",$BL$3=""),"",INDEX(Tính!$C$134:$V$178,$CD$12,INDEX(Tính!$C$278:$V$322,$CD$12,$BL$3)))</f>
        <v/>
      </c>
      <c r="I68" s="44" t="str">
        <f>IF($CD$12="","",IF($BK$3="C",INDEX(Tính!$Q$39:$Q$83,$CD$12)&amp;"/"&amp;$BK$1,IF($BK$3="V",INDEX(Tính!$R$39:$R$83,$CD$12)&amp;"/"&amp;$BL$1,IF($BL$3="","",INDEX(Tính!$C$182:$V$226,$CD$12,INDEX(Tính!$C$278:$V$322,$CD$12,$BL$3))))))</f>
        <v/>
      </c>
      <c r="K68" s="42" t="str">
        <f>IF($CD$13="","",IF($BK$3="C","NHÓM CHÍNH",IF($BK$3="V","NHÓM VƯỢT TRỘI",IF($BL$3="","",INDEX($BA$3:$BA$22,INDEX(Tính!$C$278:$V$322,$CD$13,$BL$3))))))</f>
        <v/>
      </c>
      <c r="L68" s="43" t="str">
        <f>IF(OR($CD$13="",$BL$3=""),"",INDEX(Tính!$C$86:$V$130,$CD$13,INDEX(Tính!$C$278:$V$322,$CD$13,$BL$3)))</f>
        <v/>
      </c>
      <c r="M68" s="43" t="str">
        <f>IF(OR($CD$13="",$BL$3=""),"",INDEX(Tính!$C$134:$V$178,$CD$13,INDEX(Tính!$C$278:$V$322,$CD$13,$BL$3)))</f>
        <v/>
      </c>
      <c r="N68" s="44" t="str">
        <f>IF($CD$13="","",IF($BK$3="C",INDEX(Tính!$Q$39:$Q$83,$CD$13)&amp;"/"&amp;$BK$1,IF($BK$3="V",INDEX(Tính!$R$39:$R$83,$CD$13)&amp;"/"&amp;$BL$1,IF($BL$3="","",INDEX(Tính!$C$182:$V$226,$CD$13,INDEX(Tính!$C$278:$V$322,$CD$13,$BL$3))))))</f>
        <v/>
      </c>
      <c r="P68" s="42" t="str">
        <f>IF($CD$14="","",IF($BK$3="C","NHÓM CHÍNH",IF($BK$3="V","NHÓM VƯỢT TRỘI",IF($BL$3="","",INDEX($BA$3:$BA$22,INDEX(Tính!$C$278:$V$322,$CD$14,$BL$3))))))</f>
        <v/>
      </c>
      <c r="Q68" s="43" t="str">
        <f>IF(OR($CD$14="",$BL$3=""),"",INDEX(Tính!$C$86:$V$130,$CD$14,INDEX(Tính!$C$278:$V$322,$CD$14,$BL$3)))</f>
        <v/>
      </c>
      <c r="R68" s="43" t="str">
        <f>IF(OR($CD$14="",$BL$3=""),"",INDEX(Tính!$C$134:$V$178,$CD$14,INDEX(Tính!$C$278:$V$322,$CD$14,$BL$3)))</f>
        <v/>
      </c>
      <c r="S68" s="44" t="str">
        <f>IF($CD$14="","",IF($BK$3="C",INDEX(Tính!$Q$39:$Q$83,$CD$14)&amp;"/"&amp;$BK$1,IF($BK$3="V",INDEX(Tính!$R$39:$R$83,$CD$14)&amp;"/"&amp;$BL$1,IF($BL$3="","",INDEX(Tính!$C$182:$V$226,$CD$14,INDEX(Tính!$C$278:$V$322,$CD$14,$BL$3))))))</f>
        <v/>
      </c>
    </row>
    <row r="69" spans="1:19" x14ac:dyDescent="0.3">
      <c r="A69" s="42" t="str">
        <f>IF($CD$11="","",IF($BK$4="C","NHÓM CHÍNH",IF($BK$4="V","NHÓM VƯỢT TRỘI",IF($BL$4="","",INDEX($BA$3:$BA$22,INDEX(Tính!$C$278:$V$322,$CD$11,$BL$4))))))</f>
        <v/>
      </c>
      <c r="B69" s="43" t="str">
        <f>IF(OR($CD$11="",$BL$4=""),"",INDEX(Tính!$C$86:$V$130,$CD$11,INDEX(Tính!$C$278:$V$322,$CD$11,$BL$4)))</f>
        <v/>
      </c>
      <c r="C69" s="43" t="str">
        <f>IF(OR($CD$11="",$BL$4=""),"",INDEX(Tính!$C$134:$V$178,$CD$11,INDEX(Tính!$C$278:$V$322,$CD$11,$BL$4)))</f>
        <v/>
      </c>
      <c r="D69" s="44" t="str">
        <f>IF($CD$11="","",IF($BK$4="C",INDEX(Tính!$Q$39:$Q$83,$CD$11)&amp;"/"&amp;$BK$1,IF($BK$4="V",INDEX(Tính!$R$39:$R$83,$CD$11)&amp;"/"&amp;$BL$1,IF($BL$4="","",INDEX(Tính!$C$182:$V$226,$CD$11,INDEX(Tính!$C$278:$V$322,$CD$11,$BL$4))))))</f>
        <v/>
      </c>
      <c r="F69" s="42" t="str">
        <f>IF($CD$12="","",IF($BK$4="C","NHÓM CHÍNH",IF($BK$4="V","NHÓM VƯỢT TRỘI",IF($BL$4="","",INDEX($BA$3:$BA$22,INDEX(Tính!$C$278:$V$322,$CD$12,$BL$4))))))</f>
        <v/>
      </c>
      <c r="G69" s="43" t="str">
        <f>IF(OR($CD$12="",$BL$4=""),"",INDEX(Tính!$C$86:$V$130,$CD$12,INDEX(Tính!$C$278:$V$322,$CD$12,$BL$4)))</f>
        <v/>
      </c>
      <c r="H69" s="43" t="str">
        <f>IF(OR($CD$12="",$BL$4=""),"",INDEX(Tính!$C$134:$V$178,$CD$12,INDEX(Tính!$C$278:$V$322,$CD$12,$BL$4)))</f>
        <v/>
      </c>
      <c r="I69" s="44" t="str">
        <f>IF($CD$12="","",IF($BK$4="C",INDEX(Tính!$Q$39:$Q$83,$CD$12)&amp;"/"&amp;$BK$1,IF($BK$4="V",INDEX(Tính!$R$39:$R$83,$CD$12)&amp;"/"&amp;$BL$1,IF($BL$4="","",INDEX(Tính!$C$182:$V$226,$CD$12,INDEX(Tính!$C$278:$V$322,$CD$12,$BL$4))))))</f>
        <v/>
      </c>
      <c r="K69" s="42" t="str">
        <f>IF($CD$13="","",IF($BK$4="C","NHÓM CHÍNH",IF($BK$4="V","NHÓM VƯỢT TRỘI",IF($BL$4="","",INDEX($BA$3:$BA$22,INDEX(Tính!$C$278:$V$322,$CD$13,$BL$4))))))</f>
        <v/>
      </c>
      <c r="L69" s="43" t="str">
        <f>IF(OR($CD$13="",$BL$4=""),"",INDEX(Tính!$C$86:$V$130,$CD$13,INDEX(Tính!$C$278:$V$322,$CD$13,$BL$4)))</f>
        <v/>
      </c>
      <c r="M69" s="43" t="str">
        <f>IF(OR($CD$13="",$BL$4=""),"",INDEX(Tính!$C$134:$V$178,$CD$13,INDEX(Tính!$C$278:$V$322,$CD$13,$BL$4)))</f>
        <v/>
      </c>
      <c r="N69" s="44" t="str">
        <f>IF($CD$13="","",IF($BK$4="C",INDEX(Tính!$Q$39:$Q$83,$CD$13)&amp;"/"&amp;$BK$1,IF($BK$4="V",INDEX(Tính!$R$39:$R$83,$CD$13)&amp;"/"&amp;$BL$1,IF($BL$4="","",INDEX(Tính!$C$182:$V$226,$CD$13,INDEX(Tính!$C$278:$V$322,$CD$13,$BL$4))))))</f>
        <v/>
      </c>
      <c r="P69" s="42" t="str">
        <f>IF($CD$14="","",IF($BK$4="C","NHÓM CHÍNH",IF($BK$4="V","NHÓM VƯỢT TRỘI",IF($BL$4="","",INDEX($BA$3:$BA$22,INDEX(Tính!$C$278:$V$322,$CD$14,$BL$4))))))</f>
        <v/>
      </c>
      <c r="Q69" s="43" t="str">
        <f>IF(OR($CD$14="",$BL$4=""),"",INDEX(Tính!$C$86:$V$130,$CD$14,INDEX(Tính!$C$278:$V$322,$CD$14,$BL$4)))</f>
        <v/>
      </c>
      <c r="R69" s="43" t="str">
        <f>IF(OR($CD$14="",$BL$4=""),"",INDEX(Tính!$C$134:$V$178,$CD$14,INDEX(Tính!$C$278:$V$322,$CD$14,$BL$4)))</f>
        <v/>
      </c>
      <c r="S69" s="44" t="str">
        <f>IF($CD$14="","",IF($BK$4="C",INDEX(Tính!$Q$39:$Q$83,$CD$14)&amp;"/"&amp;$BK$1,IF($BK$4="V",INDEX(Tính!$R$39:$R$83,$CD$14)&amp;"/"&amp;$BL$1,IF($BL$4="","",INDEX(Tính!$C$182:$V$226,$CD$14,INDEX(Tính!$C$278:$V$322,$CD$14,$BL$4))))))</f>
        <v/>
      </c>
    </row>
    <row r="70" spans="1:19" x14ac:dyDescent="0.3">
      <c r="A70" s="42" t="str">
        <f>IF($CD$11="","",IF($BK$5="C","NHÓM CHÍNH",IF($BK$5="V","NHÓM VƯỢT TRỘI",IF($BL$5="","",INDEX($BA$3:$BA$22,INDEX(Tính!$C$278:$V$322,$CD$11,$BL$5))))))</f>
        <v/>
      </c>
      <c r="B70" s="43" t="str">
        <f>IF(OR($CD$11="",$BL$5=""),"",INDEX(Tính!$C$86:$V$130,$CD$11,INDEX(Tính!$C$278:$V$322,$CD$11,$BL$5)))</f>
        <v/>
      </c>
      <c r="C70" s="43" t="str">
        <f>IF(OR($CD$11="",$BL$5=""),"",INDEX(Tính!$C$134:$V$178,$CD$11,INDEX(Tính!$C$278:$V$322,$CD$11,$BL$5)))</f>
        <v/>
      </c>
      <c r="D70" s="44" t="str">
        <f>IF($CD$11="","",IF($BK$5="C",INDEX(Tính!$Q$39:$Q$83,$CD$11)&amp;"/"&amp;$BK$1,IF($BK$5="V",INDEX(Tính!$R$39:$R$83,$CD$11)&amp;"/"&amp;$BL$1,IF($BL$5="","",INDEX(Tính!$C$182:$V$226,$CD$11,INDEX(Tính!$C$278:$V$322,$CD$11,$BL$5))))))</f>
        <v/>
      </c>
      <c r="F70" s="42" t="str">
        <f>IF($CD$12="","",IF($BK$5="C","NHÓM CHÍNH",IF($BK$5="V","NHÓM VƯỢT TRỘI",IF($BL$5="","",INDEX($BA$3:$BA$22,INDEX(Tính!$C$278:$V$322,$CD$12,$BL$5))))))</f>
        <v/>
      </c>
      <c r="G70" s="43" t="str">
        <f>IF(OR($CD$12="",$BL$5=""),"",INDEX(Tính!$C$86:$V$130,$CD$12,INDEX(Tính!$C$278:$V$322,$CD$12,$BL$5)))</f>
        <v/>
      </c>
      <c r="H70" s="43" t="str">
        <f>IF(OR($CD$12="",$BL$5=""),"",INDEX(Tính!$C$134:$V$178,$CD$12,INDEX(Tính!$C$278:$V$322,$CD$12,$BL$5)))</f>
        <v/>
      </c>
      <c r="I70" s="44" t="str">
        <f>IF($CD$12="","",IF($BK$5="C",INDEX(Tính!$Q$39:$Q$83,$CD$12)&amp;"/"&amp;$BK$1,IF($BK$5="V",INDEX(Tính!$R$39:$R$83,$CD$12)&amp;"/"&amp;$BL$1,IF($BL$5="","",INDEX(Tính!$C$182:$V$226,$CD$12,INDEX(Tính!$C$278:$V$322,$CD$12,$BL$5))))))</f>
        <v/>
      </c>
      <c r="K70" s="42" t="str">
        <f>IF($CD$13="","",IF($BK$5="C","NHÓM CHÍNH",IF($BK$5="V","NHÓM VƯỢT TRỘI",IF($BL$5="","",INDEX($BA$3:$BA$22,INDEX(Tính!$C$278:$V$322,$CD$13,$BL$5))))))</f>
        <v/>
      </c>
      <c r="L70" s="43" t="str">
        <f>IF(OR($CD$13="",$BL$5=""),"",INDEX(Tính!$C$86:$V$130,$CD$13,INDEX(Tính!$C$278:$V$322,$CD$13,$BL$5)))</f>
        <v/>
      </c>
      <c r="M70" s="43" t="str">
        <f>IF(OR($CD$13="",$BL$5=""),"",INDEX(Tính!$C$134:$V$178,$CD$13,INDEX(Tính!$C$278:$V$322,$CD$13,$BL$5)))</f>
        <v/>
      </c>
      <c r="N70" s="44" t="str">
        <f>IF($CD$13="","",IF($BK$5="C",INDEX(Tính!$Q$39:$Q$83,$CD$13)&amp;"/"&amp;$BK$1,IF($BK$5="V",INDEX(Tính!$R$39:$R$83,$CD$13)&amp;"/"&amp;$BL$1,IF($BL$5="","",INDEX(Tính!$C$182:$V$226,$CD$13,INDEX(Tính!$C$278:$V$322,$CD$13,$BL$5))))))</f>
        <v/>
      </c>
      <c r="P70" s="42" t="str">
        <f>IF($CD$14="","",IF($BK$5="C","NHÓM CHÍNH",IF($BK$5="V","NHÓM VƯỢT TRỘI",IF($BL$5="","",INDEX($BA$3:$BA$22,INDEX(Tính!$C$278:$V$322,$CD$14,$BL$5))))))</f>
        <v/>
      </c>
      <c r="Q70" s="43" t="str">
        <f>IF(OR($CD$14="",$BL$5=""),"",INDEX(Tính!$C$86:$V$130,$CD$14,INDEX(Tính!$C$278:$V$322,$CD$14,$BL$5)))</f>
        <v/>
      </c>
      <c r="R70" s="43" t="str">
        <f>IF(OR($CD$14="",$BL$5=""),"",INDEX(Tính!$C$134:$V$178,$CD$14,INDEX(Tính!$C$278:$V$322,$CD$14,$BL$5)))</f>
        <v/>
      </c>
      <c r="S70" s="44" t="str">
        <f>IF($CD$14="","",IF($BK$5="C",INDEX(Tính!$Q$39:$Q$83,$CD$14)&amp;"/"&amp;$BK$1,IF($BK$5="V",INDEX(Tính!$R$39:$R$83,$CD$14)&amp;"/"&amp;$BL$1,IF($BL$5="","",INDEX(Tính!$C$182:$V$226,$CD$14,INDEX(Tính!$C$278:$V$322,$CD$14,$BL$5))))))</f>
        <v/>
      </c>
    </row>
    <row r="71" spans="1:19" x14ac:dyDescent="0.3">
      <c r="A71" s="42" t="str">
        <f>IF($CD$11="","",IF($BK$6="C","NHÓM CHÍNH",IF($BK$6="V","NHÓM VƯỢT TRỘI",IF($BL$6="","",INDEX($BA$3:$BA$22,INDEX(Tính!$C$278:$V$322,$CD$11,$BL$6))))))</f>
        <v/>
      </c>
      <c r="B71" s="43" t="str">
        <f>IF(OR($CD$11="",$BL$6=""),"",INDEX(Tính!$C$86:$V$130,$CD$11,INDEX(Tính!$C$278:$V$322,$CD$11,$BL$6)))</f>
        <v/>
      </c>
      <c r="C71" s="43" t="str">
        <f>IF(OR($CD$11="",$BL$6=""),"",INDEX(Tính!$C$134:$V$178,$CD$11,INDEX(Tính!$C$278:$V$322,$CD$11,$BL$6)))</f>
        <v/>
      </c>
      <c r="D71" s="44" t="str">
        <f>IF($CD$11="","",IF($BK$6="C",INDEX(Tính!$Q$39:$Q$83,$CD$11)&amp;"/"&amp;$BK$1,IF($BK$6="V",INDEX(Tính!$R$39:$R$83,$CD$11)&amp;"/"&amp;$BL$1,IF($BL$6="","",INDEX(Tính!$C$182:$V$226,$CD$11,INDEX(Tính!$C$278:$V$322,$CD$11,$BL$6))))))</f>
        <v/>
      </c>
      <c r="F71" s="42" t="str">
        <f>IF($CD$12="","",IF($BK$6="C","NHÓM CHÍNH",IF($BK$6="V","NHÓM VƯỢT TRỘI",IF($BL$6="","",INDEX($BA$3:$BA$22,INDEX(Tính!$C$278:$V$322,$CD$12,$BL$6))))))</f>
        <v/>
      </c>
      <c r="G71" s="43" t="str">
        <f>IF(OR($CD$12="",$BL$6=""),"",INDEX(Tính!$C$86:$V$130,$CD$12,INDEX(Tính!$C$278:$V$322,$CD$12,$BL$6)))</f>
        <v/>
      </c>
      <c r="H71" s="43" t="str">
        <f>IF(OR($CD$12="",$BL$6=""),"",INDEX(Tính!$C$134:$V$178,$CD$12,INDEX(Tính!$C$278:$V$322,$CD$12,$BL$6)))</f>
        <v/>
      </c>
      <c r="I71" s="44" t="str">
        <f>IF($CD$12="","",IF($BK$6="C",INDEX(Tính!$Q$39:$Q$83,$CD$12)&amp;"/"&amp;$BK$1,IF($BK$6="V",INDEX(Tính!$R$39:$R$83,$CD$12)&amp;"/"&amp;$BL$1,IF($BL$6="","",INDEX(Tính!$C$182:$V$226,$CD$12,INDEX(Tính!$C$278:$V$322,$CD$12,$BL$6))))))</f>
        <v/>
      </c>
      <c r="K71" s="42" t="str">
        <f>IF($CD$13="","",IF($BK$6="C","NHÓM CHÍNH",IF($BK$6="V","NHÓM VƯỢT TRỘI",IF($BL$6="","",INDEX($BA$3:$BA$22,INDEX(Tính!$C$278:$V$322,$CD$13,$BL$6))))))</f>
        <v/>
      </c>
      <c r="L71" s="43" t="str">
        <f>IF(OR($CD$13="",$BL$6=""),"",INDEX(Tính!$C$86:$V$130,$CD$13,INDEX(Tính!$C$278:$V$322,$CD$13,$BL$6)))</f>
        <v/>
      </c>
      <c r="M71" s="43" t="str">
        <f>IF(OR($CD$13="",$BL$6=""),"",INDEX(Tính!$C$134:$V$178,$CD$13,INDEX(Tính!$C$278:$V$322,$CD$13,$BL$6)))</f>
        <v/>
      </c>
      <c r="N71" s="44" t="str">
        <f>IF($CD$13="","",IF($BK$6="C",INDEX(Tính!$Q$39:$Q$83,$CD$13)&amp;"/"&amp;$BK$1,IF($BK$6="V",INDEX(Tính!$R$39:$R$83,$CD$13)&amp;"/"&amp;$BL$1,IF($BL$6="","",INDEX(Tính!$C$182:$V$226,$CD$13,INDEX(Tính!$C$278:$V$322,$CD$13,$BL$6))))))</f>
        <v/>
      </c>
      <c r="P71" s="42" t="str">
        <f>IF($CD$14="","",IF($BK$6="C","NHÓM CHÍNH",IF($BK$6="V","NHÓM VƯỢT TRỘI",IF($BL$6="","",INDEX($BA$3:$BA$22,INDEX(Tính!$C$278:$V$322,$CD$14,$BL$6))))))</f>
        <v/>
      </c>
      <c r="Q71" s="43" t="str">
        <f>IF(OR($CD$14="",$BL$6=""),"",INDEX(Tính!$C$86:$V$130,$CD$14,INDEX(Tính!$C$278:$V$322,$CD$14,$BL$6)))</f>
        <v/>
      </c>
      <c r="R71" s="43" t="str">
        <f>IF(OR($CD$14="",$BL$6=""),"",INDEX(Tính!$C$134:$V$178,$CD$14,INDEX(Tính!$C$278:$V$322,$CD$14,$BL$6)))</f>
        <v/>
      </c>
      <c r="S71" s="44" t="str">
        <f>IF($CD$14="","",IF($BK$6="C",INDEX(Tính!$Q$39:$Q$83,$CD$14)&amp;"/"&amp;$BK$1,IF($BK$6="V",INDEX(Tính!$R$39:$R$83,$CD$14)&amp;"/"&amp;$BL$1,IF($BL$6="","",INDEX(Tính!$C$182:$V$226,$CD$14,INDEX(Tính!$C$278:$V$322,$CD$14,$BL$6))))))</f>
        <v/>
      </c>
    </row>
    <row r="72" spans="1:19" x14ac:dyDescent="0.3">
      <c r="A72" s="42" t="str">
        <f>IF($CD$11="","",IF($BK$7="C","NHÓM CHÍNH",IF($BK$7="V","NHÓM VƯỢT TRỘI",IF($BL$7="","",INDEX($BA$3:$BA$22,INDEX(Tính!$C$278:$V$322,$CD$11,$BL$7))))))</f>
        <v/>
      </c>
      <c r="B72" s="43" t="str">
        <f>IF(OR($CD$11="",$BL$7=""),"",INDEX(Tính!$C$86:$V$130,$CD$11,INDEX(Tính!$C$278:$V$322,$CD$11,$BL$7)))</f>
        <v/>
      </c>
      <c r="C72" s="43" t="str">
        <f>IF(OR($CD$11="",$BL$7=""),"",INDEX(Tính!$C$134:$V$178,$CD$11,INDEX(Tính!$C$278:$V$322,$CD$11,$BL$7)))</f>
        <v/>
      </c>
      <c r="D72" s="44" t="str">
        <f>IF($CD$11="","",IF($BK$7="C",INDEX(Tính!$Q$39:$Q$83,$CD$11)&amp;"/"&amp;$BK$1,IF($BK$7="V",INDEX(Tính!$R$39:$R$83,$CD$11)&amp;"/"&amp;$BL$1,IF($BL$7="","",INDEX(Tính!$C$182:$V$226,$CD$11,INDEX(Tính!$C$278:$V$322,$CD$11,$BL$7))))))</f>
        <v/>
      </c>
      <c r="F72" s="42" t="str">
        <f>IF($CD$12="","",IF($BK$7="C","NHÓM CHÍNH",IF($BK$7="V","NHÓM VƯỢT TRỘI",IF($BL$7="","",INDEX($BA$3:$BA$22,INDEX(Tính!$C$278:$V$322,$CD$12,$BL$7))))))</f>
        <v/>
      </c>
      <c r="G72" s="43" t="str">
        <f>IF(OR($CD$12="",$BL$7=""),"",INDEX(Tính!$C$86:$V$130,$CD$12,INDEX(Tính!$C$278:$V$322,$CD$12,$BL$7)))</f>
        <v/>
      </c>
      <c r="H72" s="43" t="str">
        <f>IF(OR($CD$12="",$BL$7=""),"",INDEX(Tính!$C$134:$V$178,$CD$12,INDEX(Tính!$C$278:$V$322,$CD$12,$BL$7)))</f>
        <v/>
      </c>
      <c r="I72" s="44" t="str">
        <f>IF($CD$12="","",IF($BK$7="C",INDEX(Tính!$Q$39:$Q$83,$CD$12)&amp;"/"&amp;$BK$1,IF($BK$7="V",INDEX(Tính!$R$39:$R$83,$CD$12)&amp;"/"&amp;$BL$1,IF($BL$7="","",INDEX(Tính!$C$182:$V$226,$CD$12,INDEX(Tính!$C$278:$V$322,$CD$12,$BL$7))))))</f>
        <v/>
      </c>
      <c r="K72" s="42" t="str">
        <f>IF($CD$13="","",IF($BK$7="C","NHÓM CHÍNH",IF($BK$7="V","NHÓM VƯỢT TRỘI",IF($BL$7="","",INDEX($BA$3:$BA$22,INDEX(Tính!$C$278:$V$322,$CD$13,$BL$7))))))</f>
        <v/>
      </c>
      <c r="L72" s="43" t="str">
        <f>IF(OR($CD$13="",$BL$7=""),"",INDEX(Tính!$C$86:$V$130,$CD$13,INDEX(Tính!$C$278:$V$322,$CD$13,$BL$7)))</f>
        <v/>
      </c>
      <c r="M72" s="43" t="str">
        <f>IF(OR($CD$13="",$BL$7=""),"",INDEX(Tính!$C$134:$V$178,$CD$13,INDEX(Tính!$C$278:$V$322,$CD$13,$BL$7)))</f>
        <v/>
      </c>
      <c r="N72" s="44" t="str">
        <f>IF($CD$13="","",IF($BK$7="C",INDEX(Tính!$Q$39:$Q$83,$CD$13)&amp;"/"&amp;$BK$1,IF($BK$7="V",INDEX(Tính!$R$39:$R$83,$CD$13)&amp;"/"&amp;$BL$1,IF($BL$7="","",INDEX(Tính!$C$182:$V$226,$CD$13,INDEX(Tính!$C$278:$V$322,$CD$13,$BL$7))))))</f>
        <v/>
      </c>
      <c r="P72" s="42" t="str">
        <f>IF($CD$14="","",IF($BK$7="C","NHÓM CHÍNH",IF($BK$7="V","NHÓM VƯỢT TRỘI",IF($BL$7="","",INDEX($BA$3:$BA$22,INDEX(Tính!$C$278:$V$322,$CD$14,$BL$7))))))</f>
        <v/>
      </c>
      <c r="Q72" s="43" t="str">
        <f>IF(OR($CD$14="",$BL$7=""),"",INDEX(Tính!$C$86:$V$130,$CD$14,INDEX(Tính!$C$278:$V$322,$CD$14,$BL$7)))</f>
        <v/>
      </c>
      <c r="R72" s="43" t="str">
        <f>IF(OR($CD$14="",$BL$7=""),"",INDEX(Tính!$C$134:$V$178,$CD$14,INDEX(Tính!$C$278:$V$322,$CD$14,$BL$7)))</f>
        <v/>
      </c>
      <c r="S72" s="44" t="str">
        <f>IF($CD$14="","",IF($BK$7="C",INDEX(Tính!$Q$39:$Q$83,$CD$14)&amp;"/"&amp;$BK$1,IF($BK$7="V",INDEX(Tính!$R$39:$R$83,$CD$14)&amp;"/"&amp;$BL$1,IF($BL$7="","",INDEX(Tính!$C$182:$V$226,$CD$14,INDEX(Tính!$C$278:$V$322,$CD$14,$BL$7))))))</f>
        <v/>
      </c>
    </row>
    <row r="73" spans="1:19" x14ac:dyDescent="0.3">
      <c r="A73" s="42" t="str">
        <f>IF($CD$11="","",IF($BK$8="C","NHÓM CHÍNH",IF($BK$8="V","NHÓM VƯỢT TRỘI",IF($BL$8="","",INDEX($BA$3:$BA$22,INDEX(Tính!$C$278:$V$322,$CD$11,$BL$8))))))</f>
        <v/>
      </c>
      <c r="B73" s="43" t="str">
        <f>IF(OR($CD$11="",$BL$8=""),"",INDEX(Tính!$C$86:$V$130,$CD$11,INDEX(Tính!$C$278:$V$322,$CD$11,$BL$8)))</f>
        <v/>
      </c>
      <c r="C73" s="43" t="str">
        <f>IF(OR($CD$11="",$BL$8=""),"",INDEX(Tính!$C$134:$V$178,$CD$11,INDEX(Tính!$C$278:$V$322,$CD$11,$BL$8)))</f>
        <v/>
      </c>
      <c r="D73" s="44" t="str">
        <f>IF($CD$11="","",IF($BK$8="C",INDEX(Tính!$Q$39:$Q$83,$CD$11)&amp;"/"&amp;$BK$1,IF($BK$8="V",INDEX(Tính!$R$39:$R$83,$CD$11)&amp;"/"&amp;$BL$1,IF($BL$8="","",INDEX(Tính!$C$182:$V$226,$CD$11,INDEX(Tính!$C$278:$V$322,$CD$11,$BL$8))))))</f>
        <v/>
      </c>
      <c r="F73" s="42" t="str">
        <f>IF($CD$12="","",IF($BK$8="C","NHÓM CHÍNH",IF($BK$8="V","NHÓM VƯỢT TRỘI",IF($BL$8="","",INDEX($BA$3:$BA$22,INDEX(Tính!$C$278:$V$322,$CD$12,$BL$8))))))</f>
        <v/>
      </c>
      <c r="G73" s="43" t="str">
        <f>IF(OR($CD$12="",$BL$8=""),"",INDEX(Tính!$C$86:$V$130,$CD$12,INDEX(Tính!$C$278:$V$322,$CD$12,$BL$8)))</f>
        <v/>
      </c>
      <c r="H73" s="43" t="str">
        <f>IF(OR($CD$12="",$BL$8=""),"",INDEX(Tính!$C$134:$V$178,$CD$12,INDEX(Tính!$C$278:$V$322,$CD$12,$BL$8)))</f>
        <v/>
      </c>
      <c r="I73" s="44" t="str">
        <f>IF($CD$12="","",IF($BK$8="C",INDEX(Tính!$Q$39:$Q$83,$CD$12)&amp;"/"&amp;$BK$1,IF($BK$8="V",INDEX(Tính!$R$39:$R$83,$CD$12)&amp;"/"&amp;$BL$1,IF($BL$8="","",INDEX(Tính!$C$182:$V$226,$CD$12,INDEX(Tính!$C$278:$V$322,$CD$12,$BL$8))))))</f>
        <v/>
      </c>
      <c r="K73" s="42" t="str">
        <f>IF($CD$13="","",IF($BK$8="C","NHÓM CHÍNH",IF($BK$8="V","NHÓM VƯỢT TRỘI",IF($BL$8="","",INDEX($BA$3:$BA$22,INDEX(Tính!$C$278:$V$322,$CD$13,$BL$8))))))</f>
        <v/>
      </c>
      <c r="L73" s="43" t="str">
        <f>IF(OR($CD$13="",$BL$8=""),"",INDEX(Tính!$C$86:$V$130,$CD$13,INDEX(Tính!$C$278:$V$322,$CD$13,$BL$8)))</f>
        <v/>
      </c>
      <c r="M73" s="43" t="str">
        <f>IF(OR($CD$13="",$BL$8=""),"",INDEX(Tính!$C$134:$V$178,$CD$13,INDEX(Tính!$C$278:$V$322,$CD$13,$BL$8)))</f>
        <v/>
      </c>
      <c r="N73" s="44" t="str">
        <f>IF($CD$13="","",IF($BK$8="C",INDEX(Tính!$Q$39:$Q$83,$CD$13)&amp;"/"&amp;$BK$1,IF($BK$8="V",INDEX(Tính!$R$39:$R$83,$CD$13)&amp;"/"&amp;$BL$1,IF($BL$8="","",INDEX(Tính!$C$182:$V$226,$CD$13,INDEX(Tính!$C$278:$V$322,$CD$13,$BL$8))))))</f>
        <v/>
      </c>
      <c r="P73" s="42" t="str">
        <f>IF($CD$14="","",IF($BK$8="C","NHÓM CHÍNH",IF($BK$8="V","NHÓM VƯỢT TRỘI",IF($BL$8="","",INDEX($BA$3:$BA$22,INDEX(Tính!$C$278:$V$322,$CD$14,$BL$8))))))</f>
        <v/>
      </c>
      <c r="Q73" s="43" t="str">
        <f>IF(OR($CD$14="",$BL$8=""),"",INDEX(Tính!$C$86:$V$130,$CD$14,INDEX(Tính!$C$278:$V$322,$CD$14,$BL$8)))</f>
        <v/>
      </c>
      <c r="R73" s="43" t="str">
        <f>IF(OR($CD$14="",$BL$8=""),"",INDEX(Tính!$C$134:$V$178,$CD$14,INDEX(Tính!$C$278:$V$322,$CD$14,$BL$8)))</f>
        <v/>
      </c>
      <c r="S73" s="44" t="str">
        <f>IF($CD$14="","",IF($BK$8="C",INDEX(Tính!$Q$39:$Q$83,$CD$14)&amp;"/"&amp;$BK$1,IF($BK$8="V",INDEX(Tính!$R$39:$R$83,$CD$14)&amp;"/"&amp;$BL$1,IF($BL$8="","",INDEX(Tính!$C$182:$V$226,$CD$14,INDEX(Tính!$C$278:$V$322,$CD$14,$BL$8))))))</f>
        <v/>
      </c>
    </row>
    <row r="74" spans="1:19" x14ac:dyDescent="0.3">
      <c r="A74" s="42" t="str">
        <f>IF($CD$11="","",IF($BK$9="C","NHÓM CHÍNH",IF($BK$9="V","NHÓM VƯỢT TRỘI",IF($BL$9="","",INDEX($BA$3:$BA$22,INDEX(Tính!$C$278:$V$322,$CD$11,$BL$9))))))</f>
        <v/>
      </c>
      <c r="B74" s="43" t="str">
        <f>IF(OR($CD$11="",$BL$9=""),"",INDEX(Tính!$C$86:$V$130,$CD$11,INDEX(Tính!$C$278:$V$322,$CD$11,$BL$9)))</f>
        <v/>
      </c>
      <c r="C74" s="43" t="str">
        <f>IF(OR($CD$11="",$BL$9=""),"",INDEX(Tính!$C$134:$V$178,$CD$11,INDEX(Tính!$C$278:$V$322,$CD$11,$BL$9)))</f>
        <v/>
      </c>
      <c r="D74" s="44" t="str">
        <f>IF($CD$11="","",IF($BK$9="C",INDEX(Tính!$Q$39:$Q$83,$CD$11)&amp;"/"&amp;$BK$1,IF($BK$9="V",INDEX(Tính!$R$39:$R$83,$CD$11)&amp;"/"&amp;$BL$1,IF($BL$9="","",INDEX(Tính!$C$182:$V$226,$CD$11,INDEX(Tính!$C$278:$V$322,$CD$11,$BL$9))))))</f>
        <v/>
      </c>
      <c r="F74" s="42" t="str">
        <f>IF($CD$12="","",IF($BK$9="C","NHÓM CHÍNH",IF($BK$9="V","NHÓM VƯỢT TRỘI",IF($BL$9="","",INDEX($BA$3:$BA$22,INDEX(Tính!$C$278:$V$322,$CD$12,$BL$9))))))</f>
        <v/>
      </c>
      <c r="G74" s="43" t="str">
        <f>IF(OR($CD$12="",$BL$9=""),"",INDEX(Tính!$C$86:$V$130,$CD$12,INDEX(Tính!$C$278:$V$322,$CD$12,$BL$9)))</f>
        <v/>
      </c>
      <c r="H74" s="43" t="str">
        <f>IF(OR($CD$12="",$BL$9=""),"",INDEX(Tính!$C$134:$V$178,$CD$12,INDEX(Tính!$C$278:$V$322,$CD$12,$BL$9)))</f>
        <v/>
      </c>
      <c r="I74" s="44" t="str">
        <f>IF($CD$12="","",IF($BK$9="C",INDEX(Tính!$Q$39:$Q$83,$CD$12)&amp;"/"&amp;$BK$1,IF($BK$9="V",INDEX(Tính!$R$39:$R$83,$CD$12)&amp;"/"&amp;$BL$1,IF($BL$9="","",INDEX(Tính!$C$182:$V$226,$CD$12,INDEX(Tính!$C$278:$V$322,$CD$12,$BL$9))))))</f>
        <v/>
      </c>
      <c r="K74" s="42" t="str">
        <f>IF($CD$13="","",IF($BK$9="C","NHÓM CHÍNH",IF($BK$9="V","NHÓM VƯỢT TRỘI",IF($BL$9="","",INDEX($BA$3:$BA$22,INDEX(Tính!$C$278:$V$322,$CD$13,$BL$9))))))</f>
        <v/>
      </c>
      <c r="L74" s="43" t="str">
        <f>IF(OR($CD$13="",$BL$9=""),"",INDEX(Tính!$C$86:$V$130,$CD$13,INDEX(Tính!$C$278:$V$322,$CD$13,$BL$9)))</f>
        <v/>
      </c>
      <c r="M74" s="43" t="str">
        <f>IF(OR($CD$13="",$BL$9=""),"",INDEX(Tính!$C$134:$V$178,$CD$13,INDEX(Tính!$C$278:$V$322,$CD$13,$BL$9)))</f>
        <v/>
      </c>
      <c r="N74" s="44" t="str">
        <f>IF($CD$13="","",IF($BK$9="C",INDEX(Tính!$Q$39:$Q$83,$CD$13)&amp;"/"&amp;$BK$1,IF($BK$9="V",INDEX(Tính!$R$39:$R$83,$CD$13)&amp;"/"&amp;$BL$1,IF($BL$9="","",INDEX(Tính!$C$182:$V$226,$CD$13,INDEX(Tính!$C$278:$V$322,$CD$13,$BL$9))))))</f>
        <v/>
      </c>
      <c r="P74" s="42" t="str">
        <f>IF($CD$14="","",IF($BK$9="C","NHÓM CHÍNH",IF($BK$9="V","NHÓM VƯỢT TRỘI",IF($BL$9="","",INDEX($BA$3:$BA$22,INDEX(Tính!$C$278:$V$322,$CD$14,$BL$9))))))</f>
        <v/>
      </c>
      <c r="Q74" s="43" t="str">
        <f>IF(OR($CD$14="",$BL$9=""),"",INDEX(Tính!$C$86:$V$130,$CD$14,INDEX(Tính!$C$278:$V$322,$CD$14,$BL$9)))</f>
        <v/>
      </c>
      <c r="R74" s="43" t="str">
        <f>IF(OR($CD$14="",$BL$9=""),"",INDEX(Tính!$C$134:$V$178,$CD$14,INDEX(Tính!$C$278:$V$322,$CD$14,$BL$9)))</f>
        <v/>
      </c>
      <c r="S74" s="44" t="str">
        <f>IF($CD$14="","",IF($BK$9="C",INDEX(Tính!$Q$39:$Q$83,$CD$14)&amp;"/"&amp;$BK$1,IF($BK$9="V",INDEX(Tính!$R$39:$R$83,$CD$14)&amp;"/"&amp;$BL$1,IF($BL$9="","",INDEX(Tính!$C$182:$V$226,$CD$14,INDEX(Tính!$C$278:$V$322,$CD$14,$BL$9))))))</f>
        <v/>
      </c>
    </row>
    <row r="75" spans="1:19" x14ac:dyDescent="0.3">
      <c r="A75" s="42" t="str">
        <f>IF($CD$11="","",IF($BK$10="C","NHÓM CHÍNH",IF($BK$10="V","NHÓM VƯỢT TRỘI",IF($BL$10="","",INDEX($BA$3:$BA$22,INDEX(Tính!$C$278:$V$322,$CD$11,$BL$10))))))</f>
        <v/>
      </c>
      <c r="B75" s="43" t="str">
        <f>IF(OR($CD$11="",$BL$10=""),"",INDEX(Tính!$C$86:$V$130,$CD$11,INDEX(Tính!$C$278:$V$322,$CD$11,$BL$10)))</f>
        <v/>
      </c>
      <c r="C75" s="43" t="str">
        <f>IF(OR($CD$11="",$BL$10=""),"",INDEX(Tính!$C$134:$V$178,$CD$11,INDEX(Tính!$C$278:$V$322,$CD$11,$BL$10)))</f>
        <v/>
      </c>
      <c r="D75" s="44" t="str">
        <f>IF($CD$11="","",IF($BK$10="C",INDEX(Tính!$Q$39:$Q$83,$CD$11)&amp;"/"&amp;$BK$1,IF($BK$10="V",INDEX(Tính!$R$39:$R$83,$CD$11)&amp;"/"&amp;$BL$1,IF($BL$10="","",INDEX(Tính!$C$182:$V$226,$CD$11,INDEX(Tính!$C$278:$V$322,$CD$11,$BL$10))))))</f>
        <v/>
      </c>
      <c r="F75" s="42" t="str">
        <f>IF($CD$12="","",IF($BK$10="C","NHÓM CHÍNH",IF($BK$10="V","NHÓM VƯỢT TRỘI",IF($BL$10="","",INDEX($BA$3:$BA$22,INDEX(Tính!$C$278:$V$322,$CD$12,$BL$10))))))</f>
        <v/>
      </c>
      <c r="G75" s="43" t="str">
        <f>IF(OR($CD$12="",$BL$10=""),"",INDEX(Tính!$C$86:$V$130,$CD$12,INDEX(Tính!$C$278:$V$322,$CD$12,$BL$10)))</f>
        <v/>
      </c>
      <c r="H75" s="43" t="str">
        <f>IF(OR($CD$12="",$BL$10=""),"",INDEX(Tính!$C$134:$V$178,$CD$12,INDEX(Tính!$C$278:$V$322,$CD$12,$BL$10)))</f>
        <v/>
      </c>
      <c r="I75" s="44" t="str">
        <f>IF($CD$12="","",IF($BK$10="C",INDEX(Tính!$Q$39:$Q$83,$CD$12)&amp;"/"&amp;$BK$1,IF($BK$10="V",INDEX(Tính!$R$39:$R$83,$CD$12)&amp;"/"&amp;$BL$1,IF($BL$10="","",INDEX(Tính!$C$182:$V$226,$CD$12,INDEX(Tính!$C$278:$V$322,$CD$12,$BL$10))))))</f>
        <v/>
      </c>
      <c r="K75" s="42" t="str">
        <f>IF($CD$13="","",IF($BK$10="C","NHÓM CHÍNH",IF($BK$10="V","NHÓM VƯỢT TRỘI",IF($BL$10="","",INDEX($BA$3:$BA$22,INDEX(Tính!$C$278:$V$322,$CD$13,$BL$10))))))</f>
        <v/>
      </c>
      <c r="L75" s="43" t="str">
        <f>IF(OR($CD$13="",$BL$10=""),"",INDEX(Tính!$C$86:$V$130,$CD$13,INDEX(Tính!$C$278:$V$322,$CD$13,$BL$10)))</f>
        <v/>
      </c>
      <c r="M75" s="43" t="str">
        <f>IF(OR($CD$13="",$BL$10=""),"",INDEX(Tính!$C$134:$V$178,$CD$13,INDEX(Tính!$C$278:$V$322,$CD$13,$BL$10)))</f>
        <v/>
      </c>
      <c r="N75" s="44" t="str">
        <f>IF($CD$13="","",IF($BK$10="C",INDEX(Tính!$Q$39:$Q$83,$CD$13)&amp;"/"&amp;$BK$1,IF($BK$10="V",INDEX(Tính!$R$39:$R$83,$CD$13)&amp;"/"&amp;$BL$1,IF($BL$10="","",INDEX(Tính!$C$182:$V$226,$CD$13,INDEX(Tính!$C$278:$V$322,$CD$13,$BL$10))))))</f>
        <v/>
      </c>
      <c r="P75" s="42" t="str">
        <f>IF($CD$14="","",IF($BK$10="C","NHÓM CHÍNH",IF($BK$10="V","NHÓM VƯỢT TRỘI",IF($BL$10="","",INDEX($BA$3:$BA$22,INDEX(Tính!$C$278:$V$322,$CD$14,$BL$10))))))</f>
        <v/>
      </c>
      <c r="Q75" s="43" t="str">
        <f>IF(OR($CD$14="",$BL$10=""),"",INDEX(Tính!$C$86:$V$130,$CD$14,INDEX(Tính!$C$278:$V$322,$CD$14,$BL$10)))</f>
        <v/>
      </c>
      <c r="R75" s="43" t="str">
        <f>IF(OR($CD$14="",$BL$10=""),"",INDEX(Tính!$C$134:$V$178,$CD$14,INDEX(Tính!$C$278:$V$322,$CD$14,$BL$10)))</f>
        <v/>
      </c>
      <c r="S75" s="44" t="str">
        <f>IF($CD$14="","",IF($BK$10="C",INDEX(Tính!$Q$39:$Q$83,$CD$14)&amp;"/"&amp;$BK$1,IF($BK$10="V",INDEX(Tính!$R$39:$R$83,$CD$14)&amp;"/"&amp;$BL$1,IF($BL$10="","",INDEX(Tính!$C$182:$V$226,$CD$14,INDEX(Tính!$C$278:$V$322,$CD$14,$BL$10))))))</f>
        <v/>
      </c>
    </row>
    <row r="76" spans="1:19" x14ac:dyDescent="0.3">
      <c r="A76" s="42" t="str">
        <f>IF($CD$11="","",IF($BK$11="C","NHÓM CHÍNH",IF($BK$11="V","NHÓM VƯỢT TRỘI",IF($BL$11="","",INDEX($BA$3:$BA$22,INDEX(Tính!$C$278:$V$322,$CD$11,$BL$11))))))</f>
        <v/>
      </c>
      <c r="B76" s="43" t="str">
        <f>IF(OR($CD$11="",$BL$11=""),"",INDEX(Tính!$C$86:$V$130,$CD$11,INDEX(Tính!$C$278:$V$322,$CD$11,$BL$11)))</f>
        <v/>
      </c>
      <c r="C76" s="43" t="str">
        <f>IF(OR($CD$11="",$BL$11=""),"",INDEX(Tính!$C$134:$V$178,$CD$11,INDEX(Tính!$C$278:$V$322,$CD$11,$BL$11)))</f>
        <v/>
      </c>
      <c r="D76" s="44" t="str">
        <f>IF($CD$11="","",IF($BK$11="C",INDEX(Tính!$Q$39:$Q$83,$CD$11)&amp;"/"&amp;$BK$1,IF($BK$11="V",INDEX(Tính!$R$39:$R$83,$CD$11)&amp;"/"&amp;$BL$1,IF($BL$11="","",INDEX(Tính!$C$182:$V$226,$CD$11,INDEX(Tính!$C$278:$V$322,$CD$11,$BL$11))))))</f>
        <v/>
      </c>
      <c r="F76" s="42" t="str">
        <f>IF($CD$12="","",IF($BK$11="C","NHÓM CHÍNH",IF($BK$11="V","NHÓM VƯỢT TRỘI",IF($BL$11="","",INDEX($BA$3:$BA$22,INDEX(Tính!$C$278:$V$322,$CD$12,$BL$11))))))</f>
        <v/>
      </c>
      <c r="G76" s="43" t="str">
        <f>IF(OR($CD$12="",$BL$11=""),"",INDEX(Tính!$C$86:$V$130,$CD$12,INDEX(Tính!$C$278:$V$322,$CD$12,$BL$11)))</f>
        <v/>
      </c>
      <c r="H76" s="43" t="str">
        <f>IF(OR($CD$12="",$BL$11=""),"",INDEX(Tính!$C$134:$V$178,$CD$12,INDEX(Tính!$C$278:$V$322,$CD$12,$BL$11)))</f>
        <v/>
      </c>
      <c r="I76" s="44" t="str">
        <f>IF($CD$12="","",IF($BK$11="C",INDEX(Tính!$Q$39:$Q$83,$CD$12)&amp;"/"&amp;$BK$1,IF($BK$11="V",INDEX(Tính!$R$39:$R$83,$CD$12)&amp;"/"&amp;$BL$1,IF($BL$11="","",INDEX(Tính!$C$182:$V$226,$CD$12,INDEX(Tính!$C$278:$V$322,$CD$12,$BL$11))))))</f>
        <v/>
      </c>
      <c r="K76" s="42" t="str">
        <f>IF($CD$13="","",IF($BK$11="C","NHÓM CHÍNH",IF($BK$11="V","NHÓM VƯỢT TRỘI",IF($BL$11="","",INDEX($BA$3:$BA$22,INDEX(Tính!$C$278:$V$322,$CD$13,$BL$11))))))</f>
        <v/>
      </c>
      <c r="L76" s="43" t="str">
        <f>IF(OR($CD$13="",$BL$11=""),"",INDEX(Tính!$C$86:$V$130,$CD$13,INDEX(Tính!$C$278:$V$322,$CD$13,$BL$11)))</f>
        <v/>
      </c>
      <c r="M76" s="43" t="str">
        <f>IF(OR($CD$13="",$BL$11=""),"",INDEX(Tính!$C$134:$V$178,$CD$13,INDEX(Tính!$C$278:$V$322,$CD$13,$BL$11)))</f>
        <v/>
      </c>
      <c r="N76" s="44" t="str">
        <f>IF($CD$13="","",IF($BK$11="C",INDEX(Tính!$Q$39:$Q$83,$CD$13)&amp;"/"&amp;$BK$1,IF($BK$11="V",INDEX(Tính!$R$39:$R$83,$CD$13)&amp;"/"&amp;$BL$1,IF($BL$11="","",INDEX(Tính!$C$182:$V$226,$CD$13,INDEX(Tính!$C$278:$V$322,$CD$13,$BL$11))))))</f>
        <v/>
      </c>
      <c r="P76" s="42" t="str">
        <f>IF($CD$14="","",IF($BK$11="C","NHÓM CHÍNH",IF($BK$11="V","NHÓM VƯỢT TRỘI",IF($BL$11="","",INDEX($BA$3:$BA$22,INDEX(Tính!$C$278:$V$322,$CD$14,$BL$11))))))</f>
        <v/>
      </c>
      <c r="Q76" s="43" t="str">
        <f>IF(OR($CD$14="",$BL$11=""),"",INDEX(Tính!$C$86:$V$130,$CD$14,INDEX(Tính!$C$278:$V$322,$CD$14,$BL$11)))</f>
        <v/>
      </c>
      <c r="R76" s="43" t="str">
        <f>IF(OR($CD$14="",$BL$11=""),"",INDEX(Tính!$C$134:$V$178,$CD$14,INDEX(Tính!$C$278:$V$322,$CD$14,$BL$11)))</f>
        <v/>
      </c>
      <c r="S76" s="44" t="str">
        <f>IF($CD$14="","",IF($BK$11="C",INDEX(Tính!$Q$39:$Q$83,$CD$14)&amp;"/"&amp;$BK$1,IF($BK$11="V",INDEX(Tính!$R$39:$R$83,$CD$14)&amp;"/"&amp;$BL$1,IF($BL$11="","",INDEX(Tính!$C$182:$V$226,$CD$14,INDEX(Tính!$C$278:$V$322,$CD$14,$BL$11))))))</f>
        <v/>
      </c>
    </row>
    <row r="77" spans="1:19" x14ac:dyDescent="0.3">
      <c r="A77" s="42" t="str">
        <f>IF($CD$11="","",IF($BK$12="C","NHÓM CHÍNH",IF($BK$12="V","NHÓM VƯỢT TRỘI",IF($BL$12="","",INDEX($BA$3:$BA$22,INDEX(Tính!$C$278:$V$322,$CD$11,$BL$12))))))</f>
        <v/>
      </c>
      <c r="B77" s="43" t="str">
        <f>IF(OR($CD$11="",$BL$12=""),"",INDEX(Tính!$C$86:$V$130,$CD$11,INDEX(Tính!$C$278:$V$322,$CD$11,$BL$12)))</f>
        <v/>
      </c>
      <c r="C77" s="43" t="str">
        <f>IF(OR($CD$11="",$BL$12=""),"",INDEX(Tính!$C$134:$V$178,$CD$11,INDEX(Tính!$C$278:$V$322,$CD$11,$BL$12)))</f>
        <v/>
      </c>
      <c r="D77" s="44" t="str">
        <f>IF($CD$11="","",IF($BK$12="C",INDEX(Tính!$Q$39:$Q$83,$CD$11)&amp;"/"&amp;$BK$1,IF($BK$12="V",INDEX(Tính!$R$39:$R$83,$CD$11)&amp;"/"&amp;$BL$1,IF($BL$12="","",INDEX(Tính!$C$182:$V$226,$CD$11,INDEX(Tính!$C$278:$V$322,$CD$11,$BL$12))))))</f>
        <v/>
      </c>
      <c r="F77" s="42" t="str">
        <f>IF($CD$12="","",IF($BK$12="C","NHÓM CHÍNH",IF($BK$12="V","NHÓM VƯỢT TRỘI",IF($BL$12="","",INDEX($BA$3:$BA$22,INDEX(Tính!$C$278:$V$322,$CD$12,$BL$12))))))</f>
        <v/>
      </c>
      <c r="G77" s="43" t="str">
        <f>IF(OR($CD$12="",$BL$12=""),"",INDEX(Tính!$C$86:$V$130,$CD$12,INDEX(Tính!$C$278:$V$322,$CD$12,$BL$12)))</f>
        <v/>
      </c>
      <c r="H77" s="43" t="str">
        <f>IF(OR($CD$12="",$BL$12=""),"",INDEX(Tính!$C$134:$V$178,$CD$12,INDEX(Tính!$C$278:$V$322,$CD$12,$BL$12)))</f>
        <v/>
      </c>
      <c r="I77" s="44" t="str">
        <f>IF($CD$12="","",IF($BK$12="C",INDEX(Tính!$Q$39:$Q$83,$CD$12)&amp;"/"&amp;$BK$1,IF($BK$12="V",INDEX(Tính!$R$39:$R$83,$CD$12)&amp;"/"&amp;$BL$1,IF($BL$12="","",INDEX(Tính!$C$182:$V$226,$CD$12,INDEX(Tính!$C$278:$V$322,$CD$12,$BL$12))))))</f>
        <v/>
      </c>
      <c r="K77" s="42" t="str">
        <f>IF($CD$13="","",IF($BK$12="C","NHÓM CHÍNH",IF($BK$12="V","NHÓM VƯỢT TRỘI",IF($BL$12="","",INDEX($BA$3:$BA$22,INDEX(Tính!$C$278:$V$322,$CD$13,$BL$12))))))</f>
        <v/>
      </c>
      <c r="L77" s="43" t="str">
        <f>IF(OR($CD$13="",$BL$12=""),"",INDEX(Tính!$C$86:$V$130,$CD$13,INDEX(Tính!$C$278:$V$322,$CD$13,$BL$12)))</f>
        <v/>
      </c>
      <c r="M77" s="43" t="str">
        <f>IF(OR($CD$13="",$BL$12=""),"",INDEX(Tính!$C$134:$V$178,$CD$13,INDEX(Tính!$C$278:$V$322,$CD$13,$BL$12)))</f>
        <v/>
      </c>
      <c r="N77" s="44" t="str">
        <f>IF($CD$13="","",IF($BK$12="C",INDEX(Tính!$Q$39:$Q$83,$CD$13)&amp;"/"&amp;$BK$1,IF($BK$12="V",INDEX(Tính!$R$39:$R$83,$CD$13)&amp;"/"&amp;$BL$1,IF($BL$12="","",INDEX(Tính!$C$182:$V$226,$CD$13,INDEX(Tính!$C$278:$V$322,$CD$13,$BL$12))))))</f>
        <v/>
      </c>
      <c r="P77" s="42" t="str">
        <f>IF($CD$14="","",IF($BK$12="C","NHÓM CHÍNH",IF($BK$12="V","NHÓM VƯỢT TRỘI",IF($BL$12="","",INDEX($BA$3:$BA$22,INDEX(Tính!$C$278:$V$322,$CD$14,$BL$12))))))</f>
        <v/>
      </c>
      <c r="Q77" s="43" t="str">
        <f>IF(OR($CD$14="",$BL$12=""),"",INDEX(Tính!$C$86:$V$130,$CD$14,INDEX(Tính!$C$278:$V$322,$CD$14,$BL$12)))</f>
        <v/>
      </c>
      <c r="R77" s="43" t="str">
        <f>IF(OR($CD$14="",$BL$12=""),"",INDEX(Tính!$C$134:$V$178,$CD$14,INDEX(Tính!$C$278:$V$322,$CD$14,$BL$12)))</f>
        <v/>
      </c>
      <c r="S77" s="44" t="str">
        <f>IF($CD$14="","",IF($BK$12="C",INDEX(Tính!$Q$39:$Q$83,$CD$14)&amp;"/"&amp;$BK$1,IF($BK$12="V",INDEX(Tính!$R$39:$R$83,$CD$14)&amp;"/"&amp;$BL$1,IF($BL$12="","",INDEX(Tính!$C$182:$V$226,$CD$14,INDEX(Tính!$C$278:$V$322,$CD$14,$BL$12))))))</f>
        <v/>
      </c>
    </row>
    <row r="78" spans="1:19" x14ac:dyDescent="0.3">
      <c r="A78" s="42" t="str">
        <f>IF($CD$11="","",IF($BK$13="C","NHÓM CHÍNH",IF($BK$13="V","NHÓM VƯỢT TRỘI",IF($BL$13="","",INDEX($BA$3:$BA$22,INDEX(Tính!$C$278:$V$322,$CD$11,$BL$13))))))</f>
        <v/>
      </c>
      <c r="B78" s="43" t="str">
        <f>IF(OR($CD$11="",$BL$13=""),"",INDEX(Tính!$C$86:$V$130,$CD$11,INDEX(Tính!$C$278:$V$322,$CD$11,$BL$13)))</f>
        <v/>
      </c>
      <c r="C78" s="43" t="str">
        <f>IF(OR($CD$11="",$BL$13=""),"",INDEX(Tính!$C$134:$V$178,$CD$11,INDEX(Tính!$C$278:$V$322,$CD$11,$BL$13)))</f>
        <v/>
      </c>
      <c r="D78" s="44" t="str">
        <f>IF($CD$11="","",IF($BK$13="C",INDEX(Tính!$Q$39:$Q$83,$CD$11)&amp;"/"&amp;$BK$1,IF($BK$13="V",INDEX(Tính!$R$39:$R$83,$CD$11)&amp;"/"&amp;$BL$1,IF($BL$13="","",INDEX(Tính!$C$182:$V$226,$CD$11,INDEX(Tính!$C$278:$V$322,$CD$11,$BL$13))))))</f>
        <v/>
      </c>
      <c r="F78" s="42" t="str">
        <f>IF($CD$12="","",IF($BK$13="C","NHÓM CHÍNH",IF($BK$13="V","NHÓM VƯỢT TRỘI",IF($BL$13="","",INDEX($BA$3:$BA$22,INDEX(Tính!$C$278:$V$322,$CD$12,$BL$13))))))</f>
        <v/>
      </c>
      <c r="G78" s="43" t="str">
        <f>IF(OR($CD$12="",$BL$13=""),"",INDEX(Tính!$C$86:$V$130,$CD$12,INDEX(Tính!$C$278:$V$322,$CD$12,$BL$13)))</f>
        <v/>
      </c>
      <c r="H78" s="43" t="str">
        <f>IF(OR($CD$12="",$BL$13=""),"",INDEX(Tính!$C$134:$V$178,$CD$12,INDEX(Tính!$C$278:$V$322,$CD$12,$BL$13)))</f>
        <v/>
      </c>
      <c r="I78" s="44" t="str">
        <f>IF($CD$12="","",IF($BK$13="C",INDEX(Tính!$Q$39:$Q$83,$CD$12)&amp;"/"&amp;$BK$1,IF($BK$13="V",INDEX(Tính!$R$39:$R$83,$CD$12)&amp;"/"&amp;$BL$1,IF($BL$13="","",INDEX(Tính!$C$182:$V$226,$CD$12,INDEX(Tính!$C$278:$V$322,$CD$12,$BL$13))))))</f>
        <v/>
      </c>
      <c r="K78" s="42" t="str">
        <f>IF($CD$13="","",IF($BK$13="C","NHÓM CHÍNH",IF($BK$13="V","NHÓM VƯỢT TRỘI",IF($BL$13="","",INDEX($BA$3:$BA$22,INDEX(Tính!$C$278:$V$322,$CD$13,$BL$13))))))</f>
        <v/>
      </c>
      <c r="L78" s="43" t="str">
        <f>IF(OR($CD$13="",$BL$13=""),"",INDEX(Tính!$C$86:$V$130,$CD$13,INDEX(Tính!$C$278:$V$322,$CD$13,$BL$13)))</f>
        <v/>
      </c>
      <c r="M78" s="43" t="str">
        <f>IF(OR($CD$13="",$BL$13=""),"",INDEX(Tính!$C$134:$V$178,$CD$13,INDEX(Tính!$C$278:$V$322,$CD$13,$BL$13)))</f>
        <v/>
      </c>
      <c r="N78" s="44" t="str">
        <f>IF($CD$13="","",IF($BK$13="C",INDEX(Tính!$Q$39:$Q$83,$CD$13)&amp;"/"&amp;$BK$1,IF($BK$13="V",INDEX(Tính!$R$39:$R$83,$CD$13)&amp;"/"&amp;$BL$1,IF($BL$13="","",INDEX(Tính!$C$182:$V$226,$CD$13,INDEX(Tính!$C$278:$V$322,$CD$13,$BL$13))))))</f>
        <v/>
      </c>
      <c r="P78" s="42" t="str">
        <f>IF($CD$14="","",IF($BK$13="C","NHÓM CHÍNH",IF($BK$13="V","NHÓM VƯỢT TRỘI",IF($BL$13="","",INDEX($BA$3:$BA$22,INDEX(Tính!$C$278:$V$322,$CD$14,$BL$13))))))</f>
        <v/>
      </c>
      <c r="Q78" s="43" t="str">
        <f>IF(OR($CD$14="",$BL$13=""),"",INDEX(Tính!$C$86:$V$130,$CD$14,INDEX(Tính!$C$278:$V$322,$CD$14,$BL$13)))</f>
        <v/>
      </c>
      <c r="R78" s="43" t="str">
        <f>IF(OR($CD$14="",$BL$13=""),"",INDEX(Tính!$C$134:$V$178,$CD$14,INDEX(Tính!$C$278:$V$322,$CD$14,$BL$13)))</f>
        <v/>
      </c>
      <c r="S78" s="44" t="str">
        <f>IF($CD$14="","",IF($BK$13="C",INDEX(Tính!$Q$39:$Q$83,$CD$14)&amp;"/"&amp;$BK$1,IF($BK$13="V",INDEX(Tính!$R$39:$R$83,$CD$14)&amp;"/"&amp;$BL$1,IF($BL$13="","",INDEX(Tính!$C$182:$V$226,$CD$14,INDEX(Tính!$C$278:$V$322,$CD$14,$BL$13))))))</f>
        <v/>
      </c>
    </row>
    <row r="79" spans="1:19" x14ac:dyDescent="0.3">
      <c r="A79" s="42" t="str">
        <f>IF($CD$11="","",IF($BK$14="C","NHÓM CHÍNH",IF($BK$14="V","NHÓM VƯỢT TRỘI",IF($BL$14="","",INDEX($BA$3:$BA$22,INDEX(Tính!$C$278:$V$322,$CD$11,$BL$14))))))</f>
        <v/>
      </c>
      <c r="B79" s="43" t="str">
        <f>IF(OR($CD$11="",$BL$14=""),"",INDEX(Tính!$C$86:$V$130,$CD$11,INDEX(Tính!$C$278:$V$322,$CD$11,$BL$14)))</f>
        <v/>
      </c>
      <c r="C79" s="43" t="str">
        <f>IF(OR($CD$11="",$BL$14=""),"",INDEX(Tính!$C$134:$V$178,$CD$11,INDEX(Tính!$C$278:$V$322,$CD$11,$BL$14)))</f>
        <v/>
      </c>
      <c r="D79" s="44" t="str">
        <f>IF($CD$11="","",IF($BK$14="C",INDEX(Tính!$Q$39:$Q$83,$CD$11)&amp;"/"&amp;$BK$1,IF($BK$14="V",INDEX(Tính!$R$39:$R$83,$CD$11)&amp;"/"&amp;$BL$1,IF($BL$14="","",INDEX(Tính!$C$182:$V$226,$CD$11,INDEX(Tính!$C$278:$V$322,$CD$11,$BL$14))))))</f>
        <v/>
      </c>
      <c r="F79" s="42" t="str">
        <f>IF($CD$12="","",IF($BK$14="C","NHÓM CHÍNH",IF($BK$14="V","NHÓM VƯỢT TRỘI",IF($BL$14="","",INDEX($BA$3:$BA$22,INDEX(Tính!$C$278:$V$322,$CD$12,$BL$14))))))</f>
        <v/>
      </c>
      <c r="G79" s="43" t="str">
        <f>IF(OR($CD$12="",$BL$14=""),"",INDEX(Tính!$C$86:$V$130,$CD$12,INDEX(Tính!$C$278:$V$322,$CD$12,$BL$14)))</f>
        <v/>
      </c>
      <c r="H79" s="43" t="str">
        <f>IF(OR($CD$12="",$BL$14=""),"",INDEX(Tính!$C$134:$V$178,$CD$12,INDEX(Tính!$C$278:$V$322,$CD$12,$BL$14)))</f>
        <v/>
      </c>
      <c r="I79" s="44" t="str">
        <f>IF($CD$12="","",IF($BK$14="C",INDEX(Tính!$Q$39:$Q$83,$CD$12)&amp;"/"&amp;$BK$1,IF($BK$14="V",INDEX(Tính!$R$39:$R$83,$CD$12)&amp;"/"&amp;$BL$1,IF($BL$14="","",INDEX(Tính!$C$182:$V$226,$CD$12,INDEX(Tính!$C$278:$V$322,$CD$12,$BL$14))))))</f>
        <v/>
      </c>
      <c r="K79" s="42" t="str">
        <f>IF($CD$13="","",IF($BK$14="C","NHÓM CHÍNH",IF($BK$14="V","NHÓM VƯỢT TRỘI",IF($BL$14="","",INDEX($BA$3:$BA$22,INDEX(Tính!$C$278:$V$322,$CD$13,$BL$14))))))</f>
        <v/>
      </c>
      <c r="L79" s="43" t="str">
        <f>IF(OR($CD$13="",$BL$14=""),"",INDEX(Tính!$C$86:$V$130,$CD$13,INDEX(Tính!$C$278:$V$322,$CD$13,$BL$14)))</f>
        <v/>
      </c>
      <c r="M79" s="43" t="str">
        <f>IF(OR($CD$13="",$BL$14=""),"",INDEX(Tính!$C$134:$V$178,$CD$13,INDEX(Tính!$C$278:$V$322,$CD$13,$BL$14)))</f>
        <v/>
      </c>
      <c r="N79" s="44" t="str">
        <f>IF($CD$13="","",IF($BK$14="C",INDEX(Tính!$Q$39:$Q$83,$CD$13)&amp;"/"&amp;$BK$1,IF($BK$14="V",INDEX(Tính!$R$39:$R$83,$CD$13)&amp;"/"&amp;$BL$1,IF($BL$14="","",INDEX(Tính!$C$182:$V$226,$CD$13,INDEX(Tính!$C$278:$V$322,$CD$13,$BL$14))))))</f>
        <v/>
      </c>
      <c r="P79" s="42" t="str">
        <f>IF($CD$14="","",IF($BK$14="C","NHÓM CHÍNH",IF($BK$14="V","NHÓM VƯỢT TRỘI",IF($BL$14="","",INDEX($BA$3:$BA$22,INDEX(Tính!$C$278:$V$322,$CD$14,$BL$14))))))</f>
        <v/>
      </c>
      <c r="Q79" s="43" t="str">
        <f>IF(OR($CD$14="",$BL$14=""),"",INDEX(Tính!$C$86:$V$130,$CD$14,INDEX(Tính!$C$278:$V$322,$CD$14,$BL$14)))</f>
        <v/>
      </c>
      <c r="R79" s="43" t="str">
        <f>IF(OR($CD$14="",$BL$14=""),"",INDEX(Tính!$C$134:$V$178,$CD$14,INDEX(Tính!$C$278:$V$322,$CD$14,$BL$14)))</f>
        <v/>
      </c>
      <c r="S79" s="44" t="str">
        <f>IF($CD$14="","",IF($BK$14="C",INDEX(Tính!$Q$39:$Q$83,$CD$14)&amp;"/"&amp;$BK$1,IF($BK$14="V",INDEX(Tính!$R$39:$R$83,$CD$14)&amp;"/"&amp;$BL$1,IF($BL$14="","",INDEX(Tính!$C$182:$V$226,$CD$14,INDEX(Tính!$C$278:$V$322,$CD$14,$BL$14))))))</f>
        <v/>
      </c>
    </row>
    <row r="80" spans="1:19" x14ac:dyDescent="0.3">
      <c r="A80" s="42" t="str">
        <f>IF($CD$11="","",IF($BK$15="C","NHÓM CHÍNH",IF($BK$15="V","NHÓM VƯỢT TRỘI",IF($BL$15="","",INDEX($BA$3:$BA$22,INDEX(Tính!$C$278:$V$322,$CD$11,$BL$15))))))</f>
        <v/>
      </c>
      <c r="B80" s="43" t="str">
        <f>IF(OR($CD$11="",$BL$15=""),"",INDEX(Tính!$C$86:$V$130,$CD$11,INDEX(Tính!$C$278:$V$322,$CD$11,$BL$15)))</f>
        <v/>
      </c>
      <c r="C80" s="43" t="str">
        <f>IF(OR($CD$11="",$BL$15=""),"",INDEX(Tính!$C$134:$V$178,$CD$11,INDEX(Tính!$C$278:$V$322,$CD$11,$BL$15)))</f>
        <v/>
      </c>
      <c r="D80" s="44" t="str">
        <f>IF($CD$11="","",IF($BK$15="C",INDEX(Tính!$Q$39:$Q$83,$CD$11)&amp;"/"&amp;$BK$1,IF($BK$15="V",INDEX(Tính!$R$39:$R$83,$CD$11)&amp;"/"&amp;$BL$1,IF($BL$15="","",INDEX(Tính!$C$182:$V$226,$CD$11,INDEX(Tính!$C$278:$V$322,$CD$11,$BL$15))))))</f>
        <v/>
      </c>
      <c r="F80" s="42" t="str">
        <f>IF($CD$12="","",IF($BK$15="C","NHÓM CHÍNH",IF($BK$15="V","NHÓM VƯỢT TRỘI",IF($BL$15="","",INDEX($BA$3:$BA$22,INDEX(Tính!$C$278:$V$322,$CD$12,$BL$15))))))</f>
        <v/>
      </c>
      <c r="G80" s="43" t="str">
        <f>IF(OR($CD$12="",$BL$15=""),"",INDEX(Tính!$C$86:$V$130,$CD$12,INDEX(Tính!$C$278:$V$322,$CD$12,$BL$15)))</f>
        <v/>
      </c>
      <c r="H80" s="43" t="str">
        <f>IF(OR($CD$12="",$BL$15=""),"",INDEX(Tính!$C$134:$V$178,$CD$12,INDEX(Tính!$C$278:$V$322,$CD$12,$BL$15)))</f>
        <v/>
      </c>
      <c r="I80" s="44" t="str">
        <f>IF($CD$12="","",IF($BK$15="C",INDEX(Tính!$Q$39:$Q$83,$CD$12)&amp;"/"&amp;$BK$1,IF($BK$15="V",INDEX(Tính!$R$39:$R$83,$CD$12)&amp;"/"&amp;$BL$1,IF($BL$15="","",INDEX(Tính!$C$182:$V$226,$CD$12,INDEX(Tính!$C$278:$V$322,$CD$12,$BL$15))))))</f>
        <v/>
      </c>
      <c r="K80" s="42" t="str">
        <f>IF($CD$13="","",IF($BK$15="C","NHÓM CHÍNH",IF($BK$15="V","NHÓM VƯỢT TRỘI",IF($BL$15="","",INDEX($BA$3:$BA$22,INDEX(Tính!$C$278:$V$322,$CD$13,$BL$15))))))</f>
        <v/>
      </c>
      <c r="L80" s="43" t="str">
        <f>IF(OR($CD$13="",$BL$15=""),"",INDEX(Tính!$C$86:$V$130,$CD$13,INDEX(Tính!$C$278:$V$322,$CD$13,$BL$15)))</f>
        <v/>
      </c>
      <c r="M80" s="43" t="str">
        <f>IF(OR($CD$13="",$BL$15=""),"",INDEX(Tính!$C$134:$V$178,$CD$13,INDEX(Tính!$C$278:$V$322,$CD$13,$BL$15)))</f>
        <v/>
      </c>
      <c r="N80" s="44" t="str">
        <f>IF($CD$13="","",IF($BK$15="C",INDEX(Tính!$Q$39:$Q$83,$CD$13)&amp;"/"&amp;$BK$1,IF($BK$15="V",INDEX(Tính!$R$39:$R$83,$CD$13)&amp;"/"&amp;$BL$1,IF($BL$15="","",INDEX(Tính!$C$182:$V$226,$CD$13,INDEX(Tính!$C$278:$V$322,$CD$13,$BL$15))))))</f>
        <v/>
      </c>
      <c r="P80" s="42" t="str">
        <f>IF($CD$14="","",IF($BK$15="C","NHÓM CHÍNH",IF($BK$15="V","NHÓM VƯỢT TRỘI",IF($BL$15="","",INDEX($BA$3:$BA$22,INDEX(Tính!$C$278:$V$322,$CD$14,$BL$15))))))</f>
        <v/>
      </c>
      <c r="Q80" s="43" t="str">
        <f>IF(OR($CD$14="",$BL$15=""),"",INDEX(Tính!$C$86:$V$130,$CD$14,INDEX(Tính!$C$278:$V$322,$CD$14,$BL$15)))</f>
        <v/>
      </c>
      <c r="R80" s="43" t="str">
        <f>IF(OR($CD$14="",$BL$15=""),"",INDEX(Tính!$C$134:$V$178,$CD$14,INDEX(Tính!$C$278:$V$322,$CD$14,$BL$15)))</f>
        <v/>
      </c>
      <c r="S80" s="44" t="str">
        <f>IF($CD$14="","",IF($BK$15="C",INDEX(Tính!$Q$39:$Q$83,$CD$14)&amp;"/"&amp;$BK$1,IF($BK$15="V",INDEX(Tính!$R$39:$R$83,$CD$14)&amp;"/"&amp;$BL$1,IF($BL$15="","",INDEX(Tính!$C$182:$V$226,$CD$14,INDEX(Tính!$C$278:$V$322,$CD$14,$BL$15))))))</f>
        <v/>
      </c>
    </row>
    <row r="81" spans="1:19" x14ac:dyDescent="0.3">
      <c r="A81" s="42" t="str">
        <f>IF($CD$11="","",IF($BK$16="C","NHÓM CHÍNH",IF($BK$16="V","NHÓM VƯỢT TRỘI",IF($BL$16="","",INDEX($BA$3:$BA$22,INDEX(Tính!$C$278:$V$322,$CD$11,$BL$16))))))</f>
        <v/>
      </c>
      <c r="B81" s="43" t="str">
        <f>IF(OR($CD$11="",$BL$16=""),"",INDEX(Tính!$C$86:$V$130,$CD$11,INDEX(Tính!$C$278:$V$322,$CD$11,$BL$16)))</f>
        <v/>
      </c>
      <c r="C81" s="43" t="str">
        <f>IF(OR($CD$11="",$BL$16=""),"",INDEX(Tính!$C$134:$V$178,$CD$11,INDEX(Tính!$C$278:$V$322,$CD$11,$BL$16)))</f>
        <v/>
      </c>
      <c r="D81" s="44" t="str">
        <f>IF($CD$11="","",IF($BK$16="C",INDEX(Tính!$Q$39:$Q$83,$CD$11)&amp;"/"&amp;$BK$1,IF($BK$16="V",INDEX(Tính!$R$39:$R$83,$CD$11)&amp;"/"&amp;$BL$1,IF($BL$16="","",INDEX(Tính!$C$182:$V$226,$CD$11,INDEX(Tính!$C$278:$V$322,$CD$11,$BL$16))))))</f>
        <v/>
      </c>
      <c r="F81" s="42" t="str">
        <f>IF($CD$12="","",IF($BK$16="C","NHÓM CHÍNH",IF($BK$16="V","NHÓM VƯỢT TRỘI",IF($BL$16="","",INDEX($BA$3:$BA$22,INDEX(Tính!$C$278:$V$322,$CD$12,$BL$16))))))</f>
        <v/>
      </c>
      <c r="G81" s="43" t="str">
        <f>IF(OR($CD$12="",$BL$16=""),"",INDEX(Tính!$C$86:$V$130,$CD$12,INDEX(Tính!$C$278:$V$322,$CD$12,$BL$16)))</f>
        <v/>
      </c>
      <c r="H81" s="43" t="str">
        <f>IF(OR($CD$12="",$BL$16=""),"",INDEX(Tính!$C$134:$V$178,$CD$12,INDEX(Tính!$C$278:$V$322,$CD$12,$BL$16)))</f>
        <v/>
      </c>
      <c r="I81" s="44" t="str">
        <f>IF($CD$12="","",IF($BK$16="C",INDEX(Tính!$Q$39:$Q$83,$CD$12)&amp;"/"&amp;$BK$1,IF($BK$16="V",INDEX(Tính!$R$39:$R$83,$CD$12)&amp;"/"&amp;$BL$1,IF($BL$16="","",INDEX(Tính!$C$182:$V$226,$CD$12,INDEX(Tính!$C$278:$V$322,$CD$12,$BL$16))))))</f>
        <v/>
      </c>
      <c r="K81" s="42" t="str">
        <f>IF($CD$13="","",IF($BK$16="C","NHÓM CHÍNH",IF($BK$16="V","NHÓM VƯỢT TRỘI",IF($BL$16="","",INDEX($BA$3:$BA$22,INDEX(Tính!$C$278:$V$322,$CD$13,$BL$16))))))</f>
        <v/>
      </c>
      <c r="L81" s="43" t="str">
        <f>IF(OR($CD$13="",$BL$16=""),"",INDEX(Tính!$C$86:$V$130,$CD$13,INDEX(Tính!$C$278:$V$322,$CD$13,$BL$16)))</f>
        <v/>
      </c>
      <c r="M81" s="43" t="str">
        <f>IF(OR($CD$13="",$BL$16=""),"",INDEX(Tính!$C$134:$V$178,$CD$13,INDEX(Tính!$C$278:$V$322,$CD$13,$BL$16)))</f>
        <v/>
      </c>
      <c r="N81" s="44" t="str">
        <f>IF($CD$13="","",IF($BK$16="C",INDEX(Tính!$Q$39:$Q$83,$CD$13)&amp;"/"&amp;$BK$1,IF($BK$16="V",INDEX(Tính!$R$39:$R$83,$CD$13)&amp;"/"&amp;$BL$1,IF($BL$16="","",INDEX(Tính!$C$182:$V$226,$CD$13,INDEX(Tính!$C$278:$V$322,$CD$13,$BL$16))))))</f>
        <v/>
      </c>
      <c r="P81" s="42" t="str">
        <f>IF($CD$14="","",IF($BK$16="C","NHÓM CHÍNH",IF($BK$16="V","NHÓM VƯỢT TRỘI",IF($BL$16="","",INDEX($BA$3:$BA$22,INDEX(Tính!$C$278:$V$322,$CD$14,$BL$16))))))</f>
        <v/>
      </c>
      <c r="Q81" s="43" t="str">
        <f>IF(OR($CD$14="",$BL$16=""),"",INDEX(Tính!$C$86:$V$130,$CD$14,INDEX(Tính!$C$278:$V$322,$CD$14,$BL$16)))</f>
        <v/>
      </c>
      <c r="R81" s="43" t="str">
        <f>IF(OR($CD$14="",$BL$16=""),"",INDEX(Tính!$C$134:$V$178,$CD$14,INDEX(Tính!$C$278:$V$322,$CD$14,$BL$16)))</f>
        <v/>
      </c>
      <c r="S81" s="44" t="str">
        <f>IF($CD$14="","",IF($BK$16="C",INDEX(Tính!$Q$39:$Q$83,$CD$14)&amp;"/"&amp;$BK$1,IF($BK$16="V",INDEX(Tính!$R$39:$R$83,$CD$14)&amp;"/"&amp;$BL$1,IF($BL$16="","",INDEX(Tính!$C$182:$V$226,$CD$14,INDEX(Tính!$C$278:$V$322,$CD$14,$BL$16))))))</f>
        <v/>
      </c>
    </row>
    <row r="82" spans="1:19" x14ac:dyDescent="0.3">
      <c r="A82" s="42" t="str">
        <f>IF($CD$11="","",IF($BK$17="C","NHÓM CHÍNH",IF($BK$17="V","NHÓM VƯỢT TRỘI",IF($BL$17="","",INDEX($BA$3:$BA$22,INDEX(Tính!$C$278:$V$322,$CD$11,$BL$17))))))</f>
        <v/>
      </c>
      <c r="B82" s="43" t="str">
        <f>IF(OR($CD$11="",$BL$17=""),"",INDEX(Tính!$C$86:$V$130,$CD$11,INDEX(Tính!$C$278:$V$322,$CD$11,$BL$17)))</f>
        <v/>
      </c>
      <c r="C82" s="43" t="str">
        <f>IF(OR($CD$11="",$BL$17=""),"",INDEX(Tính!$C$134:$V$178,$CD$11,INDEX(Tính!$C$278:$V$322,$CD$11,$BL$17)))</f>
        <v/>
      </c>
      <c r="D82" s="44" t="str">
        <f>IF($CD$11="","",IF($BK$17="C",INDEX(Tính!$Q$39:$Q$83,$CD$11)&amp;"/"&amp;$BK$1,IF($BK$17="V",INDEX(Tính!$R$39:$R$83,$CD$11)&amp;"/"&amp;$BL$1,IF($BL$17="","",INDEX(Tính!$C$182:$V$226,$CD$11,INDEX(Tính!$C$278:$V$322,$CD$11,$BL$17))))))</f>
        <v/>
      </c>
      <c r="F82" s="42" t="str">
        <f>IF($CD$12="","",IF($BK$17="C","NHÓM CHÍNH",IF($BK$17="V","NHÓM VƯỢT TRỘI",IF($BL$17="","",INDEX($BA$3:$BA$22,INDEX(Tính!$C$278:$V$322,$CD$12,$BL$17))))))</f>
        <v/>
      </c>
      <c r="G82" s="43" t="str">
        <f>IF(OR($CD$12="",$BL$17=""),"",INDEX(Tính!$C$86:$V$130,$CD$12,INDEX(Tính!$C$278:$V$322,$CD$12,$BL$17)))</f>
        <v/>
      </c>
      <c r="H82" s="43" t="str">
        <f>IF(OR($CD$12="",$BL$17=""),"",INDEX(Tính!$C$134:$V$178,$CD$12,INDEX(Tính!$C$278:$V$322,$CD$12,$BL$17)))</f>
        <v/>
      </c>
      <c r="I82" s="44" t="str">
        <f>IF($CD$12="","",IF($BK$17="C",INDEX(Tính!$Q$39:$Q$83,$CD$12)&amp;"/"&amp;$BK$1,IF($BK$17="V",INDEX(Tính!$R$39:$R$83,$CD$12)&amp;"/"&amp;$BL$1,IF($BL$17="","",INDEX(Tính!$C$182:$V$226,$CD$12,INDEX(Tính!$C$278:$V$322,$CD$12,$BL$17))))))</f>
        <v/>
      </c>
      <c r="K82" s="42" t="str">
        <f>IF($CD$13="","",IF($BK$17="C","NHÓM CHÍNH",IF($BK$17="V","NHÓM VƯỢT TRỘI",IF($BL$17="","",INDEX($BA$3:$BA$22,INDEX(Tính!$C$278:$V$322,$CD$13,$BL$17))))))</f>
        <v/>
      </c>
      <c r="L82" s="43" t="str">
        <f>IF(OR($CD$13="",$BL$17=""),"",INDEX(Tính!$C$86:$V$130,$CD$13,INDEX(Tính!$C$278:$V$322,$CD$13,$BL$17)))</f>
        <v/>
      </c>
      <c r="M82" s="43" t="str">
        <f>IF(OR($CD$13="",$BL$17=""),"",INDEX(Tính!$C$134:$V$178,$CD$13,INDEX(Tính!$C$278:$V$322,$CD$13,$BL$17)))</f>
        <v/>
      </c>
      <c r="N82" s="44" t="str">
        <f>IF($CD$13="","",IF($BK$17="C",INDEX(Tính!$Q$39:$Q$83,$CD$13)&amp;"/"&amp;$BK$1,IF($BK$17="V",INDEX(Tính!$R$39:$R$83,$CD$13)&amp;"/"&amp;$BL$1,IF($BL$17="","",INDEX(Tính!$C$182:$V$226,$CD$13,INDEX(Tính!$C$278:$V$322,$CD$13,$BL$17))))))</f>
        <v/>
      </c>
      <c r="P82" s="42" t="str">
        <f>IF($CD$14="","",IF($BK$17="C","NHÓM CHÍNH",IF($BK$17="V","NHÓM VƯỢT TRỘI",IF($BL$17="","",INDEX($BA$3:$BA$22,INDEX(Tính!$C$278:$V$322,$CD$14,$BL$17))))))</f>
        <v/>
      </c>
      <c r="Q82" s="43" t="str">
        <f>IF(OR($CD$14="",$BL$17=""),"",INDEX(Tính!$C$86:$V$130,$CD$14,INDEX(Tính!$C$278:$V$322,$CD$14,$BL$17)))</f>
        <v/>
      </c>
      <c r="R82" s="43" t="str">
        <f>IF(OR($CD$14="",$BL$17=""),"",INDEX(Tính!$C$134:$V$178,$CD$14,INDEX(Tính!$C$278:$V$322,$CD$14,$BL$17)))</f>
        <v/>
      </c>
      <c r="S82" s="44" t="str">
        <f>IF($CD$14="","",IF($BK$17="C",INDEX(Tính!$Q$39:$Q$83,$CD$14)&amp;"/"&amp;$BK$1,IF($BK$17="V",INDEX(Tính!$R$39:$R$83,$CD$14)&amp;"/"&amp;$BL$1,IF($BL$17="","",INDEX(Tính!$C$182:$V$226,$CD$14,INDEX(Tính!$C$278:$V$322,$CD$14,$BL$17))))))</f>
        <v/>
      </c>
    </row>
    <row r="83" spans="1:19" x14ac:dyDescent="0.3">
      <c r="A83" s="42" t="str">
        <f>IF($CD$11="","",IF($BK$18="C","NHÓM CHÍNH",IF($BK$18="V","NHÓM VƯỢT TRỘI",IF($BL$18="","",INDEX($BA$3:$BA$22,INDEX(Tính!$C$278:$V$322,$CD$11,$BL$18))))))</f>
        <v/>
      </c>
      <c r="B83" s="43" t="str">
        <f>IF(OR($CD$11="",$BL$18=""),"",INDEX(Tính!$C$86:$V$130,$CD$11,INDEX(Tính!$C$278:$V$322,$CD$11,$BL$18)))</f>
        <v/>
      </c>
      <c r="C83" s="43" t="str">
        <f>IF(OR($CD$11="",$BL$18=""),"",INDEX(Tính!$C$134:$V$178,$CD$11,INDEX(Tính!$C$278:$V$322,$CD$11,$BL$18)))</f>
        <v/>
      </c>
      <c r="D83" s="44" t="str">
        <f>IF($CD$11="","",IF($BK$18="C",INDEX(Tính!$Q$39:$Q$83,$CD$11)&amp;"/"&amp;$BK$1,IF($BK$18="V",INDEX(Tính!$R$39:$R$83,$CD$11)&amp;"/"&amp;$BL$1,IF($BL$18="","",INDEX(Tính!$C$182:$V$226,$CD$11,INDEX(Tính!$C$278:$V$322,$CD$11,$BL$18))))))</f>
        <v/>
      </c>
      <c r="F83" s="42" t="str">
        <f>IF($CD$12="","",IF($BK$18="C","NHÓM CHÍNH",IF($BK$18="V","NHÓM VƯỢT TRỘI",IF($BL$18="","",INDEX($BA$3:$BA$22,INDEX(Tính!$C$278:$V$322,$CD$12,$BL$18))))))</f>
        <v/>
      </c>
      <c r="G83" s="43" t="str">
        <f>IF(OR($CD$12="",$BL$18=""),"",INDEX(Tính!$C$86:$V$130,$CD$12,INDEX(Tính!$C$278:$V$322,$CD$12,$BL$18)))</f>
        <v/>
      </c>
      <c r="H83" s="43" t="str">
        <f>IF(OR($CD$12="",$BL$18=""),"",INDEX(Tính!$C$134:$V$178,$CD$12,INDEX(Tính!$C$278:$V$322,$CD$12,$BL$18)))</f>
        <v/>
      </c>
      <c r="I83" s="44" t="str">
        <f>IF($CD$12="","",IF($BK$18="C",INDEX(Tính!$Q$39:$Q$83,$CD$12)&amp;"/"&amp;$BK$1,IF($BK$18="V",INDEX(Tính!$R$39:$R$83,$CD$12)&amp;"/"&amp;$BL$1,IF($BL$18="","",INDEX(Tính!$C$182:$V$226,$CD$12,INDEX(Tính!$C$278:$V$322,$CD$12,$BL$18))))))</f>
        <v/>
      </c>
      <c r="K83" s="42" t="str">
        <f>IF($CD$13="","",IF($BK$18="C","NHÓM CHÍNH",IF($BK$18="V","NHÓM VƯỢT TRỘI",IF($BL$18="","",INDEX($BA$3:$BA$22,INDEX(Tính!$C$278:$V$322,$CD$13,$BL$18))))))</f>
        <v/>
      </c>
      <c r="L83" s="43" t="str">
        <f>IF(OR($CD$13="",$BL$18=""),"",INDEX(Tính!$C$86:$V$130,$CD$13,INDEX(Tính!$C$278:$V$322,$CD$13,$BL$18)))</f>
        <v/>
      </c>
      <c r="M83" s="43" t="str">
        <f>IF(OR($CD$13="",$BL$18=""),"",INDEX(Tính!$C$134:$V$178,$CD$13,INDEX(Tính!$C$278:$V$322,$CD$13,$BL$18)))</f>
        <v/>
      </c>
      <c r="N83" s="44" t="str">
        <f>IF($CD$13="","",IF($BK$18="C",INDEX(Tính!$Q$39:$Q$83,$CD$13)&amp;"/"&amp;$BK$1,IF($BK$18="V",INDEX(Tính!$R$39:$R$83,$CD$13)&amp;"/"&amp;$BL$1,IF($BL$18="","",INDEX(Tính!$C$182:$V$226,$CD$13,INDEX(Tính!$C$278:$V$322,$CD$13,$BL$18))))))</f>
        <v/>
      </c>
      <c r="P83" s="42" t="str">
        <f>IF($CD$14="","",IF($BK$18="C","NHÓM CHÍNH",IF($BK$18="V","NHÓM VƯỢT TRỘI",IF($BL$18="","",INDEX($BA$3:$BA$22,INDEX(Tính!$C$278:$V$322,$CD$14,$BL$18))))))</f>
        <v/>
      </c>
      <c r="Q83" s="43" t="str">
        <f>IF(OR($CD$14="",$BL$18=""),"",INDEX(Tính!$C$86:$V$130,$CD$14,INDEX(Tính!$C$278:$V$322,$CD$14,$BL$18)))</f>
        <v/>
      </c>
      <c r="R83" s="43" t="str">
        <f>IF(OR($CD$14="",$BL$18=""),"",INDEX(Tính!$C$134:$V$178,$CD$14,INDEX(Tính!$C$278:$V$322,$CD$14,$BL$18)))</f>
        <v/>
      </c>
      <c r="S83" s="44" t="str">
        <f>IF($CD$14="","",IF($BK$18="C",INDEX(Tính!$Q$39:$Q$83,$CD$14)&amp;"/"&amp;$BK$1,IF($BK$18="V",INDEX(Tính!$R$39:$R$83,$CD$14)&amp;"/"&amp;$BL$1,IF($BL$18="","",INDEX(Tính!$C$182:$V$226,$CD$14,INDEX(Tính!$C$278:$V$322,$CD$14,$BL$18))))))</f>
        <v/>
      </c>
    </row>
    <row r="84" spans="1:19" x14ac:dyDescent="0.3">
      <c r="A84" s="42" t="str">
        <f>IF($CD$11="","",IF($BK$19="C","NHÓM CHÍNH",IF($BK$19="V","NHÓM VƯỢT TRỘI",IF($BL$19="","",INDEX($BA$3:$BA$22,INDEX(Tính!$C$278:$V$322,$CD$11,$BL$19))))))</f>
        <v/>
      </c>
      <c r="B84" s="43" t="str">
        <f>IF(OR($CD$11="",$BL$19=""),"",INDEX(Tính!$C$86:$V$130,$CD$11,INDEX(Tính!$C$278:$V$322,$CD$11,$BL$19)))</f>
        <v/>
      </c>
      <c r="C84" s="43" t="str">
        <f>IF(OR($CD$11="",$BL$19=""),"",INDEX(Tính!$C$134:$V$178,$CD$11,INDEX(Tính!$C$278:$V$322,$CD$11,$BL$19)))</f>
        <v/>
      </c>
      <c r="D84" s="44" t="str">
        <f>IF($CD$11="","",IF($BK$19="C",INDEX(Tính!$Q$39:$Q$83,$CD$11)&amp;"/"&amp;$BK$1,IF($BK$19="V",INDEX(Tính!$R$39:$R$83,$CD$11)&amp;"/"&amp;$BL$1,IF($BL$19="","",INDEX(Tính!$C$182:$V$226,$CD$11,INDEX(Tính!$C$278:$V$322,$CD$11,$BL$19))))))</f>
        <v/>
      </c>
      <c r="F84" s="42" t="str">
        <f>IF($CD$12="","",IF($BK$19="C","NHÓM CHÍNH",IF($BK$19="V","NHÓM VƯỢT TRỘI",IF($BL$19="","",INDEX($BA$3:$BA$22,INDEX(Tính!$C$278:$V$322,$CD$12,$BL$19))))))</f>
        <v/>
      </c>
      <c r="G84" s="43" t="str">
        <f>IF(OR($CD$12="",$BL$19=""),"",INDEX(Tính!$C$86:$V$130,$CD$12,INDEX(Tính!$C$278:$V$322,$CD$12,$BL$19)))</f>
        <v/>
      </c>
      <c r="H84" s="43" t="str">
        <f>IF(OR($CD$12="",$BL$19=""),"",INDEX(Tính!$C$134:$V$178,$CD$12,INDEX(Tính!$C$278:$V$322,$CD$12,$BL$19)))</f>
        <v/>
      </c>
      <c r="I84" s="44" t="str">
        <f>IF($CD$12="","",IF($BK$19="C",INDEX(Tính!$Q$39:$Q$83,$CD$12)&amp;"/"&amp;$BK$1,IF($BK$19="V",INDEX(Tính!$R$39:$R$83,$CD$12)&amp;"/"&amp;$BL$1,IF($BL$19="","",INDEX(Tính!$C$182:$V$226,$CD$12,INDEX(Tính!$C$278:$V$322,$CD$12,$BL$19))))))</f>
        <v/>
      </c>
      <c r="K84" s="42" t="str">
        <f>IF($CD$13="","",IF($BK$19="C","NHÓM CHÍNH",IF($BK$19="V","NHÓM VƯỢT TRỘI",IF($BL$19="","",INDEX($BA$3:$BA$22,INDEX(Tính!$C$278:$V$322,$CD$13,$BL$19))))))</f>
        <v/>
      </c>
      <c r="L84" s="43" t="str">
        <f>IF(OR($CD$13="",$BL$19=""),"",INDEX(Tính!$C$86:$V$130,$CD$13,INDEX(Tính!$C$278:$V$322,$CD$13,$BL$19)))</f>
        <v/>
      </c>
      <c r="M84" s="43" t="str">
        <f>IF(OR($CD$13="",$BL$19=""),"",INDEX(Tính!$C$134:$V$178,$CD$13,INDEX(Tính!$C$278:$V$322,$CD$13,$BL$19)))</f>
        <v/>
      </c>
      <c r="N84" s="44" t="str">
        <f>IF($CD$13="","",IF($BK$19="C",INDEX(Tính!$Q$39:$Q$83,$CD$13)&amp;"/"&amp;$BK$1,IF($BK$19="V",INDEX(Tính!$R$39:$R$83,$CD$13)&amp;"/"&amp;$BL$1,IF($BL$19="","",INDEX(Tính!$C$182:$V$226,$CD$13,INDEX(Tính!$C$278:$V$322,$CD$13,$BL$19))))))</f>
        <v/>
      </c>
      <c r="P84" s="42" t="str">
        <f>IF($CD$14="","",IF($BK$19="C","NHÓM CHÍNH",IF($BK$19="V","NHÓM VƯỢT TRỘI",IF($BL$19="","",INDEX($BA$3:$BA$22,INDEX(Tính!$C$278:$V$322,$CD$14,$BL$19))))))</f>
        <v/>
      </c>
      <c r="Q84" s="43" t="str">
        <f>IF(OR($CD$14="",$BL$19=""),"",INDEX(Tính!$C$86:$V$130,$CD$14,INDEX(Tính!$C$278:$V$322,$CD$14,$BL$19)))</f>
        <v/>
      </c>
      <c r="R84" s="43" t="str">
        <f>IF(OR($CD$14="",$BL$19=""),"",INDEX(Tính!$C$134:$V$178,$CD$14,INDEX(Tính!$C$278:$V$322,$CD$14,$BL$19)))</f>
        <v/>
      </c>
      <c r="S84" s="44" t="str">
        <f>IF($CD$14="","",IF($BK$19="C",INDEX(Tính!$Q$39:$Q$83,$CD$14)&amp;"/"&amp;$BK$1,IF($BK$19="V",INDEX(Tính!$R$39:$R$83,$CD$14)&amp;"/"&amp;$BL$1,IF($BL$19="","",INDEX(Tính!$C$182:$V$226,$CD$14,INDEX(Tính!$C$278:$V$322,$CD$14,$BL$19))))))</f>
        <v/>
      </c>
    </row>
    <row r="85" spans="1:19" x14ac:dyDescent="0.3">
      <c r="A85" s="42" t="str">
        <f>IF($CD$11="","",IF($BK$20="C","NHÓM CHÍNH",IF($BK$20="V","NHÓM VƯỢT TRỘI",IF($BL$20="","",INDEX($BA$3:$BA$22,INDEX(Tính!$C$278:$V$322,$CD$11,$BL$20))))))</f>
        <v/>
      </c>
      <c r="B85" s="43" t="str">
        <f>IF(OR($CD$11="",$BL$20=""),"",INDEX(Tính!$C$86:$V$130,$CD$11,INDEX(Tính!$C$278:$V$322,$CD$11,$BL$20)))</f>
        <v/>
      </c>
      <c r="C85" s="43" t="str">
        <f>IF(OR($CD$11="",$BL$20=""),"",INDEX(Tính!$C$134:$V$178,$CD$11,INDEX(Tính!$C$278:$V$322,$CD$11,$BL$20)))</f>
        <v/>
      </c>
      <c r="D85" s="44" t="str">
        <f>IF($CD$11="","",IF($BK$20="C",INDEX(Tính!$Q$39:$Q$83,$CD$11)&amp;"/"&amp;$BK$1,IF($BK$20="V",INDEX(Tính!$R$39:$R$83,$CD$11)&amp;"/"&amp;$BL$1,IF($BL$20="","",INDEX(Tính!$C$182:$V$226,$CD$11,INDEX(Tính!$C$278:$V$322,$CD$11,$BL$20))))))</f>
        <v/>
      </c>
      <c r="F85" s="42" t="str">
        <f>IF($CD$12="","",IF($BK$20="C","NHÓM CHÍNH",IF($BK$20="V","NHÓM VƯỢT TRỘI",IF($BL$20="","",INDEX($BA$3:$BA$22,INDEX(Tính!$C$278:$V$322,$CD$12,$BL$20))))))</f>
        <v/>
      </c>
      <c r="G85" s="43" t="str">
        <f>IF(OR($CD$12="",$BL$20=""),"",INDEX(Tính!$C$86:$V$130,$CD$12,INDEX(Tính!$C$278:$V$322,$CD$12,$BL$20)))</f>
        <v/>
      </c>
      <c r="H85" s="43" t="str">
        <f>IF(OR($CD$12="",$BL$20=""),"",INDEX(Tính!$C$134:$V$178,$CD$12,INDEX(Tính!$C$278:$V$322,$CD$12,$BL$20)))</f>
        <v/>
      </c>
      <c r="I85" s="44" t="str">
        <f>IF($CD$12="","",IF($BK$20="C",INDEX(Tính!$Q$39:$Q$83,$CD$12)&amp;"/"&amp;$BK$1,IF($BK$20="V",INDEX(Tính!$R$39:$R$83,$CD$12)&amp;"/"&amp;$BL$1,IF($BL$20="","",INDEX(Tính!$C$182:$V$226,$CD$12,INDEX(Tính!$C$278:$V$322,$CD$12,$BL$20))))))</f>
        <v/>
      </c>
      <c r="K85" s="42" t="str">
        <f>IF($CD$13="","",IF($BK$20="C","NHÓM CHÍNH",IF($BK$20="V","NHÓM VƯỢT TRỘI",IF($BL$20="","",INDEX($BA$3:$BA$22,INDEX(Tính!$C$278:$V$322,$CD$13,$BL$20))))))</f>
        <v/>
      </c>
      <c r="L85" s="43" t="str">
        <f>IF(OR($CD$13="",$BL$20=""),"",INDEX(Tính!$C$86:$V$130,$CD$13,INDEX(Tính!$C$278:$V$322,$CD$13,$BL$20)))</f>
        <v/>
      </c>
      <c r="M85" s="43" t="str">
        <f>IF(OR($CD$13="",$BL$20=""),"",INDEX(Tính!$C$134:$V$178,$CD$13,INDEX(Tính!$C$278:$V$322,$CD$13,$BL$20)))</f>
        <v/>
      </c>
      <c r="N85" s="44" t="str">
        <f>IF($CD$13="","",IF($BK$20="C",INDEX(Tính!$Q$39:$Q$83,$CD$13)&amp;"/"&amp;$BK$1,IF($BK$20="V",INDEX(Tính!$R$39:$R$83,$CD$13)&amp;"/"&amp;$BL$1,IF($BL$20="","",INDEX(Tính!$C$182:$V$226,$CD$13,INDEX(Tính!$C$278:$V$322,$CD$13,$BL$20))))))</f>
        <v/>
      </c>
      <c r="P85" s="42" t="str">
        <f>IF($CD$14="","",IF($BK$20="C","NHÓM CHÍNH",IF($BK$20="V","NHÓM VƯỢT TRỘI",IF($BL$20="","",INDEX($BA$3:$BA$22,INDEX(Tính!$C$278:$V$322,$CD$14,$BL$20))))))</f>
        <v/>
      </c>
      <c r="Q85" s="43" t="str">
        <f>IF(OR($CD$14="",$BL$20=""),"",INDEX(Tính!$C$86:$V$130,$CD$14,INDEX(Tính!$C$278:$V$322,$CD$14,$BL$20)))</f>
        <v/>
      </c>
      <c r="R85" s="43" t="str">
        <f>IF(OR($CD$14="",$BL$20=""),"",INDEX(Tính!$C$134:$V$178,$CD$14,INDEX(Tính!$C$278:$V$322,$CD$14,$BL$20)))</f>
        <v/>
      </c>
      <c r="S85" s="44" t="str">
        <f>IF($CD$14="","",IF($BK$20="C",INDEX(Tính!$Q$39:$Q$83,$CD$14)&amp;"/"&amp;$BK$1,IF($BK$20="V",INDEX(Tính!$R$39:$R$83,$CD$14)&amp;"/"&amp;$BL$1,IF($BL$20="","",INDEX(Tính!$C$182:$V$226,$CD$14,INDEX(Tính!$C$278:$V$322,$CD$14,$BL$20))))))</f>
        <v/>
      </c>
    </row>
    <row r="86" spans="1:19" x14ac:dyDescent="0.3">
      <c r="A86" s="42" t="str">
        <f>IF($CD$11="","",IF($BK$21="C","NHÓM CHÍNH",IF($BK$21="V","NHÓM VƯỢT TRỘI",IF($BL$21="","",INDEX($BA$3:$BA$22,INDEX(Tính!$C$278:$V$322,$CD$11,$BL$21))))))</f>
        <v/>
      </c>
      <c r="B86" s="43" t="str">
        <f>IF(OR($CD$11="",$BL$21=""),"",INDEX(Tính!$C$86:$V$130,$CD$11,INDEX(Tính!$C$278:$V$322,$CD$11,$BL$21)))</f>
        <v/>
      </c>
      <c r="C86" s="43" t="str">
        <f>IF(OR($CD$11="",$BL$21=""),"",INDEX(Tính!$C$134:$V$178,$CD$11,INDEX(Tính!$C$278:$V$322,$CD$11,$BL$21)))</f>
        <v/>
      </c>
      <c r="D86" s="44" t="str">
        <f>IF($CD$11="","",IF($BK$21="C",INDEX(Tính!$Q$39:$Q$83,$CD$11)&amp;"/"&amp;$BK$1,IF($BK$21="V",INDEX(Tính!$R$39:$R$83,$CD$11)&amp;"/"&amp;$BL$1,IF($BL$21="","",INDEX(Tính!$C$182:$V$226,$CD$11,INDEX(Tính!$C$278:$V$322,$CD$11,$BL$21))))))</f>
        <v/>
      </c>
      <c r="F86" s="42" t="str">
        <f>IF($CD$12="","",IF($BK$21="C","NHÓM CHÍNH",IF($BK$21="V","NHÓM VƯỢT TRỘI",IF($BL$21="","",INDEX($BA$3:$BA$22,INDEX(Tính!$C$278:$V$322,$CD$12,$BL$21))))))</f>
        <v/>
      </c>
      <c r="G86" s="43" t="str">
        <f>IF(OR($CD$12="",$BL$21=""),"",INDEX(Tính!$C$86:$V$130,$CD$12,INDEX(Tính!$C$278:$V$322,$CD$12,$BL$21)))</f>
        <v/>
      </c>
      <c r="H86" s="43" t="str">
        <f>IF(OR($CD$12="",$BL$21=""),"",INDEX(Tính!$C$134:$V$178,$CD$12,INDEX(Tính!$C$278:$V$322,$CD$12,$BL$21)))</f>
        <v/>
      </c>
      <c r="I86" s="44" t="str">
        <f>IF($CD$12="","",IF($BK$21="C",INDEX(Tính!$Q$39:$Q$83,$CD$12)&amp;"/"&amp;$BK$1,IF($BK$21="V",INDEX(Tính!$R$39:$R$83,$CD$12)&amp;"/"&amp;$BL$1,IF($BL$21="","",INDEX(Tính!$C$182:$V$226,$CD$12,INDEX(Tính!$C$278:$V$322,$CD$12,$BL$21))))))</f>
        <v/>
      </c>
      <c r="K86" s="42" t="str">
        <f>IF($CD$13="","",IF($BK$21="C","NHÓM CHÍNH",IF($BK$21="V","NHÓM VƯỢT TRỘI",IF($BL$21="","",INDEX($BA$3:$BA$22,INDEX(Tính!$C$278:$V$322,$CD$13,$BL$21))))))</f>
        <v/>
      </c>
      <c r="L86" s="43" t="str">
        <f>IF(OR($CD$13="",$BL$21=""),"",INDEX(Tính!$C$86:$V$130,$CD$13,INDEX(Tính!$C$278:$V$322,$CD$13,$BL$21)))</f>
        <v/>
      </c>
      <c r="M86" s="43" t="str">
        <f>IF(OR($CD$13="",$BL$21=""),"",INDEX(Tính!$C$134:$V$178,$CD$13,INDEX(Tính!$C$278:$V$322,$CD$13,$BL$21)))</f>
        <v/>
      </c>
      <c r="N86" s="44" t="str">
        <f>IF($CD$13="","",IF($BK$21="C",INDEX(Tính!$Q$39:$Q$83,$CD$13)&amp;"/"&amp;$BK$1,IF($BK$21="V",INDEX(Tính!$R$39:$R$83,$CD$13)&amp;"/"&amp;$BL$1,IF($BL$21="","",INDEX(Tính!$C$182:$V$226,$CD$13,INDEX(Tính!$C$278:$V$322,$CD$13,$BL$21))))))</f>
        <v/>
      </c>
      <c r="P86" s="42" t="str">
        <f>IF($CD$14="","",IF($BK$21="C","NHÓM CHÍNH",IF($BK$21="V","NHÓM VƯỢT TRỘI",IF($BL$21="","",INDEX($BA$3:$BA$22,INDEX(Tính!$C$278:$V$322,$CD$14,$BL$21))))))</f>
        <v/>
      </c>
      <c r="Q86" s="43" t="str">
        <f>IF(OR($CD$14="",$BL$21=""),"",INDEX(Tính!$C$86:$V$130,$CD$14,INDEX(Tính!$C$278:$V$322,$CD$14,$BL$21)))</f>
        <v/>
      </c>
      <c r="R86" s="43" t="str">
        <f>IF(OR($CD$14="",$BL$21=""),"",INDEX(Tính!$C$134:$V$178,$CD$14,INDEX(Tính!$C$278:$V$322,$CD$14,$BL$21)))</f>
        <v/>
      </c>
      <c r="S86" s="44" t="str">
        <f>IF($CD$14="","",IF($BK$21="C",INDEX(Tính!$Q$39:$Q$83,$CD$14)&amp;"/"&amp;$BK$1,IF($BK$21="V",INDEX(Tính!$R$39:$R$83,$CD$14)&amp;"/"&amp;$BL$1,IF($BL$21="","",INDEX(Tính!$C$182:$V$226,$CD$14,INDEX(Tính!$C$278:$V$322,$CD$14,$BL$21))))))</f>
        <v/>
      </c>
    </row>
    <row r="87" spans="1:19" x14ac:dyDescent="0.3">
      <c r="A87" s="42" t="str">
        <f>IF($CD$11="","",IF($BK$22="C","NHÓM CHÍNH",IF($BK$22="V","NHÓM VƯỢT TRỘI",IF($BL$22="","",INDEX($BA$3:$BA$22,INDEX(Tính!$C$278:$V$322,$CD$11,$BL$22))))))</f>
        <v/>
      </c>
      <c r="B87" s="43" t="str">
        <f>IF(OR($CD$11="",$BL$22=""),"",INDEX(Tính!$C$86:$V$130,$CD$11,INDEX(Tính!$C$278:$V$322,$CD$11,$BL$22)))</f>
        <v/>
      </c>
      <c r="C87" s="43" t="str">
        <f>IF(OR($CD$11="",$BL$22=""),"",INDEX(Tính!$C$134:$V$178,$CD$11,INDEX(Tính!$C$278:$V$322,$CD$11,$BL$22)))</f>
        <v/>
      </c>
      <c r="D87" s="44" t="str">
        <f>IF($CD$11="","",IF($BK$22="C",INDEX(Tính!$Q$39:$Q$83,$CD$11)&amp;"/"&amp;$BK$1,IF($BK$22="V",INDEX(Tính!$R$39:$R$83,$CD$11)&amp;"/"&amp;$BL$1,IF($BL$22="","",INDEX(Tính!$C$182:$V$226,$CD$11,INDEX(Tính!$C$278:$V$322,$CD$11,$BL$22))))))</f>
        <v/>
      </c>
      <c r="F87" s="42" t="str">
        <f>IF($CD$12="","",IF($BK$22="C","NHÓM CHÍNH",IF($BK$22="V","NHÓM VƯỢT TRỘI",IF($BL$22="","",INDEX($BA$3:$BA$22,INDEX(Tính!$C$278:$V$322,$CD$12,$BL$22))))))</f>
        <v/>
      </c>
      <c r="G87" s="43" t="str">
        <f>IF(OR($CD$12="",$BL$22=""),"",INDEX(Tính!$C$86:$V$130,$CD$12,INDEX(Tính!$C$278:$V$322,$CD$12,$BL$22)))</f>
        <v/>
      </c>
      <c r="H87" s="43" t="str">
        <f>IF(OR($CD$12="",$BL$22=""),"",INDEX(Tính!$C$134:$V$178,$CD$12,INDEX(Tính!$C$278:$V$322,$CD$12,$BL$22)))</f>
        <v/>
      </c>
      <c r="I87" s="44" t="str">
        <f>IF($CD$12="","",IF($BK$22="C",INDEX(Tính!$Q$39:$Q$83,$CD$12)&amp;"/"&amp;$BK$1,IF($BK$22="V",INDEX(Tính!$R$39:$R$83,$CD$12)&amp;"/"&amp;$BL$1,IF($BL$22="","",INDEX(Tính!$C$182:$V$226,$CD$12,INDEX(Tính!$C$278:$V$322,$CD$12,$BL$22))))))</f>
        <v/>
      </c>
      <c r="K87" s="42" t="str">
        <f>IF($CD$13="","",IF($BK$22="C","NHÓM CHÍNH",IF($BK$22="V","NHÓM VƯỢT TRỘI",IF($BL$22="","",INDEX($BA$3:$BA$22,INDEX(Tính!$C$278:$V$322,$CD$13,$BL$22))))))</f>
        <v/>
      </c>
      <c r="L87" s="43" t="str">
        <f>IF(OR($CD$13="",$BL$22=""),"",INDEX(Tính!$C$86:$V$130,$CD$13,INDEX(Tính!$C$278:$V$322,$CD$13,$BL$22)))</f>
        <v/>
      </c>
      <c r="M87" s="43" t="str">
        <f>IF(OR($CD$13="",$BL$22=""),"",INDEX(Tính!$C$134:$V$178,$CD$13,INDEX(Tính!$C$278:$V$322,$CD$13,$BL$22)))</f>
        <v/>
      </c>
      <c r="N87" s="44" t="str">
        <f>IF($CD$13="","",IF($BK$22="C",INDEX(Tính!$Q$39:$Q$83,$CD$13)&amp;"/"&amp;$BK$1,IF($BK$22="V",INDEX(Tính!$R$39:$R$83,$CD$13)&amp;"/"&amp;$BL$1,IF($BL$22="","",INDEX(Tính!$C$182:$V$226,$CD$13,INDEX(Tính!$C$278:$V$322,$CD$13,$BL$22))))))</f>
        <v/>
      </c>
      <c r="P87" s="42" t="str">
        <f>IF($CD$14="","",IF($BK$22="C","NHÓM CHÍNH",IF($BK$22="V","NHÓM VƯỢT TRỘI",IF($BL$22="","",INDEX($BA$3:$BA$22,INDEX(Tính!$C$278:$V$322,$CD$14,$BL$22))))))</f>
        <v/>
      </c>
      <c r="Q87" s="43" t="str">
        <f>IF(OR($CD$14="",$BL$22=""),"",INDEX(Tính!$C$86:$V$130,$CD$14,INDEX(Tính!$C$278:$V$322,$CD$14,$BL$22)))</f>
        <v/>
      </c>
      <c r="R87" s="43" t="str">
        <f>IF(OR($CD$14="",$BL$22=""),"",INDEX(Tính!$C$134:$V$178,$CD$14,INDEX(Tính!$C$278:$V$322,$CD$14,$BL$22)))</f>
        <v/>
      </c>
      <c r="S87" s="44" t="str">
        <f>IF($CD$14="","",IF($BK$22="C",INDEX(Tính!$Q$39:$Q$83,$CD$14)&amp;"/"&amp;$BK$1,IF($BK$22="V",INDEX(Tính!$R$39:$R$83,$CD$14)&amp;"/"&amp;$BL$1,IF($BL$22="","",INDEX(Tính!$C$182:$V$226,$CD$14,INDEX(Tính!$C$278:$V$322,$CD$14,$BL$22))))))</f>
        <v/>
      </c>
    </row>
    <row r="88" spans="1:19" x14ac:dyDescent="0.3">
      <c r="A88" s="42" t="str">
        <f>IF($CD$11="","",IF($BK$23="C","NHÓM CHÍNH",IF($BK$23="V","NHÓM VƯỢT TRỘI",IF($BL$23="","",INDEX($BA$3:$BA$22,INDEX(Tính!$C$278:$V$322,$CD$11,$BL$23))))))</f>
        <v/>
      </c>
      <c r="B88" s="43" t="str">
        <f>IF(OR($CD$11="",$BL$23=""),"",INDEX(Tính!$C$86:$V$130,$CD$11,INDEX(Tính!$C$278:$V$322,$CD$11,$BL$23)))</f>
        <v/>
      </c>
      <c r="C88" s="43" t="str">
        <f>IF(OR($CD$11="",$BL$23=""),"",INDEX(Tính!$C$134:$V$178,$CD$11,INDEX(Tính!$C$278:$V$322,$CD$11,$BL$23)))</f>
        <v/>
      </c>
      <c r="D88" s="44" t="str">
        <f>IF($CD$11="","",IF($BK$23="C",INDEX(Tính!$Q$39:$Q$83,$CD$11)&amp;"/"&amp;$BK$1,IF($BK$23="V",INDEX(Tính!$R$39:$R$83,$CD$11)&amp;"/"&amp;$BL$1,IF($BL$23="","",INDEX(Tính!$C$182:$V$226,$CD$11,INDEX(Tính!$C$278:$V$322,$CD$11,$BL$23))))))</f>
        <v/>
      </c>
      <c r="F88" s="42" t="str">
        <f>IF($CD$12="","",IF($BK$23="C","NHÓM CHÍNH",IF($BK$23="V","NHÓM VƯỢT TRỘI",IF($BL$23="","",INDEX($BA$3:$BA$22,INDEX(Tính!$C$278:$V$322,$CD$12,$BL$23))))))</f>
        <v/>
      </c>
      <c r="G88" s="43" t="str">
        <f>IF(OR($CD$12="",$BL$23=""),"",INDEX(Tính!$C$86:$V$130,$CD$12,INDEX(Tính!$C$278:$V$322,$CD$12,$BL$23)))</f>
        <v/>
      </c>
      <c r="H88" s="43" t="str">
        <f>IF(OR($CD$12="",$BL$23=""),"",INDEX(Tính!$C$134:$V$178,$CD$12,INDEX(Tính!$C$278:$V$322,$CD$12,$BL$23)))</f>
        <v/>
      </c>
      <c r="I88" s="44" t="str">
        <f>IF($CD$12="","",IF($BK$23="C",INDEX(Tính!$Q$39:$Q$83,$CD$12)&amp;"/"&amp;$BK$1,IF($BK$23="V",INDEX(Tính!$R$39:$R$83,$CD$12)&amp;"/"&amp;$BL$1,IF($BL$23="","",INDEX(Tính!$C$182:$V$226,$CD$12,INDEX(Tính!$C$278:$V$322,$CD$12,$BL$23))))))</f>
        <v/>
      </c>
      <c r="K88" s="42" t="str">
        <f>IF($CD$13="","",IF($BK$23="C","NHÓM CHÍNH",IF($BK$23="V","NHÓM VƯỢT TRỘI",IF($BL$23="","",INDEX($BA$3:$BA$22,INDEX(Tính!$C$278:$V$322,$CD$13,$BL$23))))))</f>
        <v/>
      </c>
      <c r="L88" s="43" t="str">
        <f>IF(OR($CD$13="",$BL$23=""),"",INDEX(Tính!$C$86:$V$130,$CD$13,INDEX(Tính!$C$278:$V$322,$CD$13,$BL$23)))</f>
        <v/>
      </c>
      <c r="M88" s="43" t="str">
        <f>IF(OR($CD$13="",$BL$23=""),"",INDEX(Tính!$C$134:$V$178,$CD$13,INDEX(Tính!$C$278:$V$322,$CD$13,$BL$23)))</f>
        <v/>
      </c>
      <c r="N88" s="44" t="str">
        <f>IF($CD$13="","",IF($BK$23="C",INDEX(Tính!$Q$39:$Q$83,$CD$13)&amp;"/"&amp;$BK$1,IF($BK$23="V",INDEX(Tính!$R$39:$R$83,$CD$13)&amp;"/"&amp;$BL$1,IF($BL$23="","",INDEX(Tính!$C$182:$V$226,$CD$13,INDEX(Tính!$C$278:$V$322,$CD$13,$BL$23))))))</f>
        <v/>
      </c>
      <c r="P88" s="42" t="str">
        <f>IF($CD$14="","",IF($BK$23="C","NHÓM CHÍNH",IF($BK$23="V","NHÓM VƯỢT TRỘI",IF($BL$23="","",INDEX($BA$3:$BA$22,INDEX(Tính!$C$278:$V$322,$CD$14,$BL$23))))))</f>
        <v/>
      </c>
      <c r="Q88" s="43" t="str">
        <f>IF(OR($CD$14="",$BL$23=""),"",INDEX(Tính!$C$86:$V$130,$CD$14,INDEX(Tính!$C$278:$V$322,$CD$14,$BL$23)))</f>
        <v/>
      </c>
      <c r="R88" s="43" t="str">
        <f>IF(OR($CD$14="",$BL$23=""),"",INDEX(Tính!$C$134:$V$178,$CD$14,INDEX(Tính!$C$278:$V$322,$CD$14,$BL$23)))</f>
        <v/>
      </c>
      <c r="S88" s="44" t="str">
        <f>IF($CD$14="","",IF($BK$23="C",INDEX(Tính!$Q$39:$Q$83,$CD$14)&amp;"/"&amp;$BK$1,IF($BK$23="V",INDEX(Tính!$R$39:$R$83,$CD$14)&amp;"/"&amp;$BL$1,IF($BL$23="","",INDEX(Tính!$C$182:$V$226,$CD$14,INDEX(Tính!$C$278:$V$322,$CD$14,$BL$23))))))</f>
        <v/>
      </c>
    </row>
    <row r="89" spans="1:19" x14ac:dyDescent="0.3">
      <c r="A89" s="42" t="str">
        <f>IF($CD$11="","",IF($BK$24="C","NHÓM CHÍNH",IF($BK$24="V","NHÓM VƯỢT TRỘI",IF($BL$24="","",INDEX($BA$3:$BA$22,INDEX(Tính!$C$278:$V$322,$CD$11,$BL$24))))))</f>
        <v/>
      </c>
      <c r="B89" s="43" t="str">
        <f>IF(OR($CD$11="",$BL$24=""),"",INDEX(Tính!$C$86:$V$130,$CD$11,INDEX(Tính!$C$278:$V$322,$CD$11,$BL$24)))</f>
        <v/>
      </c>
      <c r="C89" s="43" t="str">
        <f>IF(OR($CD$11="",$BL$24=""),"",INDEX(Tính!$C$134:$V$178,$CD$11,INDEX(Tính!$C$278:$V$322,$CD$11,$BL$24)))</f>
        <v/>
      </c>
      <c r="D89" s="44" t="str">
        <f>IF($CD$11="","",IF($BK$24="C",INDEX(Tính!$Q$39:$Q$83,$CD$11)&amp;"/"&amp;$BK$1,IF($BK$24="V",INDEX(Tính!$R$39:$R$83,$CD$11)&amp;"/"&amp;$BL$1,IF($BL$24="","",INDEX(Tính!$C$182:$V$226,$CD$11,INDEX(Tính!$C$278:$V$322,$CD$11,$BL$24))))))</f>
        <v/>
      </c>
      <c r="F89" s="42" t="str">
        <f>IF($CD$12="","",IF($BK$24="C","NHÓM CHÍNH",IF($BK$24="V","NHÓM VƯỢT TRỘI",IF($BL$24="","",INDEX($BA$3:$BA$22,INDEX(Tính!$C$278:$V$322,$CD$12,$BL$24))))))</f>
        <v/>
      </c>
      <c r="G89" s="43" t="str">
        <f>IF(OR($CD$12="",$BL$24=""),"",INDEX(Tính!$C$86:$V$130,$CD$12,INDEX(Tính!$C$278:$V$322,$CD$12,$BL$24)))</f>
        <v/>
      </c>
      <c r="H89" s="43" t="str">
        <f>IF(OR($CD$12="",$BL$24=""),"",INDEX(Tính!$C$134:$V$178,$CD$12,INDEX(Tính!$C$278:$V$322,$CD$12,$BL$24)))</f>
        <v/>
      </c>
      <c r="I89" s="44" t="str">
        <f>IF($CD$12="","",IF($BK$24="C",INDEX(Tính!$Q$39:$Q$83,$CD$12)&amp;"/"&amp;$BK$1,IF($BK$24="V",INDEX(Tính!$R$39:$R$83,$CD$12)&amp;"/"&amp;$BL$1,IF($BL$24="","",INDEX(Tính!$C$182:$V$226,$CD$12,INDEX(Tính!$C$278:$V$322,$CD$12,$BL$24))))))</f>
        <v/>
      </c>
      <c r="K89" s="42" t="str">
        <f>IF($CD$13="","",IF($BK$24="C","NHÓM CHÍNH",IF($BK$24="V","NHÓM VƯỢT TRỘI",IF($BL$24="","",INDEX($BA$3:$BA$22,INDEX(Tính!$C$278:$V$322,$CD$13,$BL$24))))))</f>
        <v/>
      </c>
      <c r="L89" s="43" t="str">
        <f>IF(OR($CD$13="",$BL$24=""),"",INDEX(Tính!$C$86:$V$130,$CD$13,INDEX(Tính!$C$278:$V$322,$CD$13,$BL$24)))</f>
        <v/>
      </c>
      <c r="M89" s="43" t="str">
        <f>IF(OR($CD$13="",$BL$24=""),"",INDEX(Tính!$C$134:$V$178,$CD$13,INDEX(Tính!$C$278:$V$322,$CD$13,$BL$24)))</f>
        <v/>
      </c>
      <c r="N89" s="44" t="str">
        <f>IF($CD$13="","",IF($BK$24="C",INDEX(Tính!$Q$39:$Q$83,$CD$13)&amp;"/"&amp;$BK$1,IF($BK$24="V",INDEX(Tính!$R$39:$R$83,$CD$13)&amp;"/"&amp;$BL$1,IF($BL$24="","",INDEX(Tính!$C$182:$V$226,$CD$13,INDEX(Tính!$C$278:$V$322,$CD$13,$BL$24))))))</f>
        <v/>
      </c>
      <c r="P89" s="42" t="str">
        <f>IF($CD$14="","",IF($BK$24="C","NHÓM CHÍNH",IF($BK$24="V","NHÓM VƯỢT TRỘI",IF($BL$24="","",INDEX($BA$3:$BA$22,INDEX(Tính!$C$278:$V$322,$CD$14,$BL$24))))))</f>
        <v/>
      </c>
      <c r="Q89" s="43" t="str">
        <f>IF(OR($CD$14="",$BL$24=""),"",INDEX(Tính!$C$86:$V$130,$CD$14,INDEX(Tính!$C$278:$V$322,$CD$14,$BL$24)))</f>
        <v/>
      </c>
      <c r="R89" s="43" t="str">
        <f>IF(OR($CD$14="",$BL$24=""),"",INDEX(Tính!$C$134:$V$178,$CD$14,INDEX(Tính!$C$278:$V$322,$CD$14,$BL$24)))</f>
        <v/>
      </c>
      <c r="S89" s="44" t="str">
        <f>IF($CD$14="","",IF($BK$24="C",INDEX(Tính!$Q$39:$Q$83,$CD$14)&amp;"/"&amp;$BK$1,IF($BK$24="V",INDEX(Tính!$R$39:$R$83,$CD$14)&amp;"/"&amp;$BL$1,IF($BL$24="","",INDEX(Tính!$C$182:$V$226,$CD$14,INDEX(Tính!$C$278:$V$322,$CD$14,$BL$24))))))</f>
        <v/>
      </c>
    </row>
    <row r="91" spans="1:19" x14ac:dyDescent="0.3">
      <c r="A91" s="81" t="str">
        <f>IF($CD$15="","",13&amp;". "&amp;IF($CD$15="","",INDEX(Tính!$F$39:$F$83,$CD$15))&amp;" · "&amp;IF($CD$15="","",INDEX(Tính!$O$39:$O$83,$CD$15)))</f>
        <v/>
      </c>
      <c r="B91" s="52"/>
      <c r="C91" s="52"/>
      <c r="D91" s="52"/>
      <c r="F91" s="81" t="str">
        <f>IF($CD$16="","",14&amp;". "&amp;IF($CD$16="","",INDEX(Tính!$F$39:$F$83,$CD$16))&amp;" · "&amp;IF($CD$16="","",INDEX(Tính!$O$39:$O$83,$CD$16)))</f>
        <v/>
      </c>
      <c r="G91" s="52"/>
      <c r="H91" s="52"/>
      <c r="I91" s="52"/>
      <c r="K91" s="81" t="str">
        <f>IF($CD$17="","",15&amp;". "&amp;IF($CD$17="","",INDEX(Tính!$F$39:$F$83,$CD$17))&amp;" · "&amp;IF($CD$17="","",INDEX(Tính!$O$39:$O$83,$CD$17)))</f>
        <v/>
      </c>
      <c r="L91" s="52"/>
      <c r="M91" s="52"/>
      <c r="N91" s="52"/>
      <c r="P91" s="81" t="str">
        <f>IF($CD$18="","",16&amp;". "&amp;IF($CD$18="","",INDEX(Tính!$F$39:$F$83,$CD$18))&amp;" · "&amp;IF($CD$18="","",INDEX(Tính!$O$39:$O$83,$CD$18)))</f>
        <v/>
      </c>
      <c r="Q91" s="52"/>
      <c r="R91" s="52"/>
      <c r="S91" s="52"/>
    </row>
    <row r="92" spans="1:19" x14ac:dyDescent="0.3">
      <c r="A92" s="35" t="str">
        <f>IF($CD$15="","","DỰ KIẾN")</f>
        <v/>
      </c>
      <c r="B92" s="35" t="str">
        <f>IF($CD$15="","","% HT")</f>
        <v/>
      </c>
      <c r="C92" s="35" t="str">
        <f>IF($CD$15="","","NH ĐẠT")</f>
        <v/>
      </c>
      <c r="D92" s="35" t="str">
        <f>IF($CD$15="","","HẠNG")</f>
        <v/>
      </c>
      <c r="F92" s="35" t="str">
        <f>IF($CD$16="","","DỰ KIẾN")</f>
        <v/>
      </c>
      <c r="G92" s="35" t="str">
        <f>IF($CD$16="","","% HT")</f>
        <v/>
      </c>
      <c r="H92" s="35" t="str">
        <f>IF($CD$16="","","NH ĐẠT")</f>
        <v/>
      </c>
      <c r="I92" s="35" t="str">
        <f>IF($CD$16="","","HẠNG")</f>
        <v/>
      </c>
      <c r="K92" s="35" t="str">
        <f>IF($CD$17="","","DỰ KIẾN")</f>
        <v/>
      </c>
      <c r="L92" s="35" t="str">
        <f>IF($CD$17="","","% HT")</f>
        <v/>
      </c>
      <c r="M92" s="35" t="str">
        <f>IF($CD$17="","","NH ĐẠT")</f>
        <v/>
      </c>
      <c r="N92" s="35" t="str">
        <f>IF($CD$17="","","HẠNG")</f>
        <v/>
      </c>
      <c r="P92" s="35" t="str">
        <f>IF($CD$18="","","DỰ KIẾN")</f>
        <v/>
      </c>
      <c r="Q92" s="35" t="str">
        <f>IF($CD$18="","","% HT")</f>
        <v/>
      </c>
      <c r="R92" s="35" t="str">
        <f>IF($CD$18="","","NH ĐẠT")</f>
        <v/>
      </c>
      <c r="S92" s="35" t="str">
        <f>IF($CD$18="","","HẠNG")</f>
        <v/>
      </c>
    </row>
    <row r="93" spans="1:19" ht="15.6" x14ac:dyDescent="0.3">
      <c r="A93" s="36" t="str">
        <f>IF($CD$15="","",IF($CD$15="","",INDEX(Tính!$M$39:$M$83,$CD$15)))</f>
        <v/>
      </c>
      <c r="B93" s="36" t="str">
        <f>IF($CD$15="","",IF($CD$15="","",INDEX(Tính!$N$39:$N$83,$CD$15)))</f>
        <v/>
      </c>
      <c r="C93" s="37" t="str">
        <f>IF($CD$15="","",IF($CD$15="","",INDEX(Tính!$P$39:$P$83,$CD$15))&amp;"/"&amp;COUNTIF($BA$3:$BA$22,"?*"))</f>
        <v/>
      </c>
      <c r="D93" s="37" t="str">
        <f>IF($CD$15="","",13)</f>
        <v/>
      </c>
      <c r="F93" s="36" t="str">
        <f>IF($CD$16="","",IF($CD$16="","",INDEX(Tính!$M$39:$M$83,$CD$16)))</f>
        <v/>
      </c>
      <c r="G93" s="36" t="str">
        <f>IF($CD$16="","",IF($CD$16="","",INDEX(Tính!$N$39:$N$83,$CD$16)))</f>
        <v/>
      </c>
      <c r="H93" s="37" t="str">
        <f>IF($CD$16="","",IF($CD$16="","",INDEX(Tính!$P$39:$P$83,$CD$16))&amp;"/"&amp;COUNTIF($BA$3:$BA$22,"?*"))</f>
        <v/>
      </c>
      <c r="I93" s="37" t="str">
        <f>IF($CD$16="","",14)</f>
        <v/>
      </c>
      <c r="K93" s="36" t="str">
        <f>IF($CD$17="","",IF($CD$17="","",INDEX(Tính!$M$39:$M$83,$CD$17)))</f>
        <v/>
      </c>
      <c r="L93" s="36" t="str">
        <f>IF($CD$17="","",IF($CD$17="","",INDEX(Tính!$N$39:$N$83,$CD$17)))</f>
        <v/>
      </c>
      <c r="M93" s="37" t="str">
        <f>IF($CD$17="","",IF($CD$17="","",INDEX(Tính!$P$39:$P$83,$CD$17))&amp;"/"&amp;COUNTIF($BA$3:$BA$22,"?*"))</f>
        <v/>
      </c>
      <c r="N93" s="37" t="str">
        <f>IF($CD$17="","",15)</f>
        <v/>
      </c>
      <c r="P93" s="36" t="str">
        <f>IF($CD$18="","",IF($CD$18="","",INDEX(Tính!$M$39:$M$83,$CD$18)))</f>
        <v/>
      </c>
      <c r="Q93" s="36" t="str">
        <f>IF($CD$18="","",IF($CD$18="","",INDEX(Tính!$N$39:$N$83,$CD$18)))</f>
        <v/>
      </c>
      <c r="R93" s="37" t="str">
        <f>IF($CD$18="","",IF($CD$18="","",INDEX(Tính!$P$39:$P$83,$CD$18))&amp;"/"&amp;COUNTIF($BA$3:$BA$22,"?*"))</f>
        <v/>
      </c>
      <c r="S93" s="37" t="str">
        <f>IF($CD$18="","",16)</f>
        <v/>
      </c>
    </row>
    <row r="94" spans="1:19" x14ac:dyDescent="0.3">
      <c r="A94" s="35" t="str">
        <f>IF($CD$15="","","DT QĐ")</f>
        <v/>
      </c>
      <c r="B94" s="35" t="str">
        <f>IF($CD$15="","","MỤC TIÊU")</f>
        <v/>
      </c>
      <c r="C94" s="35" t="str">
        <f>IF($CD$15="","","HÔM NAY")</f>
        <v/>
      </c>
      <c r="D94" s="35"/>
      <c r="F94" s="35" t="str">
        <f>IF($CD$16="","","DT QĐ")</f>
        <v/>
      </c>
      <c r="G94" s="35" t="str">
        <f>IF($CD$16="","","MỤC TIÊU")</f>
        <v/>
      </c>
      <c r="H94" s="35" t="str">
        <f>IF($CD$16="","","HÔM NAY")</f>
        <v/>
      </c>
      <c r="I94" s="35"/>
      <c r="K94" s="35" t="str">
        <f>IF($CD$17="","","DT QĐ")</f>
        <v/>
      </c>
      <c r="L94" s="35" t="str">
        <f>IF($CD$17="","","MỤC TIÊU")</f>
        <v/>
      </c>
      <c r="M94" s="35" t="str">
        <f>IF($CD$17="","","HÔM NAY")</f>
        <v/>
      </c>
      <c r="N94" s="35"/>
      <c r="P94" s="35" t="str">
        <f>IF($CD$18="","","DT QĐ")</f>
        <v/>
      </c>
      <c r="Q94" s="35" t="str">
        <f>IF($CD$18="","","MỤC TIÊU")</f>
        <v/>
      </c>
      <c r="R94" s="35" t="str">
        <f>IF($CD$18="","","HÔM NAY")</f>
        <v/>
      </c>
      <c r="S94" s="35"/>
    </row>
    <row r="95" spans="1:19" x14ac:dyDescent="0.3">
      <c r="A95" s="38" t="str">
        <f>IF($CD$15="","",IF($CD$15="","",INDEX(Tính!$K$39:$K$83,$CD$15)))</f>
        <v/>
      </c>
      <c r="B95" s="39" t="str">
        <f>IF($CD$15="","",IF($CD$15="","",INDEX(Tính!$J$39:$J$83,$CD$15)))</f>
        <v/>
      </c>
      <c r="C95" s="38" t="str">
        <f>IF($CD$15="","",IF($CD$15="","",INDEX(Tính!$L$39:$L$83,$CD$15)))</f>
        <v/>
      </c>
      <c r="D95" s="40" t="str">
        <f>IF($CD$15="","","")</f>
        <v/>
      </c>
      <c r="F95" s="38" t="str">
        <f>IF($CD$16="","",IF($CD$16="","",INDEX(Tính!$K$39:$K$83,$CD$16)))</f>
        <v/>
      </c>
      <c r="G95" s="39" t="str">
        <f>IF($CD$16="","",IF($CD$16="","",INDEX(Tính!$J$39:$J$83,$CD$16)))</f>
        <v/>
      </c>
      <c r="H95" s="38" t="str">
        <f>IF($CD$16="","",IF($CD$16="","",INDEX(Tính!$L$39:$L$83,$CD$16)))</f>
        <v/>
      </c>
      <c r="I95" s="40" t="str">
        <f>IF($CD$16="","","")</f>
        <v/>
      </c>
      <c r="K95" s="38" t="str">
        <f>IF($CD$17="","",IF($CD$17="","",INDEX(Tính!$K$39:$K$83,$CD$17)))</f>
        <v/>
      </c>
      <c r="L95" s="39" t="str">
        <f>IF($CD$17="","",IF($CD$17="","",INDEX(Tính!$J$39:$J$83,$CD$17)))</f>
        <v/>
      </c>
      <c r="M95" s="38" t="str">
        <f>IF($CD$17="","",IF($CD$17="","",INDEX(Tính!$L$39:$L$83,$CD$17)))</f>
        <v/>
      </c>
      <c r="N95" s="40" t="str">
        <f>IF($CD$17="","","")</f>
        <v/>
      </c>
      <c r="P95" s="38" t="str">
        <f>IF($CD$18="","",IF($CD$18="","",INDEX(Tính!$K$39:$K$83,$CD$18)))</f>
        <v/>
      </c>
      <c r="Q95" s="39" t="str">
        <f>IF($CD$18="","",IF($CD$18="","",INDEX(Tính!$J$39:$J$83,$CD$18)))</f>
        <v/>
      </c>
      <c r="R95" s="38" t="str">
        <f>IF($CD$18="","",IF($CD$18="","",INDEX(Tính!$L$39:$L$83,$CD$18)))</f>
        <v/>
      </c>
      <c r="S95" s="40" t="str">
        <f>IF($CD$18="","","")</f>
        <v/>
      </c>
    </row>
    <row r="96" spans="1:19" x14ac:dyDescent="0.3">
      <c r="A96" s="41" t="str">
        <f>IF($CD$15="","","Nhóm hàng")</f>
        <v/>
      </c>
      <c r="B96" s="41" t="str">
        <f>IF($CD$15="","","TH")</f>
        <v/>
      </c>
      <c r="C96" s="41" t="str">
        <f>IF($CD$15="","","Target")</f>
        <v/>
      </c>
      <c r="D96" s="41" t="str">
        <f>IF($CD$15="","","DK")</f>
        <v/>
      </c>
      <c r="F96" s="41" t="str">
        <f>IF($CD$16="","","Nhóm hàng")</f>
        <v/>
      </c>
      <c r="G96" s="41" t="str">
        <f>IF($CD$16="","","TH")</f>
        <v/>
      </c>
      <c r="H96" s="41" t="str">
        <f>IF($CD$16="","","Target")</f>
        <v/>
      </c>
      <c r="I96" s="41" t="str">
        <f>IF($CD$16="","","DK")</f>
        <v/>
      </c>
      <c r="K96" s="41" t="str">
        <f>IF($CD$17="","","Nhóm hàng")</f>
        <v/>
      </c>
      <c r="L96" s="41" t="str">
        <f>IF($CD$17="","","TH")</f>
        <v/>
      </c>
      <c r="M96" s="41" t="str">
        <f>IF($CD$17="","","Target")</f>
        <v/>
      </c>
      <c r="N96" s="41" t="str">
        <f>IF($CD$17="","","DK")</f>
        <v/>
      </c>
      <c r="P96" s="41" t="str">
        <f>IF($CD$18="","","Nhóm hàng")</f>
        <v/>
      </c>
      <c r="Q96" s="41" t="str">
        <f>IF($CD$18="","","TH")</f>
        <v/>
      </c>
      <c r="R96" s="41" t="str">
        <f>IF($CD$18="","","Target")</f>
        <v/>
      </c>
      <c r="S96" s="41" t="str">
        <f>IF($CD$18="","","DK")</f>
        <v/>
      </c>
    </row>
    <row r="97" spans="1:19" x14ac:dyDescent="0.3">
      <c r="A97" s="42" t="str">
        <f>IF($CD$15="","",IF($BK$3="C","NHÓM CHÍNH",IF($BK$3="V","NHÓM VƯỢT TRỘI",IF($BL$3="","",INDEX($BA$3:$BA$22,INDEX(Tính!$C$278:$V$322,$CD$15,$BL$3))))))</f>
        <v/>
      </c>
      <c r="B97" s="43" t="str">
        <f>IF(OR($CD$15="",$BL$3=""),"",INDEX(Tính!$C$86:$V$130,$CD$15,INDEX(Tính!$C$278:$V$322,$CD$15,$BL$3)))</f>
        <v/>
      </c>
      <c r="C97" s="43" t="str">
        <f>IF(OR($CD$15="",$BL$3=""),"",INDEX(Tính!$C$134:$V$178,$CD$15,INDEX(Tính!$C$278:$V$322,$CD$15,$BL$3)))</f>
        <v/>
      </c>
      <c r="D97" s="44" t="str">
        <f>IF($CD$15="","",IF($BK$3="C",INDEX(Tính!$Q$39:$Q$83,$CD$15)&amp;"/"&amp;$BK$1,IF($BK$3="V",INDEX(Tính!$R$39:$R$83,$CD$15)&amp;"/"&amp;$BL$1,IF($BL$3="","",INDEX(Tính!$C$182:$V$226,$CD$15,INDEX(Tính!$C$278:$V$322,$CD$15,$BL$3))))))</f>
        <v/>
      </c>
      <c r="F97" s="42" t="str">
        <f>IF($CD$16="","",IF($BK$3="C","NHÓM CHÍNH",IF($BK$3="V","NHÓM VƯỢT TRỘI",IF($BL$3="","",INDEX($BA$3:$BA$22,INDEX(Tính!$C$278:$V$322,$CD$16,$BL$3))))))</f>
        <v/>
      </c>
      <c r="G97" s="43" t="str">
        <f>IF(OR($CD$16="",$BL$3=""),"",INDEX(Tính!$C$86:$V$130,$CD$16,INDEX(Tính!$C$278:$V$322,$CD$16,$BL$3)))</f>
        <v/>
      </c>
      <c r="H97" s="43" t="str">
        <f>IF(OR($CD$16="",$BL$3=""),"",INDEX(Tính!$C$134:$V$178,$CD$16,INDEX(Tính!$C$278:$V$322,$CD$16,$BL$3)))</f>
        <v/>
      </c>
      <c r="I97" s="44" t="str">
        <f>IF($CD$16="","",IF($BK$3="C",INDEX(Tính!$Q$39:$Q$83,$CD$16)&amp;"/"&amp;$BK$1,IF($BK$3="V",INDEX(Tính!$R$39:$R$83,$CD$16)&amp;"/"&amp;$BL$1,IF($BL$3="","",INDEX(Tính!$C$182:$V$226,$CD$16,INDEX(Tính!$C$278:$V$322,$CD$16,$BL$3))))))</f>
        <v/>
      </c>
      <c r="K97" s="42" t="str">
        <f>IF($CD$17="","",IF($BK$3="C","NHÓM CHÍNH",IF($BK$3="V","NHÓM VƯỢT TRỘI",IF($BL$3="","",INDEX($BA$3:$BA$22,INDEX(Tính!$C$278:$V$322,$CD$17,$BL$3))))))</f>
        <v/>
      </c>
      <c r="L97" s="43" t="str">
        <f>IF(OR($CD$17="",$BL$3=""),"",INDEX(Tính!$C$86:$V$130,$CD$17,INDEX(Tính!$C$278:$V$322,$CD$17,$BL$3)))</f>
        <v/>
      </c>
      <c r="M97" s="43" t="str">
        <f>IF(OR($CD$17="",$BL$3=""),"",INDEX(Tính!$C$134:$V$178,$CD$17,INDEX(Tính!$C$278:$V$322,$CD$17,$BL$3)))</f>
        <v/>
      </c>
      <c r="N97" s="44" t="str">
        <f>IF($CD$17="","",IF($BK$3="C",INDEX(Tính!$Q$39:$Q$83,$CD$17)&amp;"/"&amp;$BK$1,IF($BK$3="V",INDEX(Tính!$R$39:$R$83,$CD$17)&amp;"/"&amp;$BL$1,IF($BL$3="","",INDEX(Tính!$C$182:$V$226,$CD$17,INDEX(Tính!$C$278:$V$322,$CD$17,$BL$3))))))</f>
        <v/>
      </c>
      <c r="P97" s="42" t="str">
        <f>IF($CD$18="","",IF($BK$3="C","NHÓM CHÍNH",IF($BK$3="V","NHÓM VƯỢT TRỘI",IF($BL$3="","",INDEX($BA$3:$BA$22,INDEX(Tính!$C$278:$V$322,$CD$18,$BL$3))))))</f>
        <v/>
      </c>
      <c r="Q97" s="43" t="str">
        <f>IF(OR($CD$18="",$BL$3=""),"",INDEX(Tính!$C$86:$V$130,$CD$18,INDEX(Tính!$C$278:$V$322,$CD$18,$BL$3)))</f>
        <v/>
      </c>
      <c r="R97" s="43" t="str">
        <f>IF(OR($CD$18="",$BL$3=""),"",INDEX(Tính!$C$134:$V$178,$CD$18,INDEX(Tính!$C$278:$V$322,$CD$18,$BL$3)))</f>
        <v/>
      </c>
      <c r="S97" s="44" t="str">
        <f>IF($CD$18="","",IF($BK$3="C",INDEX(Tính!$Q$39:$Q$83,$CD$18)&amp;"/"&amp;$BK$1,IF($BK$3="V",INDEX(Tính!$R$39:$R$83,$CD$18)&amp;"/"&amp;$BL$1,IF($BL$3="","",INDEX(Tính!$C$182:$V$226,$CD$18,INDEX(Tính!$C$278:$V$322,$CD$18,$BL$3))))))</f>
        <v/>
      </c>
    </row>
    <row r="98" spans="1:19" x14ac:dyDescent="0.3">
      <c r="A98" s="42" t="str">
        <f>IF($CD$15="","",IF($BK$4="C","NHÓM CHÍNH",IF($BK$4="V","NHÓM VƯỢT TRỘI",IF($BL$4="","",INDEX($BA$3:$BA$22,INDEX(Tính!$C$278:$V$322,$CD$15,$BL$4))))))</f>
        <v/>
      </c>
      <c r="B98" s="43" t="str">
        <f>IF(OR($CD$15="",$BL$4=""),"",INDEX(Tính!$C$86:$V$130,$CD$15,INDEX(Tính!$C$278:$V$322,$CD$15,$BL$4)))</f>
        <v/>
      </c>
      <c r="C98" s="43" t="str">
        <f>IF(OR($CD$15="",$BL$4=""),"",INDEX(Tính!$C$134:$V$178,$CD$15,INDEX(Tính!$C$278:$V$322,$CD$15,$BL$4)))</f>
        <v/>
      </c>
      <c r="D98" s="44" t="str">
        <f>IF($CD$15="","",IF($BK$4="C",INDEX(Tính!$Q$39:$Q$83,$CD$15)&amp;"/"&amp;$BK$1,IF($BK$4="V",INDEX(Tính!$R$39:$R$83,$CD$15)&amp;"/"&amp;$BL$1,IF($BL$4="","",INDEX(Tính!$C$182:$V$226,$CD$15,INDEX(Tính!$C$278:$V$322,$CD$15,$BL$4))))))</f>
        <v/>
      </c>
      <c r="F98" s="42" t="str">
        <f>IF($CD$16="","",IF($BK$4="C","NHÓM CHÍNH",IF($BK$4="V","NHÓM VƯỢT TRỘI",IF($BL$4="","",INDEX($BA$3:$BA$22,INDEX(Tính!$C$278:$V$322,$CD$16,$BL$4))))))</f>
        <v/>
      </c>
      <c r="G98" s="43" t="str">
        <f>IF(OR($CD$16="",$BL$4=""),"",INDEX(Tính!$C$86:$V$130,$CD$16,INDEX(Tính!$C$278:$V$322,$CD$16,$BL$4)))</f>
        <v/>
      </c>
      <c r="H98" s="43" t="str">
        <f>IF(OR($CD$16="",$BL$4=""),"",INDEX(Tính!$C$134:$V$178,$CD$16,INDEX(Tính!$C$278:$V$322,$CD$16,$BL$4)))</f>
        <v/>
      </c>
      <c r="I98" s="44" t="str">
        <f>IF($CD$16="","",IF($BK$4="C",INDEX(Tính!$Q$39:$Q$83,$CD$16)&amp;"/"&amp;$BK$1,IF($BK$4="V",INDEX(Tính!$R$39:$R$83,$CD$16)&amp;"/"&amp;$BL$1,IF($BL$4="","",INDEX(Tính!$C$182:$V$226,$CD$16,INDEX(Tính!$C$278:$V$322,$CD$16,$BL$4))))))</f>
        <v/>
      </c>
      <c r="K98" s="42" t="str">
        <f>IF($CD$17="","",IF($BK$4="C","NHÓM CHÍNH",IF($BK$4="V","NHÓM VƯỢT TRỘI",IF($BL$4="","",INDEX($BA$3:$BA$22,INDEX(Tính!$C$278:$V$322,$CD$17,$BL$4))))))</f>
        <v/>
      </c>
      <c r="L98" s="43" t="str">
        <f>IF(OR($CD$17="",$BL$4=""),"",INDEX(Tính!$C$86:$V$130,$CD$17,INDEX(Tính!$C$278:$V$322,$CD$17,$BL$4)))</f>
        <v/>
      </c>
      <c r="M98" s="43" t="str">
        <f>IF(OR($CD$17="",$BL$4=""),"",INDEX(Tính!$C$134:$V$178,$CD$17,INDEX(Tính!$C$278:$V$322,$CD$17,$BL$4)))</f>
        <v/>
      </c>
      <c r="N98" s="44" t="str">
        <f>IF($CD$17="","",IF($BK$4="C",INDEX(Tính!$Q$39:$Q$83,$CD$17)&amp;"/"&amp;$BK$1,IF($BK$4="V",INDEX(Tính!$R$39:$R$83,$CD$17)&amp;"/"&amp;$BL$1,IF($BL$4="","",INDEX(Tính!$C$182:$V$226,$CD$17,INDEX(Tính!$C$278:$V$322,$CD$17,$BL$4))))))</f>
        <v/>
      </c>
      <c r="P98" s="42" t="str">
        <f>IF($CD$18="","",IF($BK$4="C","NHÓM CHÍNH",IF($BK$4="V","NHÓM VƯỢT TRỘI",IF($BL$4="","",INDEX($BA$3:$BA$22,INDEX(Tính!$C$278:$V$322,$CD$18,$BL$4))))))</f>
        <v/>
      </c>
      <c r="Q98" s="43" t="str">
        <f>IF(OR($CD$18="",$BL$4=""),"",INDEX(Tính!$C$86:$V$130,$CD$18,INDEX(Tính!$C$278:$V$322,$CD$18,$BL$4)))</f>
        <v/>
      </c>
      <c r="R98" s="43" t="str">
        <f>IF(OR($CD$18="",$BL$4=""),"",INDEX(Tính!$C$134:$V$178,$CD$18,INDEX(Tính!$C$278:$V$322,$CD$18,$BL$4)))</f>
        <v/>
      </c>
      <c r="S98" s="44" t="str">
        <f>IF($CD$18="","",IF($BK$4="C",INDEX(Tính!$Q$39:$Q$83,$CD$18)&amp;"/"&amp;$BK$1,IF($BK$4="V",INDEX(Tính!$R$39:$R$83,$CD$18)&amp;"/"&amp;$BL$1,IF($BL$4="","",INDEX(Tính!$C$182:$V$226,$CD$18,INDEX(Tính!$C$278:$V$322,$CD$18,$BL$4))))))</f>
        <v/>
      </c>
    </row>
    <row r="99" spans="1:19" x14ac:dyDescent="0.3">
      <c r="A99" s="42" t="str">
        <f>IF($CD$15="","",IF($BK$5="C","NHÓM CHÍNH",IF($BK$5="V","NHÓM VƯỢT TRỘI",IF($BL$5="","",INDEX($BA$3:$BA$22,INDEX(Tính!$C$278:$V$322,$CD$15,$BL$5))))))</f>
        <v/>
      </c>
      <c r="B99" s="43" t="str">
        <f>IF(OR($CD$15="",$BL$5=""),"",INDEX(Tính!$C$86:$V$130,$CD$15,INDEX(Tính!$C$278:$V$322,$CD$15,$BL$5)))</f>
        <v/>
      </c>
      <c r="C99" s="43" t="str">
        <f>IF(OR($CD$15="",$BL$5=""),"",INDEX(Tính!$C$134:$V$178,$CD$15,INDEX(Tính!$C$278:$V$322,$CD$15,$BL$5)))</f>
        <v/>
      </c>
      <c r="D99" s="44" t="str">
        <f>IF($CD$15="","",IF($BK$5="C",INDEX(Tính!$Q$39:$Q$83,$CD$15)&amp;"/"&amp;$BK$1,IF($BK$5="V",INDEX(Tính!$R$39:$R$83,$CD$15)&amp;"/"&amp;$BL$1,IF($BL$5="","",INDEX(Tính!$C$182:$V$226,$CD$15,INDEX(Tính!$C$278:$V$322,$CD$15,$BL$5))))))</f>
        <v/>
      </c>
      <c r="F99" s="42" t="str">
        <f>IF($CD$16="","",IF($BK$5="C","NHÓM CHÍNH",IF($BK$5="V","NHÓM VƯỢT TRỘI",IF($BL$5="","",INDEX($BA$3:$BA$22,INDEX(Tính!$C$278:$V$322,$CD$16,$BL$5))))))</f>
        <v/>
      </c>
      <c r="G99" s="43" t="str">
        <f>IF(OR($CD$16="",$BL$5=""),"",INDEX(Tính!$C$86:$V$130,$CD$16,INDEX(Tính!$C$278:$V$322,$CD$16,$BL$5)))</f>
        <v/>
      </c>
      <c r="H99" s="43" t="str">
        <f>IF(OR($CD$16="",$BL$5=""),"",INDEX(Tính!$C$134:$V$178,$CD$16,INDEX(Tính!$C$278:$V$322,$CD$16,$BL$5)))</f>
        <v/>
      </c>
      <c r="I99" s="44" t="str">
        <f>IF($CD$16="","",IF($BK$5="C",INDEX(Tính!$Q$39:$Q$83,$CD$16)&amp;"/"&amp;$BK$1,IF($BK$5="V",INDEX(Tính!$R$39:$R$83,$CD$16)&amp;"/"&amp;$BL$1,IF($BL$5="","",INDEX(Tính!$C$182:$V$226,$CD$16,INDEX(Tính!$C$278:$V$322,$CD$16,$BL$5))))))</f>
        <v/>
      </c>
      <c r="K99" s="42" t="str">
        <f>IF($CD$17="","",IF($BK$5="C","NHÓM CHÍNH",IF($BK$5="V","NHÓM VƯỢT TRỘI",IF($BL$5="","",INDEX($BA$3:$BA$22,INDEX(Tính!$C$278:$V$322,$CD$17,$BL$5))))))</f>
        <v/>
      </c>
      <c r="L99" s="43" t="str">
        <f>IF(OR($CD$17="",$BL$5=""),"",INDEX(Tính!$C$86:$V$130,$CD$17,INDEX(Tính!$C$278:$V$322,$CD$17,$BL$5)))</f>
        <v/>
      </c>
      <c r="M99" s="43" t="str">
        <f>IF(OR($CD$17="",$BL$5=""),"",INDEX(Tính!$C$134:$V$178,$CD$17,INDEX(Tính!$C$278:$V$322,$CD$17,$BL$5)))</f>
        <v/>
      </c>
      <c r="N99" s="44" t="str">
        <f>IF($CD$17="","",IF($BK$5="C",INDEX(Tính!$Q$39:$Q$83,$CD$17)&amp;"/"&amp;$BK$1,IF($BK$5="V",INDEX(Tính!$R$39:$R$83,$CD$17)&amp;"/"&amp;$BL$1,IF($BL$5="","",INDEX(Tính!$C$182:$V$226,$CD$17,INDEX(Tính!$C$278:$V$322,$CD$17,$BL$5))))))</f>
        <v/>
      </c>
      <c r="P99" s="42" t="str">
        <f>IF($CD$18="","",IF($BK$5="C","NHÓM CHÍNH",IF($BK$5="V","NHÓM VƯỢT TRỘI",IF($BL$5="","",INDEX($BA$3:$BA$22,INDEX(Tính!$C$278:$V$322,$CD$18,$BL$5))))))</f>
        <v/>
      </c>
      <c r="Q99" s="43" t="str">
        <f>IF(OR($CD$18="",$BL$5=""),"",INDEX(Tính!$C$86:$V$130,$CD$18,INDEX(Tính!$C$278:$V$322,$CD$18,$BL$5)))</f>
        <v/>
      </c>
      <c r="R99" s="43" t="str">
        <f>IF(OR($CD$18="",$BL$5=""),"",INDEX(Tính!$C$134:$V$178,$CD$18,INDEX(Tính!$C$278:$V$322,$CD$18,$BL$5)))</f>
        <v/>
      </c>
      <c r="S99" s="44" t="str">
        <f>IF($CD$18="","",IF($BK$5="C",INDEX(Tính!$Q$39:$Q$83,$CD$18)&amp;"/"&amp;$BK$1,IF($BK$5="V",INDEX(Tính!$R$39:$R$83,$CD$18)&amp;"/"&amp;$BL$1,IF($BL$5="","",INDEX(Tính!$C$182:$V$226,$CD$18,INDEX(Tính!$C$278:$V$322,$CD$18,$BL$5))))))</f>
        <v/>
      </c>
    </row>
    <row r="100" spans="1:19" x14ac:dyDescent="0.3">
      <c r="A100" s="42" t="str">
        <f>IF($CD$15="","",IF($BK$6="C","NHÓM CHÍNH",IF($BK$6="V","NHÓM VƯỢT TRỘI",IF($BL$6="","",INDEX($BA$3:$BA$22,INDEX(Tính!$C$278:$V$322,$CD$15,$BL$6))))))</f>
        <v/>
      </c>
      <c r="B100" s="43" t="str">
        <f>IF(OR($CD$15="",$BL$6=""),"",INDEX(Tính!$C$86:$V$130,$CD$15,INDEX(Tính!$C$278:$V$322,$CD$15,$BL$6)))</f>
        <v/>
      </c>
      <c r="C100" s="43" t="str">
        <f>IF(OR($CD$15="",$BL$6=""),"",INDEX(Tính!$C$134:$V$178,$CD$15,INDEX(Tính!$C$278:$V$322,$CD$15,$BL$6)))</f>
        <v/>
      </c>
      <c r="D100" s="44" t="str">
        <f>IF($CD$15="","",IF($BK$6="C",INDEX(Tính!$Q$39:$Q$83,$CD$15)&amp;"/"&amp;$BK$1,IF($BK$6="V",INDEX(Tính!$R$39:$R$83,$CD$15)&amp;"/"&amp;$BL$1,IF($BL$6="","",INDEX(Tính!$C$182:$V$226,$CD$15,INDEX(Tính!$C$278:$V$322,$CD$15,$BL$6))))))</f>
        <v/>
      </c>
      <c r="F100" s="42" t="str">
        <f>IF($CD$16="","",IF($BK$6="C","NHÓM CHÍNH",IF($BK$6="V","NHÓM VƯỢT TRỘI",IF($BL$6="","",INDEX($BA$3:$BA$22,INDEX(Tính!$C$278:$V$322,$CD$16,$BL$6))))))</f>
        <v/>
      </c>
      <c r="G100" s="43" t="str">
        <f>IF(OR($CD$16="",$BL$6=""),"",INDEX(Tính!$C$86:$V$130,$CD$16,INDEX(Tính!$C$278:$V$322,$CD$16,$BL$6)))</f>
        <v/>
      </c>
      <c r="H100" s="43" t="str">
        <f>IF(OR($CD$16="",$BL$6=""),"",INDEX(Tính!$C$134:$V$178,$CD$16,INDEX(Tính!$C$278:$V$322,$CD$16,$BL$6)))</f>
        <v/>
      </c>
      <c r="I100" s="44" t="str">
        <f>IF($CD$16="","",IF($BK$6="C",INDEX(Tính!$Q$39:$Q$83,$CD$16)&amp;"/"&amp;$BK$1,IF($BK$6="V",INDEX(Tính!$R$39:$R$83,$CD$16)&amp;"/"&amp;$BL$1,IF($BL$6="","",INDEX(Tính!$C$182:$V$226,$CD$16,INDEX(Tính!$C$278:$V$322,$CD$16,$BL$6))))))</f>
        <v/>
      </c>
      <c r="K100" s="42" t="str">
        <f>IF($CD$17="","",IF($BK$6="C","NHÓM CHÍNH",IF($BK$6="V","NHÓM VƯỢT TRỘI",IF($BL$6="","",INDEX($BA$3:$BA$22,INDEX(Tính!$C$278:$V$322,$CD$17,$BL$6))))))</f>
        <v/>
      </c>
      <c r="L100" s="43" t="str">
        <f>IF(OR($CD$17="",$BL$6=""),"",INDEX(Tính!$C$86:$V$130,$CD$17,INDEX(Tính!$C$278:$V$322,$CD$17,$BL$6)))</f>
        <v/>
      </c>
      <c r="M100" s="43" t="str">
        <f>IF(OR($CD$17="",$BL$6=""),"",INDEX(Tính!$C$134:$V$178,$CD$17,INDEX(Tính!$C$278:$V$322,$CD$17,$BL$6)))</f>
        <v/>
      </c>
      <c r="N100" s="44" t="str">
        <f>IF($CD$17="","",IF($BK$6="C",INDEX(Tính!$Q$39:$Q$83,$CD$17)&amp;"/"&amp;$BK$1,IF($BK$6="V",INDEX(Tính!$R$39:$R$83,$CD$17)&amp;"/"&amp;$BL$1,IF($BL$6="","",INDEX(Tính!$C$182:$V$226,$CD$17,INDEX(Tính!$C$278:$V$322,$CD$17,$BL$6))))))</f>
        <v/>
      </c>
      <c r="P100" s="42" t="str">
        <f>IF($CD$18="","",IF($BK$6="C","NHÓM CHÍNH",IF($BK$6="V","NHÓM VƯỢT TRỘI",IF($BL$6="","",INDEX($BA$3:$BA$22,INDEX(Tính!$C$278:$V$322,$CD$18,$BL$6))))))</f>
        <v/>
      </c>
      <c r="Q100" s="43" t="str">
        <f>IF(OR($CD$18="",$BL$6=""),"",INDEX(Tính!$C$86:$V$130,$CD$18,INDEX(Tính!$C$278:$V$322,$CD$18,$BL$6)))</f>
        <v/>
      </c>
      <c r="R100" s="43" t="str">
        <f>IF(OR($CD$18="",$BL$6=""),"",INDEX(Tính!$C$134:$V$178,$CD$18,INDEX(Tính!$C$278:$V$322,$CD$18,$BL$6)))</f>
        <v/>
      </c>
      <c r="S100" s="44" t="str">
        <f>IF($CD$18="","",IF($BK$6="C",INDEX(Tính!$Q$39:$Q$83,$CD$18)&amp;"/"&amp;$BK$1,IF($BK$6="V",INDEX(Tính!$R$39:$R$83,$CD$18)&amp;"/"&amp;$BL$1,IF($BL$6="","",INDEX(Tính!$C$182:$V$226,$CD$18,INDEX(Tính!$C$278:$V$322,$CD$18,$BL$6))))))</f>
        <v/>
      </c>
    </row>
    <row r="101" spans="1:19" x14ac:dyDescent="0.3">
      <c r="A101" s="42" t="str">
        <f>IF($CD$15="","",IF($BK$7="C","NHÓM CHÍNH",IF($BK$7="V","NHÓM VƯỢT TRỘI",IF($BL$7="","",INDEX($BA$3:$BA$22,INDEX(Tính!$C$278:$V$322,$CD$15,$BL$7))))))</f>
        <v/>
      </c>
      <c r="B101" s="43" t="str">
        <f>IF(OR($CD$15="",$BL$7=""),"",INDEX(Tính!$C$86:$V$130,$CD$15,INDEX(Tính!$C$278:$V$322,$CD$15,$BL$7)))</f>
        <v/>
      </c>
      <c r="C101" s="43" t="str">
        <f>IF(OR($CD$15="",$BL$7=""),"",INDEX(Tính!$C$134:$V$178,$CD$15,INDEX(Tính!$C$278:$V$322,$CD$15,$BL$7)))</f>
        <v/>
      </c>
      <c r="D101" s="44" t="str">
        <f>IF($CD$15="","",IF($BK$7="C",INDEX(Tính!$Q$39:$Q$83,$CD$15)&amp;"/"&amp;$BK$1,IF($BK$7="V",INDEX(Tính!$R$39:$R$83,$CD$15)&amp;"/"&amp;$BL$1,IF($BL$7="","",INDEX(Tính!$C$182:$V$226,$CD$15,INDEX(Tính!$C$278:$V$322,$CD$15,$BL$7))))))</f>
        <v/>
      </c>
      <c r="F101" s="42" t="str">
        <f>IF($CD$16="","",IF($BK$7="C","NHÓM CHÍNH",IF($BK$7="V","NHÓM VƯỢT TRỘI",IF($BL$7="","",INDEX($BA$3:$BA$22,INDEX(Tính!$C$278:$V$322,$CD$16,$BL$7))))))</f>
        <v/>
      </c>
      <c r="G101" s="43" t="str">
        <f>IF(OR($CD$16="",$BL$7=""),"",INDEX(Tính!$C$86:$V$130,$CD$16,INDEX(Tính!$C$278:$V$322,$CD$16,$BL$7)))</f>
        <v/>
      </c>
      <c r="H101" s="43" t="str">
        <f>IF(OR($CD$16="",$BL$7=""),"",INDEX(Tính!$C$134:$V$178,$CD$16,INDEX(Tính!$C$278:$V$322,$CD$16,$BL$7)))</f>
        <v/>
      </c>
      <c r="I101" s="44" t="str">
        <f>IF($CD$16="","",IF($BK$7="C",INDEX(Tính!$Q$39:$Q$83,$CD$16)&amp;"/"&amp;$BK$1,IF($BK$7="V",INDEX(Tính!$R$39:$R$83,$CD$16)&amp;"/"&amp;$BL$1,IF($BL$7="","",INDEX(Tính!$C$182:$V$226,$CD$16,INDEX(Tính!$C$278:$V$322,$CD$16,$BL$7))))))</f>
        <v/>
      </c>
      <c r="K101" s="42" t="str">
        <f>IF($CD$17="","",IF($BK$7="C","NHÓM CHÍNH",IF($BK$7="V","NHÓM VƯỢT TRỘI",IF($BL$7="","",INDEX($BA$3:$BA$22,INDEX(Tính!$C$278:$V$322,$CD$17,$BL$7))))))</f>
        <v/>
      </c>
      <c r="L101" s="43" t="str">
        <f>IF(OR($CD$17="",$BL$7=""),"",INDEX(Tính!$C$86:$V$130,$CD$17,INDEX(Tính!$C$278:$V$322,$CD$17,$BL$7)))</f>
        <v/>
      </c>
      <c r="M101" s="43" t="str">
        <f>IF(OR($CD$17="",$BL$7=""),"",INDEX(Tính!$C$134:$V$178,$CD$17,INDEX(Tính!$C$278:$V$322,$CD$17,$BL$7)))</f>
        <v/>
      </c>
      <c r="N101" s="44" t="str">
        <f>IF($CD$17="","",IF($BK$7="C",INDEX(Tính!$Q$39:$Q$83,$CD$17)&amp;"/"&amp;$BK$1,IF($BK$7="V",INDEX(Tính!$R$39:$R$83,$CD$17)&amp;"/"&amp;$BL$1,IF($BL$7="","",INDEX(Tính!$C$182:$V$226,$CD$17,INDEX(Tính!$C$278:$V$322,$CD$17,$BL$7))))))</f>
        <v/>
      </c>
      <c r="P101" s="42" t="str">
        <f>IF($CD$18="","",IF($BK$7="C","NHÓM CHÍNH",IF($BK$7="V","NHÓM VƯỢT TRỘI",IF($BL$7="","",INDEX($BA$3:$BA$22,INDEX(Tính!$C$278:$V$322,$CD$18,$BL$7))))))</f>
        <v/>
      </c>
      <c r="Q101" s="43" t="str">
        <f>IF(OR($CD$18="",$BL$7=""),"",INDEX(Tính!$C$86:$V$130,$CD$18,INDEX(Tính!$C$278:$V$322,$CD$18,$BL$7)))</f>
        <v/>
      </c>
      <c r="R101" s="43" t="str">
        <f>IF(OR($CD$18="",$BL$7=""),"",INDEX(Tính!$C$134:$V$178,$CD$18,INDEX(Tính!$C$278:$V$322,$CD$18,$BL$7)))</f>
        <v/>
      </c>
      <c r="S101" s="44" t="str">
        <f>IF($CD$18="","",IF($BK$7="C",INDEX(Tính!$Q$39:$Q$83,$CD$18)&amp;"/"&amp;$BK$1,IF($BK$7="V",INDEX(Tính!$R$39:$R$83,$CD$18)&amp;"/"&amp;$BL$1,IF($BL$7="","",INDEX(Tính!$C$182:$V$226,$CD$18,INDEX(Tính!$C$278:$V$322,$CD$18,$BL$7))))))</f>
        <v/>
      </c>
    </row>
    <row r="102" spans="1:19" x14ac:dyDescent="0.3">
      <c r="A102" s="42" t="str">
        <f>IF($CD$15="","",IF($BK$8="C","NHÓM CHÍNH",IF($BK$8="V","NHÓM VƯỢT TRỘI",IF($BL$8="","",INDEX($BA$3:$BA$22,INDEX(Tính!$C$278:$V$322,$CD$15,$BL$8))))))</f>
        <v/>
      </c>
      <c r="B102" s="43" t="str">
        <f>IF(OR($CD$15="",$BL$8=""),"",INDEX(Tính!$C$86:$V$130,$CD$15,INDEX(Tính!$C$278:$V$322,$CD$15,$BL$8)))</f>
        <v/>
      </c>
      <c r="C102" s="43" t="str">
        <f>IF(OR($CD$15="",$BL$8=""),"",INDEX(Tính!$C$134:$V$178,$CD$15,INDEX(Tính!$C$278:$V$322,$CD$15,$BL$8)))</f>
        <v/>
      </c>
      <c r="D102" s="44" t="str">
        <f>IF($CD$15="","",IF($BK$8="C",INDEX(Tính!$Q$39:$Q$83,$CD$15)&amp;"/"&amp;$BK$1,IF($BK$8="V",INDEX(Tính!$R$39:$R$83,$CD$15)&amp;"/"&amp;$BL$1,IF($BL$8="","",INDEX(Tính!$C$182:$V$226,$CD$15,INDEX(Tính!$C$278:$V$322,$CD$15,$BL$8))))))</f>
        <v/>
      </c>
      <c r="F102" s="42" t="str">
        <f>IF($CD$16="","",IF($BK$8="C","NHÓM CHÍNH",IF($BK$8="V","NHÓM VƯỢT TRỘI",IF($BL$8="","",INDEX($BA$3:$BA$22,INDEX(Tính!$C$278:$V$322,$CD$16,$BL$8))))))</f>
        <v/>
      </c>
      <c r="G102" s="43" t="str">
        <f>IF(OR($CD$16="",$BL$8=""),"",INDEX(Tính!$C$86:$V$130,$CD$16,INDEX(Tính!$C$278:$V$322,$CD$16,$BL$8)))</f>
        <v/>
      </c>
      <c r="H102" s="43" t="str">
        <f>IF(OR($CD$16="",$BL$8=""),"",INDEX(Tính!$C$134:$V$178,$CD$16,INDEX(Tính!$C$278:$V$322,$CD$16,$BL$8)))</f>
        <v/>
      </c>
      <c r="I102" s="44" t="str">
        <f>IF($CD$16="","",IF($BK$8="C",INDEX(Tính!$Q$39:$Q$83,$CD$16)&amp;"/"&amp;$BK$1,IF($BK$8="V",INDEX(Tính!$R$39:$R$83,$CD$16)&amp;"/"&amp;$BL$1,IF($BL$8="","",INDEX(Tính!$C$182:$V$226,$CD$16,INDEX(Tính!$C$278:$V$322,$CD$16,$BL$8))))))</f>
        <v/>
      </c>
      <c r="K102" s="42" t="str">
        <f>IF($CD$17="","",IF($BK$8="C","NHÓM CHÍNH",IF($BK$8="V","NHÓM VƯỢT TRỘI",IF($BL$8="","",INDEX($BA$3:$BA$22,INDEX(Tính!$C$278:$V$322,$CD$17,$BL$8))))))</f>
        <v/>
      </c>
      <c r="L102" s="43" t="str">
        <f>IF(OR($CD$17="",$BL$8=""),"",INDEX(Tính!$C$86:$V$130,$CD$17,INDEX(Tính!$C$278:$V$322,$CD$17,$BL$8)))</f>
        <v/>
      </c>
      <c r="M102" s="43" t="str">
        <f>IF(OR($CD$17="",$BL$8=""),"",INDEX(Tính!$C$134:$V$178,$CD$17,INDEX(Tính!$C$278:$V$322,$CD$17,$BL$8)))</f>
        <v/>
      </c>
      <c r="N102" s="44" t="str">
        <f>IF($CD$17="","",IF($BK$8="C",INDEX(Tính!$Q$39:$Q$83,$CD$17)&amp;"/"&amp;$BK$1,IF($BK$8="V",INDEX(Tính!$R$39:$R$83,$CD$17)&amp;"/"&amp;$BL$1,IF($BL$8="","",INDEX(Tính!$C$182:$V$226,$CD$17,INDEX(Tính!$C$278:$V$322,$CD$17,$BL$8))))))</f>
        <v/>
      </c>
      <c r="P102" s="42" t="str">
        <f>IF($CD$18="","",IF($BK$8="C","NHÓM CHÍNH",IF($BK$8="V","NHÓM VƯỢT TRỘI",IF($BL$8="","",INDEX($BA$3:$BA$22,INDEX(Tính!$C$278:$V$322,$CD$18,$BL$8))))))</f>
        <v/>
      </c>
      <c r="Q102" s="43" t="str">
        <f>IF(OR($CD$18="",$BL$8=""),"",INDEX(Tính!$C$86:$V$130,$CD$18,INDEX(Tính!$C$278:$V$322,$CD$18,$BL$8)))</f>
        <v/>
      </c>
      <c r="R102" s="43" t="str">
        <f>IF(OR($CD$18="",$BL$8=""),"",INDEX(Tính!$C$134:$V$178,$CD$18,INDEX(Tính!$C$278:$V$322,$CD$18,$BL$8)))</f>
        <v/>
      </c>
      <c r="S102" s="44" t="str">
        <f>IF($CD$18="","",IF($BK$8="C",INDEX(Tính!$Q$39:$Q$83,$CD$18)&amp;"/"&amp;$BK$1,IF($BK$8="V",INDEX(Tính!$R$39:$R$83,$CD$18)&amp;"/"&amp;$BL$1,IF($BL$8="","",INDEX(Tính!$C$182:$V$226,$CD$18,INDEX(Tính!$C$278:$V$322,$CD$18,$BL$8))))))</f>
        <v/>
      </c>
    </row>
    <row r="103" spans="1:19" x14ac:dyDescent="0.3">
      <c r="A103" s="42" t="str">
        <f>IF($CD$15="","",IF($BK$9="C","NHÓM CHÍNH",IF($BK$9="V","NHÓM VƯỢT TRỘI",IF($BL$9="","",INDEX($BA$3:$BA$22,INDEX(Tính!$C$278:$V$322,$CD$15,$BL$9))))))</f>
        <v/>
      </c>
      <c r="B103" s="43" t="str">
        <f>IF(OR($CD$15="",$BL$9=""),"",INDEX(Tính!$C$86:$V$130,$CD$15,INDEX(Tính!$C$278:$V$322,$CD$15,$BL$9)))</f>
        <v/>
      </c>
      <c r="C103" s="43" t="str">
        <f>IF(OR($CD$15="",$BL$9=""),"",INDEX(Tính!$C$134:$V$178,$CD$15,INDEX(Tính!$C$278:$V$322,$CD$15,$BL$9)))</f>
        <v/>
      </c>
      <c r="D103" s="44" t="str">
        <f>IF($CD$15="","",IF($BK$9="C",INDEX(Tính!$Q$39:$Q$83,$CD$15)&amp;"/"&amp;$BK$1,IF($BK$9="V",INDEX(Tính!$R$39:$R$83,$CD$15)&amp;"/"&amp;$BL$1,IF($BL$9="","",INDEX(Tính!$C$182:$V$226,$CD$15,INDEX(Tính!$C$278:$V$322,$CD$15,$BL$9))))))</f>
        <v/>
      </c>
      <c r="F103" s="42" t="str">
        <f>IF($CD$16="","",IF($BK$9="C","NHÓM CHÍNH",IF($BK$9="V","NHÓM VƯỢT TRỘI",IF($BL$9="","",INDEX($BA$3:$BA$22,INDEX(Tính!$C$278:$V$322,$CD$16,$BL$9))))))</f>
        <v/>
      </c>
      <c r="G103" s="43" t="str">
        <f>IF(OR($CD$16="",$BL$9=""),"",INDEX(Tính!$C$86:$V$130,$CD$16,INDEX(Tính!$C$278:$V$322,$CD$16,$BL$9)))</f>
        <v/>
      </c>
      <c r="H103" s="43" t="str">
        <f>IF(OR($CD$16="",$BL$9=""),"",INDEX(Tính!$C$134:$V$178,$CD$16,INDEX(Tính!$C$278:$V$322,$CD$16,$BL$9)))</f>
        <v/>
      </c>
      <c r="I103" s="44" t="str">
        <f>IF($CD$16="","",IF($BK$9="C",INDEX(Tính!$Q$39:$Q$83,$CD$16)&amp;"/"&amp;$BK$1,IF($BK$9="V",INDEX(Tính!$R$39:$R$83,$CD$16)&amp;"/"&amp;$BL$1,IF($BL$9="","",INDEX(Tính!$C$182:$V$226,$CD$16,INDEX(Tính!$C$278:$V$322,$CD$16,$BL$9))))))</f>
        <v/>
      </c>
      <c r="K103" s="42" t="str">
        <f>IF($CD$17="","",IF($BK$9="C","NHÓM CHÍNH",IF($BK$9="V","NHÓM VƯỢT TRỘI",IF($BL$9="","",INDEX($BA$3:$BA$22,INDEX(Tính!$C$278:$V$322,$CD$17,$BL$9))))))</f>
        <v/>
      </c>
      <c r="L103" s="43" t="str">
        <f>IF(OR($CD$17="",$BL$9=""),"",INDEX(Tính!$C$86:$V$130,$CD$17,INDEX(Tính!$C$278:$V$322,$CD$17,$BL$9)))</f>
        <v/>
      </c>
      <c r="M103" s="43" t="str">
        <f>IF(OR($CD$17="",$BL$9=""),"",INDEX(Tính!$C$134:$V$178,$CD$17,INDEX(Tính!$C$278:$V$322,$CD$17,$BL$9)))</f>
        <v/>
      </c>
      <c r="N103" s="44" t="str">
        <f>IF($CD$17="","",IF($BK$9="C",INDEX(Tính!$Q$39:$Q$83,$CD$17)&amp;"/"&amp;$BK$1,IF($BK$9="V",INDEX(Tính!$R$39:$R$83,$CD$17)&amp;"/"&amp;$BL$1,IF($BL$9="","",INDEX(Tính!$C$182:$V$226,$CD$17,INDEX(Tính!$C$278:$V$322,$CD$17,$BL$9))))))</f>
        <v/>
      </c>
      <c r="P103" s="42" t="str">
        <f>IF($CD$18="","",IF($BK$9="C","NHÓM CHÍNH",IF($BK$9="V","NHÓM VƯỢT TRỘI",IF($BL$9="","",INDEX($BA$3:$BA$22,INDEX(Tính!$C$278:$V$322,$CD$18,$BL$9))))))</f>
        <v/>
      </c>
      <c r="Q103" s="43" t="str">
        <f>IF(OR($CD$18="",$BL$9=""),"",INDEX(Tính!$C$86:$V$130,$CD$18,INDEX(Tính!$C$278:$V$322,$CD$18,$BL$9)))</f>
        <v/>
      </c>
      <c r="R103" s="43" t="str">
        <f>IF(OR($CD$18="",$BL$9=""),"",INDEX(Tính!$C$134:$V$178,$CD$18,INDEX(Tính!$C$278:$V$322,$CD$18,$BL$9)))</f>
        <v/>
      </c>
      <c r="S103" s="44" t="str">
        <f>IF($CD$18="","",IF($BK$9="C",INDEX(Tính!$Q$39:$Q$83,$CD$18)&amp;"/"&amp;$BK$1,IF($BK$9="V",INDEX(Tính!$R$39:$R$83,$CD$18)&amp;"/"&amp;$BL$1,IF($BL$9="","",INDEX(Tính!$C$182:$V$226,$CD$18,INDEX(Tính!$C$278:$V$322,$CD$18,$BL$9))))))</f>
        <v/>
      </c>
    </row>
    <row r="104" spans="1:19" x14ac:dyDescent="0.3">
      <c r="A104" s="42" t="str">
        <f>IF($CD$15="","",IF($BK$10="C","NHÓM CHÍNH",IF($BK$10="V","NHÓM VƯỢT TRỘI",IF($BL$10="","",INDEX($BA$3:$BA$22,INDEX(Tính!$C$278:$V$322,$CD$15,$BL$10))))))</f>
        <v/>
      </c>
      <c r="B104" s="43" t="str">
        <f>IF(OR($CD$15="",$BL$10=""),"",INDEX(Tính!$C$86:$V$130,$CD$15,INDEX(Tính!$C$278:$V$322,$CD$15,$BL$10)))</f>
        <v/>
      </c>
      <c r="C104" s="43" t="str">
        <f>IF(OR($CD$15="",$BL$10=""),"",INDEX(Tính!$C$134:$V$178,$CD$15,INDEX(Tính!$C$278:$V$322,$CD$15,$BL$10)))</f>
        <v/>
      </c>
      <c r="D104" s="44" t="str">
        <f>IF($CD$15="","",IF($BK$10="C",INDEX(Tính!$Q$39:$Q$83,$CD$15)&amp;"/"&amp;$BK$1,IF($BK$10="V",INDEX(Tính!$R$39:$R$83,$CD$15)&amp;"/"&amp;$BL$1,IF($BL$10="","",INDEX(Tính!$C$182:$V$226,$CD$15,INDEX(Tính!$C$278:$V$322,$CD$15,$BL$10))))))</f>
        <v/>
      </c>
      <c r="F104" s="42" t="str">
        <f>IF($CD$16="","",IF($BK$10="C","NHÓM CHÍNH",IF($BK$10="V","NHÓM VƯỢT TRỘI",IF($BL$10="","",INDEX($BA$3:$BA$22,INDEX(Tính!$C$278:$V$322,$CD$16,$BL$10))))))</f>
        <v/>
      </c>
      <c r="G104" s="43" t="str">
        <f>IF(OR($CD$16="",$BL$10=""),"",INDEX(Tính!$C$86:$V$130,$CD$16,INDEX(Tính!$C$278:$V$322,$CD$16,$BL$10)))</f>
        <v/>
      </c>
      <c r="H104" s="43" t="str">
        <f>IF(OR($CD$16="",$BL$10=""),"",INDEX(Tính!$C$134:$V$178,$CD$16,INDEX(Tính!$C$278:$V$322,$CD$16,$BL$10)))</f>
        <v/>
      </c>
      <c r="I104" s="44" t="str">
        <f>IF($CD$16="","",IF($BK$10="C",INDEX(Tính!$Q$39:$Q$83,$CD$16)&amp;"/"&amp;$BK$1,IF($BK$10="V",INDEX(Tính!$R$39:$R$83,$CD$16)&amp;"/"&amp;$BL$1,IF($BL$10="","",INDEX(Tính!$C$182:$V$226,$CD$16,INDEX(Tính!$C$278:$V$322,$CD$16,$BL$10))))))</f>
        <v/>
      </c>
      <c r="K104" s="42" t="str">
        <f>IF($CD$17="","",IF($BK$10="C","NHÓM CHÍNH",IF($BK$10="V","NHÓM VƯỢT TRỘI",IF($BL$10="","",INDEX($BA$3:$BA$22,INDEX(Tính!$C$278:$V$322,$CD$17,$BL$10))))))</f>
        <v/>
      </c>
      <c r="L104" s="43" t="str">
        <f>IF(OR($CD$17="",$BL$10=""),"",INDEX(Tính!$C$86:$V$130,$CD$17,INDEX(Tính!$C$278:$V$322,$CD$17,$BL$10)))</f>
        <v/>
      </c>
      <c r="M104" s="43" t="str">
        <f>IF(OR($CD$17="",$BL$10=""),"",INDEX(Tính!$C$134:$V$178,$CD$17,INDEX(Tính!$C$278:$V$322,$CD$17,$BL$10)))</f>
        <v/>
      </c>
      <c r="N104" s="44" t="str">
        <f>IF($CD$17="","",IF($BK$10="C",INDEX(Tính!$Q$39:$Q$83,$CD$17)&amp;"/"&amp;$BK$1,IF($BK$10="V",INDEX(Tính!$R$39:$R$83,$CD$17)&amp;"/"&amp;$BL$1,IF($BL$10="","",INDEX(Tính!$C$182:$V$226,$CD$17,INDEX(Tính!$C$278:$V$322,$CD$17,$BL$10))))))</f>
        <v/>
      </c>
      <c r="P104" s="42" t="str">
        <f>IF($CD$18="","",IF($BK$10="C","NHÓM CHÍNH",IF($BK$10="V","NHÓM VƯỢT TRỘI",IF($BL$10="","",INDEX($BA$3:$BA$22,INDEX(Tính!$C$278:$V$322,$CD$18,$BL$10))))))</f>
        <v/>
      </c>
      <c r="Q104" s="43" t="str">
        <f>IF(OR($CD$18="",$BL$10=""),"",INDEX(Tính!$C$86:$V$130,$CD$18,INDEX(Tính!$C$278:$V$322,$CD$18,$BL$10)))</f>
        <v/>
      </c>
      <c r="R104" s="43" t="str">
        <f>IF(OR($CD$18="",$BL$10=""),"",INDEX(Tính!$C$134:$V$178,$CD$18,INDEX(Tính!$C$278:$V$322,$CD$18,$BL$10)))</f>
        <v/>
      </c>
      <c r="S104" s="44" t="str">
        <f>IF($CD$18="","",IF($BK$10="C",INDEX(Tính!$Q$39:$Q$83,$CD$18)&amp;"/"&amp;$BK$1,IF($BK$10="V",INDEX(Tính!$R$39:$R$83,$CD$18)&amp;"/"&amp;$BL$1,IF($BL$10="","",INDEX(Tính!$C$182:$V$226,$CD$18,INDEX(Tính!$C$278:$V$322,$CD$18,$BL$10))))))</f>
        <v/>
      </c>
    </row>
    <row r="105" spans="1:19" x14ac:dyDescent="0.3">
      <c r="A105" s="42" t="str">
        <f>IF($CD$15="","",IF($BK$11="C","NHÓM CHÍNH",IF($BK$11="V","NHÓM VƯỢT TRỘI",IF($BL$11="","",INDEX($BA$3:$BA$22,INDEX(Tính!$C$278:$V$322,$CD$15,$BL$11))))))</f>
        <v/>
      </c>
      <c r="B105" s="43" t="str">
        <f>IF(OR($CD$15="",$BL$11=""),"",INDEX(Tính!$C$86:$V$130,$CD$15,INDEX(Tính!$C$278:$V$322,$CD$15,$BL$11)))</f>
        <v/>
      </c>
      <c r="C105" s="43" t="str">
        <f>IF(OR($CD$15="",$BL$11=""),"",INDEX(Tính!$C$134:$V$178,$CD$15,INDEX(Tính!$C$278:$V$322,$CD$15,$BL$11)))</f>
        <v/>
      </c>
      <c r="D105" s="44" t="str">
        <f>IF($CD$15="","",IF($BK$11="C",INDEX(Tính!$Q$39:$Q$83,$CD$15)&amp;"/"&amp;$BK$1,IF($BK$11="V",INDEX(Tính!$R$39:$R$83,$CD$15)&amp;"/"&amp;$BL$1,IF($BL$11="","",INDEX(Tính!$C$182:$V$226,$CD$15,INDEX(Tính!$C$278:$V$322,$CD$15,$BL$11))))))</f>
        <v/>
      </c>
      <c r="F105" s="42" t="str">
        <f>IF($CD$16="","",IF($BK$11="C","NHÓM CHÍNH",IF($BK$11="V","NHÓM VƯỢT TRỘI",IF($BL$11="","",INDEX($BA$3:$BA$22,INDEX(Tính!$C$278:$V$322,$CD$16,$BL$11))))))</f>
        <v/>
      </c>
      <c r="G105" s="43" t="str">
        <f>IF(OR($CD$16="",$BL$11=""),"",INDEX(Tính!$C$86:$V$130,$CD$16,INDEX(Tính!$C$278:$V$322,$CD$16,$BL$11)))</f>
        <v/>
      </c>
      <c r="H105" s="43" t="str">
        <f>IF(OR($CD$16="",$BL$11=""),"",INDEX(Tính!$C$134:$V$178,$CD$16,INDEX(Tính!$C$278:$V$322,$CD$16,$BL$11)))</f>
        <v/>
      </c>
      <c r="I105" s="44" t="str">
        <f>IF($CD$16="","",IF($BK$11="C",INDEX(Tính!$Q$39:$Q$83,$CD$16)&amp;"/"&amp;$BK$1,IF($BK$11="V",INDEX(Tính!$R$39:$R$83,$CD$16)&amp;"/"&amp;$BL$1,IF($BL$11="","",INDEX(Tính!$C$182:$V$226,$CD$16,INDEX(Tính!$C$278:$V$322,$CD$16,$BL$11))))))</f>
        <v/>
      </c>
      <c r="K105" s="42" t="str">
        <f>IF($CD$17="","",IF($BK$11="C","NHÓM CHÍNH",IF($BK$11="V","NHÓM VƯỢT TRỘI",IF($BL$11="","",INDEX($BA$3:$BA$22,INDEX(Tính!$C$278:$V$322,$CD$17,$BL$11))))))</f>
        <v/>
      </c>
      <c r="L105" s="43" t="str">
        <f>IF(OR($CD$17="",$BL$11=""),"",INDEX(Tính!$C$86:$V$130,$CD$17,INDEX(Tính!$C$278:$V$322,$CD$17,$BL$11)))</f>
        <v/>
      </c>
      <c r="M105" s="43" t="str">
        <f>IF(OR($CD$17="",$BL$11=""),"",INDEX(Tính!$C$134:$V$178,$CD$17,INDEX(Tính!$C$278:$V$322,$CD$17,$BL$11)))</f>
        <v/>
      </c>
      <c r="N105" s="44" t="str">
        <f>IF($CD$17="","",IF($BK$11="C",INDEX(Tính!$Q$39:$Q$83,$CD$17)&amp;"/"&amp;$BK$1,IF($BK$11="V",INDEX(Tính!$R$39:$R$83,$CD$17)&amp;"/"&amp;$BL$1,IF($BL$11="","",INDEX(Tính!$C$182:$V$226,$CD$17,INDEX(Tính!$C$278:$V$322,$CD$17,$BL$11))))))</f>
        <v/>
      </c>
      <c r="P105" s="42" t="str">
        <f>IF($CD$18="","",IF($BK$11="C","NHÓM CHÍNH",IF($BK$11="V","NHÓM VƯỢT TRỘI",IF($BL$11="","",INDEX($BA$3:$BA$22,INDEX(Tính!$C$278:$V$322,$CD$18,$BL$11))))))</f>
        <v/>
      </c>
      <c r="Q105" s="43" t="str">
        <f>IF(OR($CD$18="",$BL$11=""),"",INDEX(Tính!$C$86:$V$130,$CD$18,INDEX(Tính!$C$278:$V$322,$CD$18,$BL$11)))</f>
        <v/>
      </c>
      <c r="R105" s="43" t="str">
        <f>IF(OR($CD$18="",$BL$11=""),"",INDEX(Tính!$C$134:$V$178,$CD$18,INDEX(Tính!$C$278:$V$322,$CD$18,$BL$11)))</f>
        <v/>
      </c>
      <c r="S105" s="44" t="str">
        <f>IF($CD$18="","",IF($BK$11="C",INDEX(Tính!$Q$39:$Q$83,$CD$18)&amp;"/"&amp;$BK$1,IF($BK$11="V",INDEX(Tính!$R$39:$R$83,$CD$18)&amp;"/"&amp;$BL$1,IF($BL$11="","",INDEX(Tính!$C$182:$V$226,$CD$18,INDEX(Tính!$C$278:$V$322,$CD$18,$BL$11))))))</f>
        <v/>
      </c>
    </row>
    <row r="106" spans="1:19" x14ac:dyDescent="0.3">
      <c r="A106" s="42" t="str">
        <f>IF($CD$15="","",IF($BK$12="C","NHÓM CHÍNH",IF($BK$12="V","NHÓM VƯỢT TRỘI",IF($BL$12="","",INDEX($BA$3:$BA$22,INDEX(Tính!$C$278:$V$322,$CD$15,$BL$12))))))</f>
        <v/>
      </c>
      <c r="B106" s="43" t="str">
        <f>IF(OR($CD$15="",$BL$12=""),"",INDEX(Tính!$C$86:$V$130,$CD$15,INDEX(Tính!$C$278:$V$322,$CD$15,$BL$12)))</f>
        <v/>
      </c>
      <c r="C106" s="43" t="str">
        <f>IF(OR($CD$15="",$BL$12=""),"",INDEX(Tính!$C$134:$V$178,$CD$15,INDEX(Tính!$C$278:$V$322,$CD$15,$BL$12)))</f>
        <v/>
      </c>
      <c r="D106" s="44" t="str">
        <f>IF($CD$15="","",IF($BK$12="C",INDEX(Tính!$Q$39:$Q$83,$CD$15)&amp;"/"&amp;$BK$1,IF($BK$12="V",INDEX(Tính!$R$39:$R$83,$CD$15)&amp;"/"&amp;$BL$1,IF($BL$12="","",INDEX(Tính!$C$182:$V$226,$CD$15,INDEX(Tính!$C$278:$V$322,$CD$15,$BL$12))))))</f>
        <v/>
      </c>
      <c r="F106" s="42" t="str">
        <f>IF($CD$16="","",IF($BK$12="C","NHÓM CHÍNH",IF($BK$12="V","NHÓM VƯỢT TRỘI",IF($BL$12="","",INDEX($BA$3:$BA$22,INDEX(Tính!$C$278:$V$322,$CD$16,$BL$12))))))</f>
        <v/>
      </c>
      <c r="G106" s="43" t="str">
        <f>IF(OR($CD$16="",$BL$12=""),"",INDEX(Tính!$C$86:$V$130,$CD$16,INDEX(Tính!$C$278:$V$322,$CD$16,$BL$12)))</f>
        <v/>
      </c>
      <c r="H106" s="43" t="str">
        <f>IF(OR($CD$16="",$BL$12=""),"",INDEX(Tính!$C$134:$V$178,$CD$16,INDEX(Tính!$C$278:$V$322,$CD$16,$BL$12)))</f>
        <v/>
      </c>
      <c r="I106" s="44" t="str">
        <f>IF($CD$16="","",IF($BK$12="C",INDEX(Tính!$Q$39:$Q$83,$CD$16)&amp;"/"&amp;$BK$1,IF($BK$12="V",INDEX(Tính!$R$39:$R$83,$CD$16)&amp;"/"&amp;$BL$1,IF($BL$12="","",INDEX(Tính!$C$182:$V$226,$CD$16,INDEX(Tính!$C$278:$V$322,$CD$16,$BL$12))))))</f>
        <v/>
      </c>
      <c r="K106" s="42" t="str">
        <f>IF($CD$17="","",IF($BK$12="C","NHÓM CHÍNH",IF($BK$12="V","NHÓM VƯỢT TRỘI",IF($BL$12="","",INDEX($BA$3:$BA$22,INDEX(Tính!$C$278:$V$322,$CD$17,$BL$12))))))</f>
        <v/>
      </c>
      <c r="L106" s="43" t="str">
        <f>IF(OR($CD$17="",$BL$12=""),"",INDEX(Tính!$C$86:$V$130,$CD$17,INDEX(Tính!$C$278:$V$322,$CD$17,$BL$12)))</f>
        <v/>
      </c>
      <c r="M106" s="43" t="str">
        <f>IF(OR($CD$17="",$BL$12=""),"",INDEX(Tính!$C$134:$V$178,$CD$17,INDEX(Tính!$C$278:$V$322,$CD$17,$BL$12)))</f>
        <v/>
      </c>
      <c r="N106" s="44" t="str">
        <f>IF($CD$17="","",IF($BK$12="C",INDEX(Tính!$Q$39:$Q$83,$CD$17)&amp;"/"&amp;$BK$1,IF($BK$12="V",INDEX(Tính!$R$39:$R$83,$CD$17)&amp;"/"&amp;$BL$1,IF($BL$12="","",INDEX(Tính!$C$182:$V$226,$CD$17,INDEX(Tính!$C$278:$V$322,$CD$17,$BL$12))))))</f>
        <v/>
      </c>
      <c r="P106" s="42" t="str">
        <f>IF($CD$18="","",IF($BK$12="C","NHÓM CHÍNH",IF($BK$12="V","NHÓM VƯỢT TRỘI",IF($BL$12="","",INDEX($BA$3:$BA$22,INDEX(Tính!$C$278:$V$322,$CD$18,$BL$12))))))</f>
        <v/>
      </c>
      <c r="Q106" s="43" t="str">
        <f>IF(OR($CD$18="",$BL$12=""),"",INDEX(Tính!$C$86:$V$130,$CD$18,INDEX(Tính!$C$278:$V$322,$CD$18,$BL$12)))</f>
        <v/>
      </c>
      <c r="R106" s="43" t="str">
        <f>IF(OR($CD$18="",$BL$12=""),"",INDEX(Tính!$C$134:$V$178,$CD$18,INDEX(Tính!$C$278:$V$322,$CD$18,$BL$12)))</f>
        <v/>
      </c>
      <c r="S106" s="44" t="str">
        <f>IF($CD$18="","",IF($BK$12="C",INDEX(Tính!$Q$39:$Q$83,$CD$18)&amp;"/"&amp;$BK$1,IF($BK$12="V",INDEX(Tính!$R$39:$R$83,$CD$18)&amp;"/"&amp;$BL$1,IF($BL$12="","",INDEX(Tính!$C$182:$V$226,$CD$18,INDEX(Tính!$C$278:$V$322,$CD$18,$BL$12))))))</f>
        <v/>
      </c>
    </row>
    <row r="107" spans="1:19" x14ac:dyDescent="0.3">
      <c r="A107" s="42" t="str">
        <f>IF($CD$15="","",IF($BK$13="C","NHÓM CHÍNH",IF($BK$13="V","NHÓM VƯỢT TRỘI",IF($BL$13="","",INDEX($BA$3:$BA$22,INDEX(Tính!$C$278:$V$322,$CD$15,$BL$13))))))</f>
        <v/>
      </c>
      <c r="B107" s="43" t="str">
        <f>IF(OR($CD$15="",$BL$13=""),"",INDEX(Tính!$C$86:$V$130,$CD$15,INDEX(Tính!$C$278:$V$322,$CD$15,$BL$13)))</f>
        <v/>
      </c>
      <c r="C107" s="43" t="str">
        <f>IF(OR($CD$15="",$BL$13=""),"",INDEX(Tính!$C$134:$V$178,$CD$15,INDEX(Tính!$C$278:$V$322,$CD$15,$BL$13)))</f>
        <v/>
      </c>
      <c r="D107" s="44" t="str">
        <f>IF($CD$15="","",IF($BK$13="C",INDEX(Tính!$Q$39:$Q$83,$CD$15)&amp;"/"&amp;$BK$1,IF($BK$13="V",INDEX(Tính!$R$39:$R$83,$CD$15)&amp;"/"&amp;$BL$1,IF($BL$13="","",INDEX(Tính!$C$182:$V$226,$CD$15,INDEX(Tính!$C$278:$V$322,$CD$15,$BL$13))))))</f>
        <v/>
      </c>
      <c r="F107" s="42" t="str">
        <f>IF($CD$16="","",IF($BK$13="C","NHÓM CHÍNH",IF($BK$13="V","NHÓM VƯỢT TRỘI",IF($BL$13="","",INDEX($BA$3:$BA$22,INDEX(Tính!$C$278:$V$322,$CD$16,$BL$13))))))</f>
        <v/>
      </c>
      <c r="G107" s="43" t="str">
        <f>IF(OR($CD$16="",$BL$13=""),"",INDEX(Tính!$C$86:$V$130,$CD$16,INDEX(Tính!$C$278:$V$322,$CD$16,$BL$13)))</f>
        <v/>
      </c>
      <c r="H107" s="43" t="str">
        <f>IF(OR($CD$16="",$BL$13=""),"",INDEX(Tính!$C$134:$V$178,$CD$16,INDEX(Tính!$C$278:$V$322,$CD$16,$BL$13)))</f>
        <v/>
      </c>
      <c r="I107" s="44" t="str">
        <f>IF($CD$16="","",IF($BK$13="C",INDEX(Tính!$Q$39:$Q$83,$CD$16)&amp;"/"&amp;$BK$1,IF($BK$13="V",INDEX(Tính!$R$39:$R$83,$CD$16)&amp;"/"&amp;$BL$1,IF($BL$13="","",INDEX(Tính!$C$182:$V$226,$CD$16,INDEX(Tính!$C$278:$V$322,$CD$16,$BL$13))))))</f>
        <v/>
      </c>
      <c r="K107" s="42" t="str">
        <f>IF($CD$17="","",IF($BK$13="C","NHÓM CHÍNH",IF($BK$13="V","NHÓM VƯỢT TRỘI",IF($BL$13="","",INDEX($BA$3:$BA$22,INDEX(Tính!$C$278:$V$322,$CD$17,$BL$13))))))</f>
        <v/>
      </c>
      <c r="L107" s="43" t="str">
        <f>IF(OR($CD$17="",$BL$13=""),"",INDEX(Tính!$C$86:$V$130,$CD$17,INDEX(Tính!$C$278:$V$322,$CD$17,$BL$13)))</f>
        <v/>
      </c>
      <c r="M107" s="43" t="str">
        <f>IF(OR($CD$17="",$BL$13=""),"",INDEX(Tính!$C$134:$V$178,$CD$17,INDEX(Tính!$C$278:$V$322,$CD$17,$BL$13)))</f>
        <v/>
      </c>
      <c r="N107" s="44" t="str">
        <f>IF($CD$17="","",IF($BK$13="C",INDEX(Tính!$Q$39:$Q$83,$CD$17)&amp;"/"&amp;$BK$1,IF($BK$13="V",INDEX(Tính!$R$39:$R$83,$CD$17)&amp;"/"&amp;$BL$1,IF($BL$13="","",INDEX(Tính!$C$182:$V$226,$CD$17,INDEX(Tính!$C$278:$V$322,$CD$17,$BL$13))))))</f>
        <v/>
      </c>
      <c r="P107" s="42" t="str">
        <f>IF($CD$18="","",IF($BK$13="C","NHÓM CHÍNH",IF($BK$13="V","NHÓM VƯỢT TRỘI",IF($BL$13="","",INDEX($BA$3:$BA$22,INDEX(Tính!$C$278:$V$322,$CD$18,$BL$13))))))</f>
        <v/>
      </c>
      <c r="Q107" s="43" t="str">
        <f>IF(OR($CD$18="",$BL$13=""),"",INDEX(Tính!$C$86:$V$130,$CD$18,INDEX(Tính!$C$278:$V$322,$CD$18,$BL$13)))</f>
        <v/>
      </c>
      <c r="R107" s="43" t="str">
        <f>IF(OR($CD$18="",$BL$13=""),"",INDEX(Tính!$C$134:$V$178,$CD$18,INDEX(Tính!$C$278:$V$322,$CD$18,$BL$13)))</f>
        <v/>
      </c>
      <c r="S107" s="44" t="str">
        <f>IF($CD$18="","",IF($BK$13="C",INDEX(Tính!$Q$39:$Q$83,$CD$18)&amp;"/"&amp;$BK$1,IF($BK$13="V",INDEX(Tính!$R$39:$R$83,$CD$18)&amp;"/"&amp;$BL$1,IF($BL$13="","",INDEX(Tính!$C$182:$V$226,$CD$18,INDEX(Tính!$C$278:$V$322,$CD$18,$BL$13))))))</f>
        <v/>
      </c>
    </row>
    <row r="108" spans="1:19" x14ac:dyDescent="0.3">
      <c r="A108" s="42" t="str">
        <f>IF($CD$15="","",IF($BK$14="C","NHÓM CHÍNH",IF($BK$14="V","NHÓM VƯỢT TRỘI",IF($BL$14="","",INDEX($BA$3:$BA$22,INDEX(Tính!$C$278:$V$322,$CD$15,$BL$14))))))</f>
        <v/>
      </c>
      <c r="B108" s="43" t="str">
        <f>IF(OR($CD$15="",$BL$14=""),"",INDEX(Tính!$C$86:$V$130,$CD$15,INDEX(Tính!$C$278:$V$322,$CD$15,$BL$14)))</f>
        <v/>
      </c>
      <c r="C108" s="43" t="str">
        <f>IF(OR($CD$15="",$BL$14=""),"",INDEX(Tính!$C$134:$V$178,$CD$15,INDEX(Tính!$C$278:$V$322,$CD$15,$BL$14)))</f>
        <v/>
      </c>
      <c r="D108" s="44" t="str">
        <f>IF($CD$15="","",IF($BK$14="C",INDEX(Tính!$Q$39:$Q$83,$CD$15)&amp;"/"&amp;$BK$1,IF($BK$14="V",INDEX(Tính!$R$39:$R$83,$CD$15)&amp;"/"&amp;$BL$1,IF($BL$14="","",INDEX(Tính!$C$182:$V$226,$CD$15,INDEX(Tính!$C$278:$V$322,$CD$15,$BL$14))))))</f>
        <v/>
      </c>
      <c r="F108" s="42" t="str">
        <f>IF($CD$16="","",IF($BK$14="C","NHÓM CHÍNH",IF($BK$14="V","NHÓM VƯỢT TRỘI",IF($BL$14="","",INDEX($BA$3:$BA$22,INDEX(Tính!$C$278:$V$322,$CD$16,$BL$14))))))</f>
        <v/>
      </c>
      <c r="G108" s="43" t="str">
        <f>IF(OR($CD$16="",$BL$14=""),"",INDEX(Tính!$C$86:$V$130,$CD$16,INDEX(Tính!$C$278:$V$322,$CD$16,$BL$14)))</f>
        <v/>
      </c>
      <c r="H108" s="43" t="str">
        <f>IF(OR($CD$16="",$BL$14=""),"",INDEX(Tính!$C$134:$V$178,$CD$16,INDEX(Tính!$C$278:$V$322,$CD$16,$BL$14)))</f>
        <v/>
      </c>
      <c r="I108" s="44" t="str">
        <f>IF($CD$16="","",IF($BK$14="C",INDEX(Tính!$Q$39:$Q$83,$CD$16)&amp;"/"&amp;$BK$1,IF($BK$14="V",INDEX(Tính!$R$39:$R$83,$CD$16)&amp;"/"&amp;$BL$1,IF($BL$14="","",INDEX(Tính!$C$182:$V$226,$CD$16,INDEX(Tính!$C$278:$V$322,$CD$16,$BL$14))))))</f>
        <v/>
      </c>
      <c r="K108" s="42" t="str">
        <f>IF($CD$17="","",IF($BK$14="C","NHÓM CHÍNH",IF($BK$14="V","NHÓM VƯỢT TRỘI",IF($BL$14="","",INDEX($BA$3:$BA$22,INDEX(Tính!$C$278:$V$322,$CD$17,$BL$14))))))</f>
        <v/>
      </c>
      <c r="L108" s="43" t="str">
        <f>IF(OR($CD$17="",$BL$14=""),"",INDEX(Tính!$C$86:$V$130,$CD$17,INDEX(Tính!$C$278:$V$322,$CD$17,$BL$14)))</f>
        <v/>
      </c>
      <c r="M108" s="43" t="str">
        <f>IF(OR($CD$17="",$BL$14=""),"",INDEX(Tính!$C$134:$V$178,$CD$17,INDEX(Tính!$C$278:$V$322,$CD$17,$BL$14)))</f>
        <v/>
      </c>
      <c r="N108" s="44" t="str">
        <f>IF($CD$17="","",IF($BK$14="C",INDEX(Tính!$Q$39:$Q$83,$CD$17)&amp;"/"&amp;$BK$1,IF($BK$14="V",INDEX(Tính!$R$39:$R$83,$CD$17)&amp;"/"&amp;$BL$1,IF($BL$14="","",INDEX(Tính!$C$182:$V$226,$CD$17,INDEX(Tính!$C$278:$V$322,$CD$17,$BL$14))))))</f>
        <v/>
      </c>
      <c r="P108" s="42" t="str">
        <f>IF($CD$18="","",IF($BK$14="C","NHÓM CHÍNH",IF($BK$14="V","NHÓM VƯỢT TRỘI",IF($BL$14="","",INDEX($BA$3:$BA$22,INDEX(Tính!$C$278:$V$322,$CD$18,$BL$14))))))</f>
        <v/>
      </c>
      <c r="Q108" s="43" t="str">
        <f>IF(OR($CD$18="",$BL$14=""),"",INDEX(Tính!$C$86:$V$130,$CD$18,INDEX(Tính!$C$278:$V$322,$CD$18,$BL$14)))</f>
        <v/>
      </c>
      <c r="R108" s="43" t="str">
        <f>IF(OR($CD$18="",$BL$14=""),"",INDEX(Tính!$C$134:$V$178,$CD$18,INDEX(Tính!$C$278:$V$322,$CD$18,$BL$14)))</f>
        <v/>
      </c>
      <c r="S108" s="44" t="str">
        <f>IF($CD$18="","",IF($BK$14="C",INDEX(Tính!$Q$39:$Q$83,$CD$18)&amp;"/"&amp;$BK$1,IF($BK$14="V",INDEX(Tính!$R$39:$R$83,$CD$18)&amp;"/"&amp;$BL$1,IF($BL$14="","",INDEX(Tính!$C$182:$V$226,$CD$18,INDEX(Tính!$C$278:$V$322,$CD$18,$BL$14))))))</f>
        <v/>
      </c>
    </row>
    <row r="109" spans="1:19" x14ac:dyDescent="0.3">
      <c r="A109" s="42" t="str">
        <f>IF($CD$15="","",IF($BK$15="C","NHÓM CHÍNH",IF($BK$15="V","NHÓM VƯỢT TRỘI",IF($BL$15="","",INDEX($BA$3:$BA$22,INDEX(Tính!$C$278:$V$322,$CD$15,$BL$15))))))</f>
        <v/>
      </c>
      <c r="B109" s="43" t="str">
        <f>IF(OR($CD$15="",$BL$15=""),"",INDEX(Tính!$C$86:$V$130,$CD$15,INDEX(Tính!$C$278:$V$322,$CD$15,$BL$15)))</f>
        <v/>
      </c>
      <c r="C109" s="43" t="str">
        <f>IF(OR($CD$15="",$BL$15=""),"",INDEX(Tính!$C$134:$V$178,$CD$15,INDEX(Tính!$C$278:$V$322,$CD$15,$BL$15)))</f>
        <v/>
      </c>
      <c r="D109" s="44" t="str">
        <f>IF($CD$15="","",IF($BK$15="C",INDEX(Tính!$Q$39:$Q$83,$CD$15)&amp;"/"&amp;$BK$1,IF($BK$15="V",INDEX(Tính!$R$39:$R$83,$CD$15)&amp;"/"&amp;$BL$1,IF($BL$15="","",INDEX(Tính!$C$182:$V$226,$CD$15,INDEX(Tính!$C$278:$V$322,$CD$15,$BL$15))))))</f>
        <v/>
      </c>
      <c r="F109" s="42" t="str">
        <f>IF($CD$16="","",IF($BK$15="C","NHÓM CHÍNH",IF($BK$15="V","NHÓM VƯỢT TRỘI",IF($BL$15="","",INDEX($BA$3:$BA$22,INDEX(Tính!$C$278:$V$322,$CD$16,$BL$15))))))</f>
        <v/>
      </c>
      <c r="G109" s="43" t="str">
        <f>IF(OR($CD$16="",$BL$15=""),"",INDEX(Tính!$C$86:$V$130,$CD$16,INDEX(Tính!$C$278:$V$322,$CD$16,$BL$15)))</f>
        <v/>
      </c>
      <c r="H109" s="43" t="str">
        <f>IF(OR($CD$16="",$BL$15=""),"",INDEX(Tính!$C$134:$V$178,$CD$16,INDEX(Tính!$C$278:$V$322,$CD$16,$BL$15)))</f>
        <v/>
      </c>
      <c r="I109" s="44" t="str">
        <f>IF($CD$16="","",IF($BK$15="C",INDEX(Tính!$Q$39:$Q$83,$CD$16)&amp;"/"&amp;$BK$1,IF($BK$15="V",INDEX(Tính!$R$39:$R$83,$CD$16)&amp;"/"&amp;$BL$1,IF($BL$15="","",INDEX(Tính!$C$182:$V$226,$CD$16,INDEX(Tính!$C$278:$V$322,$CD$16,$BL$15))))))</f>
        <v/>
      </c>
      <c r="K109" s="42" t="str">
        <f>IF($CD$17="","",IF($BK$15="C","NHÓM CHÍNH",IF($BK$15="V","NHÓM VƯỢT TRỘI",IF($BL$15="","",INDEX($BA$3:$BA$22,INDEX(Tính!$C$278:$V$322,$CD$17,$BL$15))))))</f>
        <v/>
      </c>
      <c r="L109" s="43" t="str">
        <f>IF(OR($CD$17="",$BL$15=""),"",INDEX(Tính!$C$86:$V$130,$CD$17,INDEX(Tính!$C$278:$V$322,$CD$17,$BL$15)))</f>
        <v/>
      </c>
      <c r="M109" s="43" t="str">
        <f>IF(OR($CD$17="",$BL$15=""),"",INDEX(Tính!$C$134:$V$178,$CD$17,INDEX(Tính!$C$278:$V$322,$CD$17,$BL$15)))</f>
        <v/>
      </c>
      <c r="N109" s="44" t="str">
        <f>IF($CD$17="","",IF($BK$15="C",INDEX(Tính!$Q$39:$Q$83,$CD$17)&amp;"/"&amp;$BK$1,IF($BK$15="V",INDEX(Tính!$R$39:$R$83,$CD$17)&amp;"/"&amp;$BL$1,IF($BL$15="","",INDEX(Tính!$C$182:$V$226,$CD$17,INDEX(Tính!$C$278:$V$322,$CD$17,$BL$15))))))</f>
        <v/>
      </c>
      <c r="P109" s="42" t="str">
        <f>IF($CD$18="","",IF($BK$15="C","NHÓM CHÍNH",IF($BK$15="V","NHÓM VƯỢT TRỘI",IF($BL$15="","",INDEX($BA$3:$BA$22,INDEX(Tính!$C$278:$V$322,$CD$18,$BL$15))))))</f>
        <v/>
      </c>
      <c r="Q109" s="43" t="str">
        <f>IF(OR($CD$18="",$BL$15=""),"",INDEX(Tính!$C$86:$V$130,$CD$18,INDEX(Tính!$C$278:$V$322,$CD$18,$BL$15)))</f>
        <v/>
      </c>
      <c r="R109" s="43" t="str">
        <f>IF(OR($CD$18="",$BL$15=""),"",INDEX(Tính!$C$134:$V$178,$CD$18,INDEX(Tính!$C$278:$V$322,$CD$18,$BL$15)))</f>
        <v/>
      </c>
      <c r="S109" s="44" t="str">
        <f>IF($CD$18="","",IF($BK$15="C",INDEX(Tính!$Q$39:$Q$83,$CD$18)&amp;"/"&amp;$BK$1,IF($BK$15="V",INDEX(Tính!$R$39:$R$83,$CD$18)&amp;"/"&amp;$BL$1,IF($BL$15="","",INDEX(Tính!$C$182:$V$226,$CD$18,INDEX(Tính!$C$278:$V$322,$CD$18,$BL$15))))))</f>
        <v/>
      </c>
    </row>
    <row r="110" spans="1:19" x14ac:dyDescent="0.3">
      <c r="A110" s="42" t="str">
        <f>IF($CD$15="","",IF($BK$16="C","NHÓM CHÍNH",IF($BK$16="V","NHÓM VƯỢT TRỘI",IF($BL$16="","",INDEX($BA$3:$BA$22,INDEX(Tính!$C$278:$V$322,$CD$15,$BL$16))))))</f>
        <v/>
      </c>
      <c r="B110" s="43" t="str">
        <f>IF(OR($CD$15="",$BL$16=""),"",INDEX(Tính!$C$86:$V$130,$CD$15,INDEX(Tính!$C$278:$V$322,$CD$15,$BL$16)))</f>
        <v/>
      </c>
      <c r="C110" s="43" t="str">
        <f>IF(OR($CD$15="",$BL$16=""),"",INDEX(Tính!$C$134:$V$178,$CD$15,INDEX(Tính!$C$278:$V$322,$CD$15,$BL$16)))</f>
        <v/>
      </c>
      <c r="D110" s="44" t="str">
        <f>IF($CD$15="","",IF($BK$16="C",INDEX(Tính!$Q$39:$Q$83,$CD$15)&amp;"/"&amp;$BK$1,IF($BK$16="V",INDEX(Tính!$R$39:$R$83,$CD$15)&amp;"/"&amp;$BL$1,IF($BL$16="","",INDEX(Tính!$C$182:$V$226,$CD$15,INDEX(Tính!$C$278:$V$322,$CD$15,$BL$16))))))</f>
        <v/>
      </c>
      <c r="F110" s="42" t="str">
        <f>IF($CD$16="","",IF($BK$16="C","NHÓM CHÍNH",IF($BK$16="V","NHÓM VƯỢT TRỘI",IF($BL$16="","",INDEX($BA$3:$BA$22,INDEX(Tính!$C$278:$V$322,$CD$16,$BL$16))))))</f>
        <v/>
      </c>
      <c r="G110" s="43" t="str">
        <f>IF(OR($CD$16="",$BL$16=""),"",INDEX(Tính!$C$86:$V$130,$CD$16,INDEX(Tính!$C$278:$V$322,$CD$16,$BL$16)))</f>
        <v/>
      </c>
      <c r="H110" s="43" t="str">
        <f>IF(OR($CD$16="",$BL$16=""),"",INDEX(Tính!$C$134:$V$178,$CD$16,INDEX(Tính!$C$278:$V$322,$CD$16,$BL$16)))</f>
        <v/>
      </c>
      <c r="I110" s="44" t="str">
        <f>IF($CD$16="","",IF($BK$16="C",INDEX(Tính!$Q$39:$Q$83,$CD$16)&amp;"/"&amp;$BK$1,IF($BK$16="V",INDEX(Tính!$R$39:$R$83,$CD$16)&amp;"/"&amp;$BL$1,IF($BL$16="","",INDEX(Tính!$C$182:$V$226,$CD$16,INDEX(Tính!$C$278:$V$322,$CD$16,$BL$16))))))</f>
        <v/>
      </c>
      <c r="K110" s="42" t="str">
        <f>IF($CD$17="","",IF($BK$16="C","NHÓM CHÍNH",IF($BK$16="V","NHÓM VƯỢT TRỘI",IF($BL$16="","",INDEX($BA$3:$BA$22,INDEX(Tính!$C$278:$V$322,$CD$17,$BL$16))))))</f>
        <v/>
      </c>
      <c r="L110" s="43" t="str">
        <f>IF(OR($CD$17="",$BL$16=""),"",INDEX(Tính!$C$86:$V$130,$CD$17,INDEX(Tính!$C$278:$V$322,$CD$17,$BL$16)))</f>
        <v/>
      </c>
      <c r="M110" s="43" t="str">
        <f>IF(OR($CD$17="",$BL$16=""),"",INDEX(Tính!$C$134:$V$178,$CD$17,INDEX(Tính!$C$278:$V$322,$CD$17,$BL$16)))</f>
        <v/>
      </c>
      <c r="N110" s="44" t="str">
        <f>IF($CD$17="","",IF($BK$16="C",INDEX(Tính!$Q$39:$Q$83,$CD$17)&amp;"/"&amp;$BK$1,IF($BK$16="V",INDEX(Tính!$R$39:$R$83,$CD$17)&amp;"/"&amp;$BL$1,IF($BL$16="","",INDEX(Tính!$C$182:$V$226,$CD$17,INDEX(Tính!$C$278:$V$322,$CD$17,$BL$16))))))</f>
        <v/>
      </c>
      <c r="P110" s="42" t="str">
        <f>IF($CD$18="","",IF($BK$16="C","NHÓM CHÍNH",IF($BK$16="V","NHÓM VƯỢT TRỘI",IF($BL$16="","",INDEX($BA$3:$BA$22,INDEX(Tính!$C$278:$V$322,$CD$18,$BL$16))))))</f>
        <v/>
      </c>
      <c r="Q110" s="43" t="str">
        <f>IF(OR($CD$18="",$BL$16=""),"",INDEX(Tính!$C$86:$V$130,$CD$18,INDEX(Tính!$C$278:$V$322,$CD$18,$BL$16)))</f>
        <v/>
      </c>
      <c r="R110" s="43" t="str">
        <f>IF(OR($CD$18="",$BL$16=""),"",INDEX(Tính!$C$134:$V$178,$CD$18,INDEX(Tính!$C$278:$V$322,$CD$18,$BL$16)))</f>
        <v/>
      </c>
      <c r="S110" s="44" t="str">
        <f>IF($CD$18="","",IF($BK$16="C",INDEX(Tính!$Q$39:$Q$83,$CD$18)&amp;"/"&amp;$BK$1,IF($BK$16="V",INDEX(Tính!$R$39:$R$83,$CD$18)&amp;"/"&amp;$BL$1,IF($BL$16="","",INDEX(Tính!$C$182:$V$226,$CD$18,INDEX(Tính!$C$278:$V$322,$CD$18,$BL$16))))))</f>
        <v/>
      </c>
    </row>
    <row r="111" spans="1:19" x14ac:dyDescent="0.3">
      <c r="A111" s="42" t="str">
        <f>IF($CD$15="","",IF($BK$17="C","NHÓM CHÍNH",IF($BK$17="V","NHÓM VƯỢT TRỘI",IF($BL$17="","",INDEX($BA$3:$BA$22,INDEX(Tính!$C$278:$V$322,$CD$15,$BL$17))))))</f>
        <v/>
      </c>
      <c r="B111" s="43" t="str">
        <f>IF(OR($CD$15="",$BL$17=""),"",INDEX(Tính!$C$86:$V$130,$CD$15,INDEX(Tính!$C$278:$V$322,$CD$15,$BL$17)))</f>
        <v/>
      </c>
      <c r="C111" s="43" t="str">
        <f>IF(OR($CD$15="",$BL$17=""),"",INDEX(Tính!$C$134:$V$178,$CD$15,INDEX(Tính!$C$278:$V$322,$CD$15,$BL$17)))</f>
        <v/>
      </c>
      <c r="D111" s="44" t="str">
        <f>IF($CD$15="","",IF($BK$17="C",INDEX(Tính!$Q$39:$Q$83,$CD$15)&amp;"/"&amp;$BK$1,IF($BK$17="V",INDEX(Tính!$R$39:$R$83,$CD$15)&amp;"/"&amp;$BL$1,IF($BL$17="","",INDEX(Tính!$C$182:$V$226,$CD$15,INDEX(Tính!$C$278:$V$322,$CD$15,$BL$17))))))</f>
        <v/>
      </c>
      <c r="F111" s="42" t="str">
        <f>IF($CD$16="","",IF($BK$17="C","NHÓM CHÍNH",IF($BK$17="V","NHÓM VƯỢT TRỘI",IF($BL$17="","",INDEX($BA$3:$BA$22,INDEX(Tính!$C$278:$V$322,$CD$16,$BL$17))))))</f>
        <v/>
      </c>
      <c r="G111" s="43" t="str">
        <f>IF(OR($CD$16="",$BL$17=""),"",INDEX(Tính!$C$86:$V$130,$CD$16,INDEX(Tính!$C$278:$V$322,$CD$16,$BL$17)))</f>
        <v/>
      </c>
      <c r="H111" s="43" t="str">
        <f>IF(OR($CD$16="",$BL$17=""),"",INDEX(Tính!$C$134:$V$178,$CD$16,INDEX(Tính!$C$278:$V$322,$CD$16,$BL$17)))</f>
        <v/>
      </c>
      <c r="I111" s="44" t="str">
        <f>IF($CD$16="","",IF($BK$17="C",INDEX(Tính!$Q$39:$Q$83,$CD$16)&amp;"/"&amp;$BK$1,IF($BK$17="V",INDEX(Tính!$R$39:$R$83,$CD$16)&amp;"/"&amp;$BL$1,IF($BL$17="","",INDEX(Tính!$C$182:$V$226,$CD$16,INDEX(Tính!$C$278:$V$322,$CD$16,$BL$17))))))</f>
        <v/>
      </c>
      <c r="K111" s="42" t="str">
        <f>IF($CD$17="","",IF($BK$17="C","NHÓM CHÍNH",IF($BK$17="V","NHÓM VƯỢT TRỘI",IF($BL$17="","",INDEX($BA$3:$BA$22,INDEX(Tính!$C$278:$V$322,$CD$17,$BL$17))))))</f>
        <v/>
      </c>
      <c r="L111" s="43" t="str">
        <f>IF(OR($CD$17="",$BL$17=""),"",INDEX(Tính!$C$86:$V$130,$CD$17,INDEX(Tính!$C$278:$V$322,$CD$17,$BL$17)))</f>
        <v/>
      </c>
      <c r="M111" s="43" t="str">
        <f>IF(OR($CD$17="",$BL$17=""),"",INDEX(Tính!$C$134:$V$178,$CD$17,INDEX(Tính!$C$278:$V$322,$CD$17,$BL$17)))</f>
        <v/>
      </c>
      <c r="N111" s="44" t="str">
        <f>IF($CD$17="","",IF($BK$17="C",INDEX(Tính!$Q$39:$Q$83,$CD$17)&amp;"/"&amp;$BK$1,IF($BK$17="V",INDEX(Tính!$R$39:$R$83,$CD$17)&amp;"/"&amp;$BL$1,IF($BL$17="","",INDEX(Tính!$C$182:$V$226,$CD$17,INDEX(Tính!$C$278:$V$322,$CD$17,$BL$17))))))</f>
        <v/>
      </c>
      <c r="P111" s="42" t="str">
        <f>IF($CD$18="","",IF($BK$17="C","NHÓM CHÍNH",IF($BK$17="V","NHÓM VƯỢT TRỘI",IF($BL$17="","",INDEX($BA$3:$BA$22,INDEX(Tính!$C$278:$V$322,$CD$18,$BL$17))))))</f>
        <v/>
      </c>
      <c r="Q111" s="43" t="str">
        <f>IF(OR($CD$18="",$BL$17=""),"",INDEX(Tính!$C$86:$V$130,$CD$18,INDEX(Tính!$C$278:$V$322,$CD$18,$BL$17)))</f>
        <v/>
      </c>
      <c r="R111" s="43" t="str">
        <f>IF(OR($CD$18="",$BL$17=""),"",INDEX(Tính!$C$134:$V$178,$CD$18,INDEX(Tính!$C$278:$V$322,$CD$18,$BL$17)))</f>
        <v/>
      </c>
      <c r="S111" s="44" t="str">
        <f>IF($CD$18="","",IF($BK$17="C",INDEX(Tính!$Q$39:$Q$83,$CD$18)&amp;"/"&amp;$BK$1,IF($BK$17="V",INDEX(Tính!$R$39:$R$83,$CD$18)&amp;"/"&amp;$BL$1,IF($BL$17="","",INDEX(Tính!$C$182:$V$226,$CD$18,INDEX(Tính!$C$278:$V$322,$CD$18,$BL$17))))))</f>
        <v/>
      </c>
    </row>
    <row r="112" spans="1:19" x14ac:dyDescent="0.3">
      <c r="A112" s="42" t="str">
        <f>IF($CD$15="","",IF($BK$18="C","NHÓM CHÍNH",IF($BK$18="V","NHÓM VƯỢT TRỘI",IF($BL$18="","",INDEX($BA$3:$BA$22,INDEX(Tính!$C$278:$V$322,$CD$15,$BL$18))))))</f>
        <v/>
      </c>
      <c r="B112" s="43" t="str">
        <f>IF(OR($CD$15="",$BL$18=""),"",INDEX(Tính!$C$86:$V$130,$CD$15,INDEX(Tính!$C$278:$V$322,$CD$15,$BL$18)))</f>
        <v/>
      </c>
      <c r="C112" s="43" t="str">
        <f>IF(OR($CD$15="",$BL$18=""),"",INDEX(Tính!$C$134:$V$178,$CD$15,INDEX(Tính!$C$278:$V$322,$CD$15,$BL$18)))</f>
        <v/>
      </c>
      <c r="D112" s="44" t="str">
        <f>IF($CD$15="","",IF($BK$18="C",INDEX(Tính!$Q$39:$Q$83,$CD$15)&amp;"/"&amp;$BK$1,IF($BK$18="V",INDEX(Tính!$R$39:$R$83,$CD$15)&amp;"/"&amp;$BL$1,IF($BL$18="","",INDEX(Tính!$C$182:$V$226,$CD$15,INDEX(Tính!$C$278:$V$322,$CD$15,$BL$18))))))</f>
        <v/>
      </c>
      <c r="F112" s="42" t="str">
        <f>IF($CD$16="","",IF($BK$18="C","NHÓM CHÍNH",IF($BK$18="V","NHÓM VƯỢT TRỘI",IF($BL$18="","",INDEX($BA$3:$BA$22,INDEX(Tính!$C$278:$V$322,$CD$16,$BL$18))))))</f>
        <v/>
      </c>
      <c r="G112" s="43" t="str">
        <f>IF(OR($CD$16="",$BL$18=""),"",INDEX(Tính!$C$86:$V$130,$CD$16,INDEX(Tính!$C$278:$V$322,$CD$16,$BL$18)))</f>
        <v/>
      </c>
      <c r="H112" s="43" t="str">
        <f>IF(OR($CD$16="",$BL$18=""),"",INDEX(Tính!$C$134:$V$178,$CD$16,INDEX(Tính!$C$278:$V$322,$CD$16,$BL$18)))</f>
        <v/>
      </c>
      <c r="I112" s="44" t="str">
        <f>IF($CD$16="","",IF($BK$18="C",INDEX(Tính!$Q$39:$Q$83,$CD$16)&amp;"/"&amp;$BK$1,IF($BK$18="V",INDEX(Tính!$R$39:$R$83,$CD$16)&amp;"/"&amp;$BL$1,IF($BL$18="","",INDEX(Tính!$C$182:$V$226,$CD$16,INDEX(Tính!$C$278:$V$322,$CD$16,$BL$18))))))</f>
        <v/>
      </c>
      <c r="K112" s="42" t="str">
        <f>IF($CD$17="","",IF($BK$18="C","NHÓM CHÍNH",IF($BK$18="V","NHÓM VƯỢT TRỘI",IF($BL$18="","",INDEX($BA$3:$BA$22,INDEX(Tính!$C$278:$V$322,$CD$17,$BL$18))))))</f>
        <v/>
      </c>
      <c r="L112" s="43" t="str">
        <f>IF(OR($CD$17="",$BL$18=""),"",INDEX(Tính!$C$86:$V$130,$CD$17,INDEX(Tính!$C$278:$V$322,$CD$17,$BL$18)))</f>
        <v/>
      </c>
      <c r="M112" s="43" t="str">
        <f>IF(OR($CD$17="",$BL$18=""),"",INDEX(Tính!$C$134:$V$178,$CD$17,INDEX(Tính!$C$278:$V$322,$CD$17,$BL$18)))</f>
        <v/>
      </c>
      <c r="N112" s="44" t="str">
        <f>IF($CD$17="","",IF($BK$18="C",INDEX(Tính!$Q$39:$Q$83,$CD$17)&amp;"/"&amp;$BK$1,IF($BK$18="V",INDEX(Tính!$R$39:$R$83,$CD$17)&amp;"/"&amp;$BL$1,IF($BL$18="","",INDEX(Tính!$C$182:$V$226,$CD$17,INDEX(Tính!$C$278:$V$322,$CD$17,$BL$18))))))</f>
        <v/>
      </c>
      <c r="P112" s="42" t="str">
        <f>IF($CD$18="","",IF($BK$18="C","NHÓM CHÍNH",IF($BK$18="V","NHÓM VƯỢT TRỘI",IF($BL$18="","",INDEX($BA$3:$BA$22,INDEX(Tính!$C$278:$V$322,$CD$18,$BL$18))))))</f>
        <v/>
      </c>
      <c r="Q112" s="43" t="str">
        <f>IF(OR($CD$18="",$BL$18=""),"",INDEX(Tính!$C$86:$V$130,$CD$18,INDEX(Tính!$C$278:$V$322,$CD$18,$BL$18)))</f>
        <v/>
      </c>
      <c r="R112" s="43" t="str">
        <f>IF(OR($CD$18="",$BL$18=""),"",INDEX(Tính!$C$134:$V$178,$CD$18,INDEX(Tính!$C$278:$V$322,$CD$18,$BL$18)))</f>
        <v/>
      </c>
      <c r="S112" s="44" t="str">
        <f>IF($CD$18="","",IF($BK$18="C",INDEX(Tính!$Q$39:$Q$83,$CD$18)&amp;"/"&amp;$BK$1,IF($BK$18="V",INDEX(Tính!$R$39:$R$83,$CD$18)&amp;"/"&amp;$BL$1,IF($BL$18="","",INDEX(Tính!$C$182:$V$226,$CD$18,INDEX(Tính!$C$278:$V$322,$CD$18,$BL$18))))))</f>
        <v/>
      </c>
    </row>
    <row r="113" spans="1:19" x14ac:dyDescent="0.3">
      <c r="A113" s="42" t="str">
        <f>IF($CD$15="","",IF($BK$19="C","NHÓM CHÍNH",IF($BK$19="V","NHÓM VƯỢT TRỘI",IF($BL$19="","",INDEX($BA$3:$BA$22,INDEX(Tính!$C$278:$V$322,$CD$15,$BL$19))))))</f>
        <v/>
      </c>
      <c r="B113" s="43" t="str">
        <f>IF(OR($CD$15="",$BL$19=""),"",INDEX(Tính!$C$86:$V$130,$CD$15,INDEX(Tính!$C$278:$V$322,$CD$15,$BL$19)))</f>
        <v/>
      </c>
      <c r="C113" s="43" t="str">
        <f>IF(OR($CD$15="",$BL$19=""),"",INDEX(Tính!$C$134:$V$178,$CD$15,INDEX(Tính!$C$278:$V$322,$CD$15,$BL$19)))</f>
        <v/>
      </c>
      <c r="D113" s="44" t="str">
        <f>IF($CD$15="","",IF($BK$19="C",INDEX(Tính!$Q$39:$Q$83,$CD$15)&amp;"/"&amp;$BK$1,IF($BK$19="V",INDEX(Tính!$R$39:$R$83,$CD$15)&amp;"/"&amp;$BL$1,IF($BL$19="","",INDEX(Tính!$C$182:$V$226,$CD$15,INDEX(Tính!$C$278:$V$322,$CD$15,$BL$19))))))</f>
        <v/>
      </c>
      <c r="F113" s="42" t="str">
        <f>IF($CD$16="","",IF($BK$19="C","NHÓM CHÍNH",IF($BK$19="V","NHÓM VƯỢT TRỘI",IF($BL$19="","",INDEX($BA$3:$BA$22,INDEX(Tính!$C$278:$V$322,$CD$16,$BL$19))))))</f>
        <v/>
      </c>
      <c r="G113" s="43" t="str">
        <f>IF(OR($CD$16="",$BL$19=""),"",INDEX(Tính!$C$86:$V$130,$CD$16,INDEX(Tính!$C$278:$V$322,$CD$16,$BL$19)))</f>
        <v/>
      </c>
      <c r="H113" s="43" t="str">
        <f>IF(OR($CD$16="",$BL$19=""),"",INDEX(Tính!$C$134:$V$178,$CD$16,INDEX(Tính!$C$278:$V$322,$CD$16,$BL$19)))</f>
        <v/>
      </c>
      <c r="I113" s="44" t="str">
        <f>IF($CD$16="","",IF($BK$19="C",INDEX(Tính!$Q$39:$Q$83,$CD$16)&amp;"/"&amp;$BK$1,IF($BK$19="V",INDEX(Tính!$R$39:$R$83,$CD$16)&amp;"/"&amp;$BL$1,IF($BL$19="","",INDEX(Tính!$C$182:$V$226,$CD$16,INDEX(Tính!$C$278:$V$322,$CD$16,$BL$19))))))</f>
        <v/>
      </c>
      <c r="K113" s="42" t="str">
        <f>IF($CD$17="","",IF($BK$19="C","NHÓM CHÍNH",IF($BK$19="V","NHÓM VƯỢT TRỘI",IF($BL$19="","",INDEX($BA$3:$BA$22,INDEX(Tính!$C$278:$V$322,$CD$17,$BL$19))))))</f>
        <v/>
      </c>
      <c r="L113" s="43" t="str">
        <f>IF(OR($CD$17="",$BL$19=""),"",INDEX(Tính!$C$86:$V$130,$CD$17,INDEX(Tính!$C$278:$V$322,$CD$17,$BL$19)))</f>
        <v/>
      </c>
      <c r="M113" s="43" t="str">
        <f>IF(OR($CD$17="",$BL$19=""),"",INDEX(Tính!$C$134:$V$178,$CD$17,INDEX(Tính!$C$278:$V$322,$CD$17,$BL$19)))</f>
        <v/>
      </c>
      <c r="N113" s="44" t="str">
        <f>IF($CD$17="","",IF($BK$19="C",INDEX(Tính!$Q$39:$Q$83,$CD$17)&amp;"/"&amp;$BK$1,IF($BK$19="V",INDEX(Tính!$R$39:$R$83,$CD$17)&amp;"/"&amp;$BL$1,IF($BL$19="","",INDEX(Tính!$C$182:$V$226,$CD$17,INDEX(Tính!$C$278:$V$322,$CD$17,$BL$19))))))</f>
        <v/>
      </c>
      <c r="P113" s="42" t="str">
        <f>IF($CD$18="","",IF($BK$19="C","NHÓM CHÍNH",IF($BK$19="V","NHÓM VƯỢT TRỘI",IF($BL$19="","",INDEX($BA$3:$BA$22,INDEX(Tính!$C$278:$V$322,$CD$18,$BL$19))))))</f>
        <v/>
      </c>
      <c r="Q113" s="43" t="str">
        <f>IF(OR($CD$18="",$BL$19=""),"",INDEX(Tính!$C$86:$V$130,$CD$18,INDEX(Tính!$C$278:$V$322,$CD$18,$BL$19)))</f>
        <v/>
      </c>
      <c r="R113" s="43" t="str">
        <f>IF(OR($CD$18="",$BL$19=""),"",INDEX(Tính!$C$134:$V$178,$CD$18,INDEX(Tính!$C$278:$V$322,$CD$18,$BL$19)))</f>
        <v/>
      </c>
      <c r="S113" s="44" t="str">
        <f>IF($CD$18="","",IF($BK$19="C",INDEX(Tính!$Q$39:$Q$83,$CD$18)&amp;"/"&amp;$BK$1,IF($BK$19="V",INDEX(Tính!$R$39:$R$83,$CD$18)&amp;"/"&amp;$BL$1,IF($BL$19="","",INDEX(Tính!$C$182:$V$226,$CD$18,INDEX(Tính!$C$278:$V$322,$CD$18,$BL$19))))))</f>
        <v/>
      </c>
    </row>
    <row r="114" spans="1:19" x14ac:dyDescent="0.3">
      <c r="A114" s="42" t="str">
        <f>IF($CD$15="","",IF($BK$20="C","NHÓM CHÍNH",IF($BK$20="V","NHÓM VƯỢT TRỘI",IF($BL$20="","",INDEX($BA$3:$BA$22,INDEX(Tính!$C$278:$V$322,$CD$15,$BL$20))))))</f>
        <v/>
      </c>
      <c r="B114" s="43" t="str">
        <f>IF(OR($CD$15="",$BL$20=""),"",INDEX(Tính!$C$86:$V$130,$CD$15,INDEX(Tính!$C$278:$V$322,$CD$15,$BL$20)))</f>
        <v/>
      </c>
      <c r="C114" s="43" t="str">
        <f>IF(OR($CD$15="",$BL$20=""),"",INDEX(Tính!$C$134:$V$178,$CD$15,INDEX(Tính!$C$278:$V$322,$CD$15,$BL$20)))</f>
        <v/>
      </c>
      <c r="D114" s="44" t="str">
        <f>IF($CD$15="","",IF($BK$20="C",INDEX(Tính!$Q$39:$Q$83,$CD$15)&amp;"/"&amp;$BK$1,IF($BK$20="V",INDEX(Tính!$R$39:$R$83,$CD$15)&amp;"/"&amp;$BL$1,IF($BL$20="","",INDEX(Tính!$C$182:$V$226,$CD$15,INDEX(Tính!$C$278:$V$322,$CD$15,$BL$20))))))</f>
        <v/>
      </c>
      <c r="F114" s="42" t="str">
        <f>IF($CD$16="","",IF($BK$20="C","NHÓM CHÍNH",IF($BK$20="V","NHÓM VƯỢT TRỘI",IF($BL$20="","",INDEX($BA$3:$BA$22,INDEX(Tính!$C$278:$V$322,$CD$16,$BL$20))))))</f>
        <v/>
      </c>
      <c r="G114" s="43" t="str">
        <f>IF(OR($CD$16="",$BL$20=""),"",INDEX(Tính!$C$86:$V$130,$CD$16,INDEX(Tính!$C$278:$V$322,$CD$16,$BL$20)))</f>
        <v/>
      </c>
      <c r="H114" s="43" t="str">
        <f>IF(OR($CD$16="",$BL$20=""),"",INDEX(Tính!$C$134:$V$178,$CD$16,INDEX(Tính!$C$278:$V$322,$CD$16,$BL$20)))</f>
        <v/>
      </c>
      <c r="I114" s="44" t="str">
        <f>IF($CD$16="","",IF($BK$20="C",INDEX(Tính!$Q$39:$Q$83,$CD$16)&amp;"/"&amp;$BK$1,IF($BK$20="V",INDEX(Tính!$R$39:$R$83,$CD$16)&amp;"/"&amp;$BL$1,IF($BL$20="","",INDEX(Tính!$C$182:$V$226,$CD$16,INDEX(Tính!$C$278:$V$322,$CD$16,$BL$20))))))</f>
        <v/>
      </c>
      <c r="K114" s="42" t="str">
        <f>IF($CD$17="","",IF($BK$20="C","NHÓM CHÍNH",IF($BK$20="V","NHÓM VƯỢT TRỘI",IF($BL$20="","",INDEX($BA$3:$BA$22,INDEX(Tính!$C$278:$V$322,$CD$17,$BL$20))))))</f>
        <v/>
      </c>
      <c r="L114" s="43" t="str">
        <f>IF(OR($CD$17="",$BL$20=""),"",INDEX(Tính!$C$86:$V$130,$CD$17,INDEX(Tính!$C$278:$V$322,$CD$17,$BL$20)))</f>
        <v/>
      </c>
      <c r="M114" s="43" t="str">
        <f>IF(OR($CD$17="",$BL$20=""),"",INDEX(Tính!$C$134:$V$178,$CD$17,INDEX(Tính!$C$278:$V$322,$CD$17,$BL$20)))</f>
        <v/>
      </c>
      <c r="N114" s="44" t="str">
        <f>IF($CD$17="","",IF($BK$20="C",INDEX(Tính!$Q$39:$Q$83,$CD$17)&amp;"/"&amp;$BK$1,IF($BK$20="V",INDEX(Tính!$R$39:$R$83,$CD$17)&amp;"/"&amp;$BL$1,IF($BL$20="","",INDEX(Tính!$C$182:$V$226,$CD$17,INDEX(Tính!$C$278:$V$322,$CD$17,$BL$20))))))</f>
        <v/>
      </c>
      <c r="P114" s="42" t="str">
        <f>IF($CD$18="","",IF($BK$20="C","NHÓM CHÍNH",IF($BK$20="V","NHÓM VƯỢT TRỘI",IF($BL$20="","",INDEX($BA$3:$BA$22,INDEX(Tính!$C$278:$V$322,$CD$18,$BL$20))))))</f>
        <v/>
      </c>
      <c r="Q114" s="43" t="str">
        <f>IF(OR($CD$18="",$BL$20=""),"",INDEX(Tính!$C$86:$V$130,$CD$18,INDEX(Tính!$C$278:$V$322,$CD$18,$BL$20)))</f>
        <v/>
      </c>
      <c r="R114" s="43" t="str">
        <f>IF(OR($CD$18="",$BL$20=""),"",INDEX(Tính!$C$134:$V$178,$CD$18,INDEX(Tính!$C$278:$V$322,$CD$18,$BL$20)))</f>
        <v/>
      </c>
      <c r="S114" s="44" t="str">
        <f>IF($CD$18="","",IF($BK$20="C",INDEX(Tính!$Q$39:$Q$83,$CD$18)&amp;"/"&amp;$BK$1,IF($BK$20="V",INDEX(Tính!$R$39:$R$83,$CD$18)&amp;"/"&amp;$BL$1,IF($BL$20="","",INDEX(Tính!$C$182:$V$226,$CD$18,INDEX(Tính!$C$278:$V$322,$CD$18,$BL$20))))))</f>
        <v/>
      </c>
    </row>
    <row r="115" spans="1:19" x14ac:dyDescent="0.3">
      <c r="A115" s="42" t="str">
        <f>IF($CD$15="","",IF($BK$21="C","NHÓM CHÍNH",IF($BK$21="V","NHÓM VƯỢT TRỘI",IF($BL$21="","",INDEX($BA$3:$BA$22,INDEX(Tính!$C$278:$V$322,$CD$15,$BL$21))))))</f>
        <v/>
      </c>
      <c r="B115" s="43" t="str">
        <f>IF(OR($CD$15="",$BL$21=""),"",INDEX(Tính!$C$86:$V$130,$CD$15,INDEX(Tính!$C$278:$V$322,$CD$15,$BL$21)))</f>
        <v/>
      </c>
      <c r="C115" s="43" t="str">
        <f>IF(OR($CD$15="",$BL$21=""),"",INDEX(Tính!$C$134:$V$178,$CD$15,INDEX(Tính!$C$278:$V$322,$CD$15,$BL$21)))</f>
        <v/>
      </c>
      <c r="D115" s="44" t="str">
        <f>IF($CD$15="","",IF($BK$21="C",INDEX(Tính!$Q$39:$Q$83,$CD$15)&amp;"/"&amp;$BK$1,IF($BK$21="V",INDEX(Tính!$R$39:$R$83,$CD$15)&amp;"/"&amp;$BL$1,IF($BL$21="","",INDEX(Tính!$C$182:$V$226,$CD$15,INDEX(Tính!$C$278:$V$322,$CD$15,$BL$21))))))</f>
        <v/>
      </c>
      <c r="F115" s="42" t="str">
        <f>IF($CD$16="","",IF($BK$21="C","NHÓM CHÍNH",IF($BK$21="V","NHÓM VƯỢT TRỘI",IF($BL$21="","",INDEX($BA$3:$BA$22,INDEX(Tính!$C$278:$V$322,$CD$16,$BL$21))))))</f>
        <v/>
      </c>
      <c r="G115" s="43" t="str">
        <f>IF(OR($CD$16="",$BL$21=""),"",INDEX(Tính!$C$86:$V$130,$CD$16,INDEX(Tính!$C$278:$V$322,$CD$16,$BL$21)))</f>
        <v/>
      </c>
      <c r="H115" s="43" t="str">
        <f>IF(OR($CD$16="",$BL$21=""),"",INDEX(Tính!$C$134:$V$178,$CD$16,INDEX(Tính!$C$278:$V$322,$CD$16,$BL$21)))</f>
        <v/>
      </c>
      <c r="I115" s="44" t="str">
        <f>IF($CD$16="","",IF($BK$21="C",INDEX(Tính!$Q$39:$Q$83,$CD$16)&amp;"/"&amp;$BK$1,IF($BK$21="V",INDEX(Tính!$R$39:$R$83,$CD$16)&amp;"/"&amp;$BL$1,IF($BL$21="","",INDEX(Tính!$C$182:$V$226,$CD$16,INDEX(Tính!$C$278:$V$322,$CD$16,$BL$21))))))</f>
        <v/>
      </c>
      <c r="K115" s="42" t="str">
        <f>IF($CD$17="","",IF($BK$21="C","NHÓM CHÍNH",IF($BK$21="V","NHÓM VƯỢT TRỘI",IF($BL$21="","",INDEX($BA$3:$BA$22,INDEX(Tính!$C$278:$V$322,$CD$17,$BL$21))))))</f>
        <v/>
      </c>
      <c r="L115" s="43" t="str">
        <f>IF(OR($CD$17="",$BL$21=""),"",INDEX(Tính!$C$86:$V$130,$CD$17,INDEX(Tính!$C$278:$V$322,$CD$17,$BL$21)))</f>
        <v/>
      </c>
      <c r="M115" s="43" t="str">
        <f>IF(OR($CD$17="",$BL$21=""),"",INDEX(Tính!$C$134:$V$178,$CD$17,INDEX(Tính!$C$278:$V$322,$CD$17,$BL$21)))</f>
        <v/>
      </c>
      <c r="N115" s="44" t="str">
        <f>IF($CD$17="","",IF($BK$21="C",INDEX(Tính!$Q$39:$Q$83,$CD$17)&amp;"/"&amp;$BK$1,IF($BK$21="V",INDEX(Tính!$R$39:$R$83,$CD$17)&amp;"/"&amp;$BL$1,IF($BL$21="","",INDEX(Tính!$C$182:$V$226,$CD$17,INDEX(Tính!$C$278:$V$322,$CD$17,$BL$21))))))</f>
        <v/>
      </c>
      <c r="P115" s="42" t="str">
        <f>IF($CD$18="","",IF($BK$21="C","NHÓM CHÍNH",IF($BK$21="V","NHÓM VƯỢT TRỘI",IF($BL$21="","",INDEX($BA$3:$BA$22,INDEX(Tính!$C$278:$V$322,$CD$18,$BL$21))))))</f>
        <v/>
      </c>
      <c r="Q115" s="43" t="str">
        <f>IF(OR($CD$18="",$BL$21=""),"",INDEX(Tính!$C$86:$V$130,$CD$18,INDEX(Tính!$C$278:$V$322,$CD$18,$BL$21)))</f>
        <v/>
      </c>
      <c r="R115" s="43" t="str">
        <f>IF(OR($CD$18="",$BL$21=""),"",INDEX(Tính!$C$134:$V$178,$CD$18,INDEX(Tính!$C$278:$V$322,$CD$18,$BL$21)))</f>
        <v/>
      </c>
      <c r="S115" s="44" t="str">
        <f>IF($CD$18="","",IF($BK$21="C",INDEX(Tính!$Q$39:$Q$83,$CD$18)&amp;"/"&amp;$BK$1,IF($BK$21="V",INDEX(Tính!$R$39:$R$83,$CD$18)&amp;"/"&amp;$BL$1,IF($BL$21="","",INDEX(Tính!$C$182:$V$226,$CD$18,INDEX(Tính!$C$278:$V$322,$CD$18,$BL$21))))))</f>
        <v/>
      </c>
    </row>
    <row r="116" spans="1:19" x14ac:dyDescent="0.3">
      <c r="A116" s="42" t="str">
        <f>IF($CD$15="","",IF($BK$22="C","NHÓM CHÍNH",IF($BK$22="V","NHÓM VƯỢT TRỘI",IF($BL$22="","",INDEX($BA$3:$BA$22,INDEX(Tính!$C$278:$V$322,$CD$15,$BL$22))))))</f>
        <v/>
      </c>
      <c r="B116" s="43" t="str">
        <f>IF(OR($CD$15="",$BL$22=""),"",INDEX(Tính!$C$86:$V$130,$CD$15,INDEX(Tính!$C$278:$V$322,$CD$15,$BL$22)))</f>
        <v/>
      </c>
      <c r="C116" s="43" t="str">
        <f>IF(OR($CD$15="",$BL$22=""),"",INDEX(Tính!$C$134:$V$178,$CD$15,INDEX(Tính!$C$278:$V$322,$CD$15,$BL$22)))</f>
        <v/>
      </c>
      <c r="D116" s="44" t="str">
        <f>IF($CD$15="","",IF($BK$22="C",INDEX(Tính!$Q$39:$Q$83,$CD$15)&amp;"/"&amp;$BK$1,IF($BK$22="V",INDEX(Tính!$R$39:$R$83,$CD$15)&amp;"/"&amp;$BL$1,IF($BL$22="","",INDEX(Tính!$C$182:$V$226,$CD$15,INDEX(Tính!$C$278:$V$322,$CD$15,$BL$22))))))</f>
        <v/>
      </c>
      <c r="F116" s="42" t="str">
        <f>IF($CD$16="","",IF($BK$22="C","NHÓM CHÍNH",IF($BK$22="V","NHÓM VƯỢT TRỘI",IF($BL$22="","",INDEX($BA$3:$BA$22,INDEX(Tính!$C$278:$V$322,$CD$16,$BL$22))))))</f>
        <v/>
      </c>
      <c r="G116" s="43" t="str">
        <f>IF(OR($CD$16="",$BL$22=""),"",INDEX(Tính!$C$86:$V$130,$CD$16,INDEX(Tính!$C$278:$V$322,$CD$16,$BL$22)))</f>
        <v/>
      </c>
      <c r="H116" s="43" t="str">
        <f>IF(OR($CD$16="",$BL$22=""),"",INDEX(Tính!$C$134:$V$178,$CD$16,INDEX(Tính!$C$278:$V$322,$CD$16,$BL$22)))</f>
        <v/>
      </c>
      <c r="I116" s="44" t="str">
        <f>IF($CD$16="","",IF($BK$22="C",INDEX(Tính!$Q$39:$Q$83,$CD$16)&amp;"/"&amp;$BK$1,IF($BK$22="V",INDEX(Tính!$R$39:$R$83,$CD$16)&amp;"/"&amp;$BL$1,IF($BL$22="","",INDEX(Tính!$C$182:$V$226,$CD$16,INDEX(Tính!$C$278:$V$322,$CD$16,$BL$22))))))</f>
        <v/>
      </c>
      <c r="K116" s="42" t="str">
        <f>IF($CD$17="","",IF($BK$22="C","NHÓM CHÍNH",IF($BK$22="V","NHÓM VƯỢT TRỘI",IF($BL$22="","",INDEX($BA$3:$BA$22,INDEX(Tính!$C$278:$V$322,$CD$17,$BL$22))))))</f>
        <v/>
      </c>
      <c r="L116" s="43" t="str">
        <f>IF(OR($CD$17="",$BL$22=""),"",INDEX(Tính!$C$86:$V$130,$CD$17,INDEX(Tính!$C$278:$V$322,$CD$17,$BL$22)))</f>
        <v/>
      </c>
      <c r="M116" s="43" t="str">
        <f>IF(OR($CD$17="",$BL$22=""),"",INDEX(Tính!$C$134:$V$178,$CD$17,INDEX(Tính!$C$278:$V$322,$CD$17,$BL$22)))</f>
        <v/>
      </c>
      <c r="N116" s="44" t="str">
        <f>IF($CD$17="","",IF($BK$22="C",INDEX(Tính!$Q$39:$Q$83,$CD$17)&amp;"/"&amp;$BK$1,IF($BK$22="V",INDEX(Tính!$R$39:$R$83,$CD$17)&amp;"/"&amp;$BL$1,IF($BL$22="","",INDEX(Tính!$C$182:$V$226,$CD$17,INDEX(Tính!$C$278:$V$322,$CD$17,$BL$22))))))</f>
        <v/>
      </c>
      <c r="P116" s="42" t="str">
        <f>IF($CD$18="","",IF($BK$22="C","NHÓM CHÍNH",IF($BK$22="V","NHÓM VƯỢT TRỘI",IF($BL$22="","",INDEX($BA$3:$BA$22,INDEX(Tính!$C$278:$V$322,$CD$18,$BL$22))))))</f>
        <v/>
      </c>
      <c r="Q116" s="43" t="str">
        <f>IF(OR($CD$18="",$BL$22=""),"",INDEX(Tính!$C$86:$V$130,$CD$18,INDEX(Tính!$C$278:$V$322,$CD$18,$BL$22)))</f>
        <v/>
      </c>
      <c r="R116" s="43" t="str">
        <f>IF(OR($CD$18="",$BL$22=""),"",INDEX(Tính!$C$134:$V$178,$CD$18,INDEX(Tính!$C$278:$V$322,$CD$18,$BL$22)))</f>
        <v/>
      </c>
      <c r="S116" s="44" t="str">
        <f>IF($CD$18="","",IF($BK$22="C",INDEX(Tính!$Q$39:$Q$83,$CD$18)&amp;"/"&amp;$BK$1,IF($BK$22="V",INDEX(Tính!$R$39:$R$83,$CD$18)&amp;"/"&amp;$BL$1,IF($BL$22="","",INDEX(Tính!$C$182:$V$226,$CD$18,INDEX(Tính!$C$278:$V$322,$CD$18,$BL$22))))))</f>
        <v/>
      </c>
    </row>
    <row r="117" spans="1:19" x14ac:dyDescent="0.3">
      <c r="A117" s="42" t="str">
        <f>IF($CD$15="","",IF($BK$23="C","NHÓM CHÍNH",IF($BK$23="V","NHÓM VƯỢT TRỘI",IF($BL$23="","",INDEX($BA$3:$BA$22,INDEX(Tính!$C$278:$V$322,$CD$15,$BL$23))))))</f>
        <v/>
      </c>
      <c r="B117" s="43" t="str">
        <f>IF(OR($CD$15="",$BL$23=""),"",INDEX(Tính!$C$86:$V$130,$CD$15,INDEX(Tính!$C$278:$V$322,$CD$15,$BL$23)))</f>
        <v/>
      </c>
      <c r="C117" s="43" t="str">
        <f>IF(OR($CD$15="",$BL$23=""),"",INDEX(Tính!$C$134:$V$178,$CD$15,INDEX(Tính!$C$278:$V$322,$CD$15,$BL$23)))</f>
        <v/>
      </c>
      <c r="D117" s="44" t="str">
        <f>IF($CD$15="","",IF($BK$23="C",INDEX(Tính!$Q$39:$Q$83,$CD$15)&amp;"/"&amp;$BK$1,IF($BK$23="V",INDEX(Tính!$R$39:$R$83,$CD$15)&amp;"/"&amp;$BL$1,IF($BL$23="","",INDEX(Tính!$C$182:$V$226,$CD$15,INDEX(Tính!$C$278:$V$322,$CD$15,$BL$23))))))</f>
        <v/>
      </c>
      <c r="F117" s="42" t="str">
        <f>IF($CD$16="","",IF($BK$23="C","NHÓM CHÍNH",IF($BK$23="V","NHÓM VƯỢT TRỘI",IF($BL$23="","",INDEX($BA$3:$BA$22,INDEX(Tính!$C$278:$V$322,$CD$16,$BL$23))))))</f>
        <v/>
      </c>
      <c r="G117" s="43" t="str">
        <f>IF(OR($CD$16="",$BL$23=""),"",INDEX(Tính!$C$86:$V$130,$CD$16,INDEX(Tính!$C$278:$V$322,$CD$16,$BL$23)))</f>
        <v/>
      </c>
      <c r="H117" s="43" t="str">
        <f>IF(OR($CD$16="",$BL$23=""),"",INDEX(Tính!$C$134:$V$178,$CD$16,INDEX(Tính!$C$278:$V$322,$CD$16,$BL$23)))</f>
        <v/>
      </c>
      <c r="I117" s="44" t="str">
        <f>IF($CD$16="","",IF($BK$23="C",INDEX(Tính!$Q$39:$Q$83,$CD$16)&amp;"/"&amp;$BK$1,IF($BK$23="V",INDEX(Tính!$R$39:$R$83,$CD$16)&amp;"/"&amp;$BL$1,IF($BL$23="","",INDEX(Tính!$C$182:$V$226,$CD$16,INDEX(Tính!$C$278:$V$322,$CD$16,$BL$23))))))</f>
        <v/>
      </c>
      <c r="K117" s="42" t="str">
        <f>IF($CD$17="","",IF($BK$23="C","NHÓM CHÍNH",IF($BK$23="V","NHÓM VƯỢT TRỘI",IF($BL$23="","",INDEX($BA$3:$BA$22,INDEX(Tính!$C$278:$V$322,$CD$17,$BL$23))))))</f>
        <v/>
      </c>
      <c r="L117" s="43" t="str">
        <f>IF(OR($CD$17="",$BL$23=""),"",INDEX(Tính!$C$86:$V$130,$CD$17,INDEX(Tính!$C$278:$V$322,$CD$17,$BL$23)))</f>
        <v/>
      </c>
      <c r="M117" s="43" t="str">
        <f>IF(OR($CD$17="",$BL$23=""),"",INDEX(Tính!$C$134:$V$178,$CD$17,INDEX(Tính!$C$278:$V$322,$CD$17,$BL$23)))</f>
        <v/>
      </c>
      <c r="N117" s="44" t="str">
        <f>IF($CD$17="","",IF($BK$23="C",INDEX(Tính!$Q$39:$Q$83,$CD$17)&amp;"/"&amp;$BK$1,IF($BK$23="V",INDEX(Tính!$R$39:$R$83,$CD$17)&amp;"/"&amp;$BL$1,IF($BL$23="","",INDEX(Tính!$C$182:$V$226,$CD$17,INDEX(Tính!$C$278:$V$322,$CD$17,$BL$23))))))</f>
        <v/>
      </c>
      <c r="P117" s="42" t="str">
        <f>IF($CD$18="","",IF($BK$23="C","NHÓM CHÍNH",IF($BK$23="V","NHÓM VƯỢT TRỘI",IF($BL$23="","",INDEX($BA$3:$BA$22,INDEX(Tính!$C$278:$V$322,$CD$18,$BL$23))))))</f>
        <v/>
      </c>
      <c r="Q117" s="43" t="str">
        <f>IF(OR($CD$18="",$BL$23=""),"",INDEX(Tính!$C$86:$V$130,$CD$18,INDEX(Tính!$C$278:$V$322,$CD$18,$BL$23)))</f>
        <v/>
      </c>
      <c r="R117" s="43" t="str">
        <f>IF(OR($CD$18="",$BL$23=""),"",INDEX(Tính!$C$134:$V$178,$CD$18,INDEX(Tính!$C$278:$V$322,$CD$18,$BL$23)))</f>
        <v/>
      </c>
      <c r="S117" s="44" t="str">
        <f>IF($CD$18="","",IF($BK$23="C",INDEX(Tính!$Q$39:$Q$83,$CD$18)&amp;"/"&amp;$BK$1,IF($BK$23="V",INDEX(Tính!$R$39:$R$83,$CD$18)&amp;"/"&amp;$BL$1,IF($BL$23="","",INDEX(Tính!$C$182:$V$226,$CD$18,INDEX(Tính!$C$278:$V$322,$CD$18,$BL$23))))))</f>
        <v/>
      </c>
    </row>
    <row r="118" spans="1:19" x14ac:dyDescent="0.3">
      <c r="A118" s="42" t="str">
        <f>IF($CD$15="","",IF($BK$24="C","NHÓM CHÍNH",IF($BK$24="V","NHÓM VƯỢT TRỘI",IF($BL$24="","",INDEX($BA$3:$BA$22,INDEX(Tính!$C$278:$V$322,$CD$15,$BL$24))))))</f>
        <v/>
      </c>
      <c r="B118" s="43" t="str">
        <f>IF(OR($CD$15="",$BL$24=""),"",INDEX(Tính!$C$86:$V$130,$CD$15,INDEX(Tính!$C$278:$V$322,$CD$15,$BL$24)))</f>
        <v/>
      </c>
      <c r="C118" s="43" t="str">
        <f>IF(OR($CD$15="",$BL$24=""),"",INDEX(Tính!$C$134:$V$178,$CD$15,INDEX(Tính!$C$278:$V$322,$CD$15,$BL$24)))</f>
        <v/>
      </c>
      <c r="D118" s="44" t="str">
        <f>IF($CD$15="","",IF($BK$24="C",INDEX(Tính!$Q$39:$Q$83,$CD$15)&amp;"/"&amp;$BK$1,IF($BK$24="V",INDEX(Tính!$R$39:$R$83,$CD$15)&amp;"/"&amp;$BL$1,IF($BL$24="","",INDEX(Tính!$C$182:$V$226,$CD$15,INDEX(Tính!$C$278:$V$322,$CD$15,$BL$24))))))</f>
        <v/>
      </c>
      <c r="F118" s="42" t="str">
        <f>IF($CD$16="","",IF($BK$24="C","NHÓM CHÍNH",IF($BK$24="V","NHÓM VƯỢT TRỘI",IF($BL$24="","",INDEX($BA$3:$BA$22,INDEX(Tính!$C$278:$V$322,$CD$16,$BL$24))))))</f>
        <v/>
      </c>
      <c r="G118" s="43" t="str">
        <f>IF(OR($CD$16="",$BL$24=""),"",INDEX(Tính!$C$86:$V$130,$CD$16,INDEX(Tính!$C$278:$V$322,$CD$16,$BL$24)))</f>
        <v/>
      </c>
      <c r="H118" s="43" t="str">
        <f>IF(OR($CD$16="",$BL$24=""),"",INDEX(Tính!$C$134:$V$178,$CD$16,INDEX(Tính!$C$278:$V$322,$CD$16,$BL$24)))</f>
        <v/>
      </c>
      <c r="I118" s="44" t="str">
        <f>IF($CD$16="","",IF($BK$24="C",INDEX(Tính!$Q$39:$Q$83,$CD$16)&amp;"/"&amp;$BK$1,IF($BK$24="V",INDEX(Tính!$R$39:$R$83,$CD$16)&amp;"/"&amp;$BL$1,IF($BL$24="","",INDEX(Tính!$C$182:$V$226,$CD$16,INDEX(Tính!$C$278:$V$322,$CD$16,$BL$24))))))</f>
        <v/>
      </c>
      <c r="K118" s="42" t="str">
        <f>IF($CD$17="","",IF($BK$24="C","NHÓM CHÍNH",IF($BK$24="V","NHÓM VƯỢT TRỘI",IF($BL$24="","",INDEX($BA$3:$BA$22,INDEX(Tính!$C$278:$V$322,$CD$17,$BL$24))))))</f>
        <v/>
      </c>
      <c r="L118" s="43" t="str">
        <f>IF(OR($CD$17="",$BL$24=""),"",INDEX(Tính!$C$86:$V$130,$CD$17,INDEX(Tính!$C$278:$V$322,$CD$17,$BL$24)))</f>
        <v/>
      </c>
      <c r="M118" s="43" t="str">
        <f>IF(OR($CD$17="",$BL$24=""),"",INDEX(Tính!$C$134:$V$178,$CD$17,INDEX(Tính!$C$278:$V$322,$CD$17,$BL$24)))</f>
        <v/>
      </c>
      <c r="N118" s="44" t="str">
        <f>IF($CD$17="","",IF($BK$24="C",INDEX(Tính!$Q$39:$Q$83,$CD$17)&amp;"/"&amp;$BK$1,IF($BK$24="V",INDEX(Tính!$R$39:$R$83,$CD$17)&amp;"/"&amp;$BL$1,IF($BL$24="","",INDEX(Tính!$C$182:$V$226,$CD$17,INDEX(Tính!$C$278:$V$322,$CD$17,$BL$24))))))</f>
        <v/>
      </c>
      <c r="P118" s="42" t="str">
        <f>IF($CD$18="","",IF($BK$24="C","NHÓM CHÍNH",IF($BK$24="V","NHÓM VƯỢT TRỘI",IF($BL$24="","",INDEX($BA$3:$BA$22,INDEX(Tính!$C$278:$V$322,$CD$18,$BL$24))))))</f>
        <v/>
      </c>
      <c r="Q118" s="43" t="str">
        <f>IF(OR($CD$18="",$BL$24=""),"",INDEX(Tính!$C$86:$V$130,$CD$18,INDEX(Tính!$C$278:$V$322,$CD$18,$BL$24)))</f>
        <v/>
      </c>
      <c r="R118" s="43" t="str">
        <f>IF(OR($CD$18="",$BL$24=""),"",INDEX(Tính!$C$134:$V$178,$CD$18,INDEX(Tính!$C$278:$V$322,$CD$18,$BL$24)))</f>
        <v/>
      </c>
      <c r="S118" s="44" t="str">
        <f>IF($CD$18="","",IF($BK$24="C",INDEX(Tính!$Q$39:$Q$83,$CD$18)&amp;"/"&amp;$BK$1,IF($BK$24="V",INDEX(Tính!$R$39:$R$83,$CD$18)&amp;"/"&amp;$BL$1,IF($BL$24="","",INDEX(Tính!$C$182:$V$226,$CD$18,INDEX(Tính!$C$278:$V$322,$CD$18,$BL$24))))))</f>
        <v/>
      </c>
    </row>
    <row r="120" spans="1:19" x14ac:dyDescent="0.3">
      <c r="A120" s="81" t="str">
        <f>IF($CD$19="","",17&amp;". "&amp;IF($CD$19="","",INDEX(Tính!$F$39:$F$83,$CD$19))&amp;" · "&amp;IF($CD$19="","",INDEX(Tính!$O$39:$O$83,$CD$19)))</f>
        <v/>
      </c>
      <c r="B120" s="52"/>
      <c r="C120" s="52"/>
      <c r="D120" s="52"/>
      <c r="F120" s="81" t="str">
        <f>IF($CD$20="","",18&amp;". "&amp;IF($CD$20="","",INDEX(Tính!$F$39:$F$83,$CD$20))&amp;" · "&amp;IF($CD$20="","",INDEX(Tính!$O$39:$O$83,$CD$20)))</f>
        <v/>
      </c>
      <c r="G120" s="52"/>
      <c r="H120" s="52"/>
      <c r="I120" s="52"/>
      <c r="K120" s="81" t="str">
        <f>IF($CD$21="","",19&amp;". "&amp;IF($CD$21="","",INDEX(Tính!$F$39:$F$83,$CD$21))&amp;" · "&amp;IF($CD$21="","",INDEX(Tính!$O$39:$O$83,$CD$21)))</f>
        <v/>
      </c>
      <c r="L120" s="52"/>
      <c r="M120" s="52"/>
      <c r="N120" s="52"/>
      <c r="P120" s="81" t="str">
        <f>IF($CD$22="","",20&amp;". "&amp;IF($CD$22="","",INDEX(Tính!$F$39:$F$83,$CD$22))&amp;" · "&amp;IF($CD$22="","",INDEX(Tính!$O$39:$O$83,$CD$22)))</f>
        <v/>
      </c>
      <c r="Q120" s="52"/>
      <c r="R120" s="52"/>
      <c r="S120" s="52"/>
    </row>
    <row r="121" spans="1:19" x14ac:dyDescent="0.3">
      <c r="A121" s="35" t="str">
        <f>IF($CD$19="","","DỰ KIẾN")</f>
        <v/>
      </c>
      <c r="B121" s="35" t="str">
        <f>IF($CD$19="","","% HT")</f>
        <v/>
      </c>
      <c r="C121" s="35" t="str">
        <f>IF($CD$19="","","NH ĐẠT")</f>
        <v/>
      </c>
      <c r="D121" s="35" t="str">
        <f>IF($CD$19="","","HẠNG")</f>
        <v/>
      </c>
      <c r="F121" s="35" t="str">
        <f>IF($CD$20="","","DỰ KIẾN")</f>
        <v/>
      </c>
      <c r="G121" s="35" t="str">
        <f>IF($CD$20="","","% HT")</f>
        <v/>
      </c>
      <c r="H121" s="35" t="str">
        <f>IF($CD$20="","","NH ĐẠT")</f>
        <v/>
      </c>
      <c r="I121" s="35" t="str">
        <f>IF($CD$20="","","HẠNG")</f>
        <v/>
      </c>
      <c r="K121" s="35" t="str">
        <f>IF($CD$21="","","DỰ KIẾN")</f>
        <v/>
      </c>
      <c r="L121" s="35" t="str">
        <f>IF($CD$21="","","% HT")</f>
        <v/>
      </c>
      <c r="M121" s="35" t="str">
        <f>IF($CD$21="","","NH ĐẠT")</f>
        <v/>
      </c>
      <c r="N121" s="35" t="str">
        <f>IF($CD$21="","","HẠNG")</f>
        <v/>
      </c>
      <c r="P121" s="35" t="str">
        <f>IF($CD$22="","","DỰ KIẾN")</f>
        <v/>
      </c>
      <c r="Q121" s="35" t="str">
        <f>IF($CD$22="","","% HT")</f>
        <v/>
      </c>
      <c r="R121" s="35" t="str">
        <f>IF($CD$22="","","NH ĐẠT")</f>
        <v/>
      </c>
      <c r="S121" s="35" t="str">
        <f>IF($CD$22="","","HẠNG")</f>
        <v/>
      </c>
    </row>
    <row r="122" spans="1:19" ht="15.6" x14ac:dyDescent="0.3">
      <c r="A122" s="36" t="str">
        <f>IF($CD$19="","",IF($CD$19="","",INDEX(Tính!$M$39:$M$83,$CD$19)))</f>
        <v/>
      </c>
      <c r="B122" s="36" t="str">
        <f>IF($CD$19="","",IF($CD$19="","",INDEX(Tính!$N$39:$N$83,$CD$19)))</f>
        <v/>
      </c>
      <c r="C122" s="37" t="str">
        <f>IF($CD$19="","",IF($CD$19="","",INDEX(Tính!$P$39:$P$83,$CD$19))&amp;"/"&amp;COUNTIF($BA$3:$BA$22,"?*"))</f>
        <v/>
      </c>
      <c r="D122" s="37" t="str">
        <f>IF($CD$19="","",17)</f>
        <v/>
      </c>
      <c r="F122" s="36" t="str">
        <f>IF($CD$20="","",IF($CD$20="","",INDEX(Tính!$M$39:$M$83,$CD$20)))</f>
        <v/>
      </c>
      <c r="G122" s="36" t="str">
        <f>IF($CD$20="","",IF($CD$20="","",INDEX(Tính!$N$39:$N$83,$CD$20)))</f>
        <v/>
      </c>
      <c r="H122" s="37" t="str">
        <f>IF($CD$20="","",IF($CD$20="","",INDEX(Tính!$P$39:$P$83,$CD$20))&amp;"/"&amp;COUNTIF($BA$3:$BA$22,"?*"))</f>
        <v/>
      </c>
      <c r="I122" s="37" t="str">
        <f>IF($CD$20="","",18)</f>
        <v/>
      </c>
      <c r="K122" s="36" t="str">
        <f>IF($CD$21="","",IF($CD$21="","",INDEX(Tính!$M$39:$M$83,$CD$21)))</f>
        <v/>
      </c>
      <c r="L122" s="36" t="str">
        <f>IF($CD$21="","",IF($CD$21="","",INDEX(Tính!$N$39:$N$83,$CD$21)))</f>
        <v/>
      </c>
      <c r="M122" s="37" t="str">
        <f>IF($CD$21="","",IF($CD$21="","",INDEX(Tính!$P$39:$P$83,$CD$21))&amp;"/"&amp;COUNTIF($BA$3:$BA$22,"?*"))</f>
        <v/>
      </c>
      <c r="N122" s="37" t="str">
        <f>IF($CD$21="","",19)</f>
        <v/>
      </c>
      <c r="P122" s="36" t="str">
        <f>IF($CD$22="","",IF($CD$22="","",INDEX(Tính!$M$39:$M$83,$CD$22)))</f>
        <v/>
      </c>
      <c r="Q122" s="36" t="str">
        <f>IF($CD$22="","",IF($CD$22="","",INDEX(Tính!$N$39:$N$83,$CD$22)))</f>
        <v/>
      </c>
      <c r="R122" s="37" t="str">
        <f>IF($CD$22="","",IF($CD$22="","",INDEX(Tính!$P$39:$P$83,$CD$22))&amp;"/"&amp;COUNTIF($BA$3:$BA$22,"?*"))</f>
        <v/>
      </c>
      <c r="S122" s="37" t="str">
        <f>IF($CD$22="","",20)</f>
        <v/>
      </c>
    </row>
    <row r="123" spans="1:19" x14ac:dyDescent="0.3">
      <c r="A123" s="35" t="str">
        <f>IF($CD$19="","","DT QĐ")</f>
        <v/>
      </c>
      <c r="B123" s="35" t="str">
        <f>IF($CD$19="","","MỤC TIÊU")</f>
        <v/>
      </c>
      <c r="C123" s="35" t="str">
        <f>IF($CD$19="","","HÔM NAY")</f>
        <v/>
      </c>
      <c r="D123" s="35"/>
      <c r="F123" s="35" t="str">
        <f>IF($CD$20="","","DT QĐ")</f>
        <v/>
      </c>
      <c r="G123" s="35" t="str">
        <f>IF($CD$20="","","MỤC TIÊU")</f>
        <v/>
      </c>
      <c r="H123" s="35" t="str">
        <f>IF($CD$20="","","HÔM NAY")</f>
        <v/>
      </c>
      <c r="I123" s="35"/>
      <c r="K123" s="35" t="str">
        <f>IF($CD$21="","","DT QĐ")</f>
        <v/>
      </c>
      <c r="L123" s="35" t="str">
        <f>IF($CD$21="","","MỤC TIÊU")</f>
        <v/>
      </c>
      <c r="M123" s="35" t="str">
        <f>IF($CD$21="","","HÔM NAY")</f>
        <v/>
      </c>
      <c r="N123" s="35"/>
      <c r="P123" s="35" t="str">
        <f>IF($CD$22="","","DT QĐ")</f>
        <v/>
      </c>
      <c r="Q123" s="35" t="str">
        <f>IF($CD$22="","","MỤC TIÊU")</f>
        <v/>
      </c>
      <c r="R123" s="35" t="str">
        <f>IF($CD$22="","","HÔM NAY")</f>
        <v/>
      </c>
      <c r="S123" s="35"/>
    </row>
    <row r="124" spans="1:19" x14ac:dyDescent="0.3">
      <c r="A124" s="38" t="str">
        <f>IF($CD$19="","",IF($CD$19="","",INDEX(Tính!$K$39:$K$83,$CD$19)))</f>
        <v/>
      </c>
      <c r="B124" s="39" t="str">
        <f>IF($CD$19="","",IF($CD$19="","",INDEX(Tính!$J$39:$J$83,$CD$19)))</f>
        <v/>
      </c>
      <c r="C124" s="38" t="str">
        <f>IF($CD$19="","",IF($CD$19="","",INDEX(Tính!$L$39:$L$83,$CD$19)))</f>
        <v/>
      </c>
      <c r="D124" s="40" t="str">
        <f>IF($CD$19="","","")</f>
        <v/>
      </c>
      <c r="F124" s="38" t="str">
        <f>IF($CD$20="","",IF($CD$20="","",INDEX(Tính!$K$39:$K$83,$CD$20)))</f>
        <v/>
      </c>
      <c r="G124" s="39" t="str">
        <f>IF($CD$20="","",IF($CD$20="","",INDEX(Tính!$J$39:$J$83,$CD$20)))</f>
        <v/>
      </c>
      <c r="H124" s="38" t="str">
        <f>IF($CD$20="","",IF($CD$20="","",INDEX(Tính!$L$39:$L$83,$CD$20)))</f>
        <v/>
      </c>
      <c r="I124" s="40" t="str">
        <f>IF($CD$20="","","")</f>
        <v/>
      </c>
      <c r="K124" s="38" t="str">
        <f>IF($CD$21="","",IF($CD$21="","",INDEX(Tính!$K$39:$K$83,$CD$21)))</f>
        <v/>
      </c>
      <c r="L124" s="39" t="str">
        <f>IF($CD$21="","",IF($CD$21="","",INDEX(Tính!$J$39:$J$83,$CD$21)))</f>
        <v/>
      </c>
      <c r="M124" s="38" t="str">
        <f>IF($CD$21="","",IF($CD$21="","",INDEX(Tính!$L$39:$L$83,$CD$21)))</f>
        <v/>
      </c>
      <c r="N124" s="40" t="str">
        <f>IF($CD$21="","","")</f>
        <v/>
      </c>
      <c r="P124" s="38" t="str">
        <f>IF($CD$22="","",IF($CD$22="","",INDEX(Tính!$K$39:$K$83,$CD$22)))</f>
        <v/>
      </c>
      <c r="Q124" s="39" t="str">
        <f>IF($CD$22="","",IF($CD$22="","",INDEX(Tính!$J$39:$J$83,$CD$22)))</f>
        <v/>
      </c>
      <c r="R124" s="38" t="str">
        <f>IF($CD$22="","",IF($CD$22="","",INDEX(Tính!$L$39:$L$83,$CD$22)))</f>
        <v/>
      </c>
      <c r="S124" s="40" t="str">
        <f>IF($CD$22="","","")</f>
        <v/>
      </c>
    </row>
    <row r="125" spans="1:19" x14ac:dyDescent="0.3">
      <c r="A125" s="41" t="str">
        <f>IF($CD$19="","","Nhóm hàng")</f>
        <v/>
      </c>
      <c r="B125" s="41" t="str">
        <f>IF($CD$19="","","TH")</f>
        <v/>
      </c>
      <c r="C125" s="41" t="str">
        <f>IF($CD$19="","","Target")</f>
        <v/>
      </c>
      <c r="D125" s="41" t="str">
        <f>IF($CD$19="","","DK")</f>
        <v/>
      </c>
      <c r="F125" s="41" t="str">
        <f>IF($CD$20="","","Nhóm hàng")</f>
        <v/>
      </c>
      <c r="G125" s="41" t="str">
        <f>IF($CD$20="","","TH")</f>
        <v/>
      </c>
      <c r="H125" s="41" t="str">
        <f>IF($CD$20="","","Target")</f>
        <v/>
      </c>
      <c r="I125" s="41" t="str">
        <f>IF($CD$20="","","DK")</f>
        <v/>
      </c>
      <c r="K125" s="41" t="str">
        <f>IF($CD$21="","","Nhóm hàng")</f>
        <v/>
      </c>
      <c r="L125" s="41" t="str">
        <f>IF($CD$21="","","TH")</f>
        <v/>
      </c>
      <c r="M125" s="41" t="str">
        <f>IF($CD$21="","","Target")</f>
        <v/>
      </c>
      <c r="N125" s="41" t="str">
        <f>IF($CD$21="","","DK")</f>
        <v/>
      </c>
      <c r="P125" s="41" t="str">
        <f>IF($CD$22="","","Nhóm hàng")</f>
        <v/>
      </c>
      <c r="Q125" s="41" t="str">
        <f>IF($CD$22="","","TH")</f>
        <v/>
      </c>
      <c r="R125" s="41" t="str">
        <f>IF($CD$22="","","Target")</f>
        <v/>
      </c>
      <c r="S125" s="41" t="str">
        <f>IF($CD$22="","","DK")</f>
        <v/>
      </c>
    </row>
    <row r="126" spans="1:19" x14ac:dyDescent="0.3">
      <c r="A126" s="42" t="str">
        <f>IF($CD$19="","",IF($BK$3="C","NHÓM CHÍNH",IF($BK$3="V","NHÓM VƯỢT TRỘI",IF($BL$3="","",INDEX($BA$3:$BA$22,INDEX(Tính!$C$278:$V$322,$CD$19,$BL$3))))))</f>
        <v/>
      </c>
      <c r="B126" s="43" t="str">
        <f>IF(OR($CD$19="",$BL$3=""),"",INDEX(Tính!$C$86:$V$130,$CD$19,INDEX(Tính!$C$278:$V$322,$CD$19,$BL$3)))</f>
        <v/>
      </c>
      <c r="C126" s="43" t="str">
        <f>IF(OR($CD$19="",$BL$3=""),"",INDEX(Tính!$C$134:$V$178,$CD$19,INDEX(Tính!$C$278:$V$322,$CD$19,$BL$3)))</f>
        <v/>
      </c>
      <c r="D126" s="44" t="str">
        <f>IF($CD$19="","",IF($BK$3="C",INDEX(Tính!$Q$39:$Q$83,$CD$19)&amp;"/"&amp;$BK$1,IF($BK$3="V",INDEX(Tính!$R$39:$R$83,$CD$19)&amp;"/"&amp;$BL$1,IF($BL$3="","",INDEX(Tính!$C$182:$V$226,$CD$19,INDEX(Tính!$C$278:$V$322,$CD$19,$BL$3))))))</f>
        <v/>
      </c>
      <c r="F126" s="42" t="str">
        <f>IF($CD$20="","",IF($BK$3="C","NHÓM CHÍNH",IF($BK$3="V","NHÓM VƯỢT TRỘI",IF($BL$3="","",INDEX($BA$3:$BA$22,INDEX(Tính!$C$278:$V$322,$CD$20,$BL$3))))))</f>
        <v/>
      </c>
      <c r="G126" s="43" t="str">
        <f>IF(OR($CD$20="",$BL$3=""),"",INDEX(Tính!$C$86:$V$130,$CD$20,INDEX(Tính!$C$278:$V$322,$CD$20,$BL$3)))</f>
        <v/>
      </c>
      <c r="H126" s="43" t="str">
        <f>IF(OR($CD$20="",$BL$3=""),"",INDEX(Tính!$C$134:$V$178,$CD$20,INDEX(Tính!$C$278:$V$322,$CD$20,$BL$3)))</f>
        <v/>
      </c>
      <c r="I126" s="44" t="str">
        <f>IF($CD$20="","",IF($BK$3="C",INDEX(Tính!$Q$39:$Q$83,$CD$20)&amp;"/"&amp;$BK$1,IF($BK$3="V",INDEX(Tính!$R$39:$R$83,$CD$20)&amp;"/"&amp;$BL$1,IF($BL$3="","",INDEX(Tính!$C$182:$V$226,$CD$20,INDEX(Tính!$C$278:$V$322,$CD$20,$BL$3))))))</f>
        <v/>
      </c>
      <c r="K126" s="42" t="str">
        <f>IF($CD$21="","",IF($BK$3="C","NHÓM CHÍNH",IF($BK$3="V","NHÓM VƯỢT TRỘI",IF($BL$3="","",INDEX($BA$3:$BA$22,INDEX(Tính!$C$278:$V$322,$CD$21,$BL$3))))))</f>
        <v/>
      </c>
      <c r="L126" s="43" t="str">
        <f>IF(OR($CD$21="",$BL$3=""),"",INDEX(Tính!$C$86:$V$130,$CD$21,INDEX(Tính!$C$278:$V$322,$CD$21,$BL$3)))</f>
        <v/>
      </c>
      <c r="M126" s="43" t="str">
        <f>IF(OR($CD$21="",$BL$3=""),"",INDEX(Tính!$C$134:$V$178,$CD$21,INDEX(Tính!$C$278:$V$322,$CD$21,$BL$3)))</f>
        <v/>
      </c>
      <c r="N126" s="44" t="str">
        <f>IF($CD$21="","",IF($BK$3="C",INDEX(Tính!$Q$39:$Q$83,$CD$21)&amp;"/"&amp;$BK$1,IF($BK$3="V",INDEX(Tính!$R$39:$R$83,$CD$21)&amp;"/"&amp;$BL$1,IF($BL$3="","",INDEX(Tính!$C$182:$V$226,$CD$21,INDEX(Tính!$C$278:$V$322,$CD$21,$BL$3))))))</f>
        <v/>
      </c>
      <c r="P126" s="42" t="str">
        <f>IF($CD$22="","",IF($BK$3="C","NHÓM CHÍNH",IF($BK$3="V","NHÓM VƯỢT TRỘI",IF($BL$3="","",INDEX($BA$3:$BA$22,INDEX(Tính!$C$278:$V$322,$CD$22,$BL$3))))))</f>
        <v/>
      </c>
      <c r="Q126" s="43" t="str">
        <f>IF(OR($CD$22="",$BL$3=""),"",INDEX(Tính!$C$86:$V$130,$CD$22,INDEX(Tính!$C$278:$V$322,$CD$22,$BL$3)))</f>
        <v/>
      </c>
      <c r="R126" s="43" t="str">
        <f>IF(OR($CD$22="",$BL$3=""),"",INDEX(Tính!$C$134:$V$178,$CD$22,INDEX(Tính!$C$278:$V$322,$CD$22,$BL$3)))</f>
        <v/>
      </c>
      <c r="S126" s="44" t="str">
        <f>IF($CD$22="","",IF($BK$3="C",INDEX(Tính!$Q$39:$Q$83,$CD$22)&amp;"/"&amp;$BK$1,IF($BK$3="V",INDEX(Tính!$R$39:$R$83,$CD$22)&amp;"/"&amp;$BL$1,IF($BL$3="","",INDEX(Tính!$C$182:$V$226,$CD$22,INDEX(Tính!$C$278:$V$322,$CD$22,$BL$3))))))</f>
        <v/>
      </c>
    </row>
    <row r="127" spans="1:19" x14ac:dyDescent="0.3">
      <c r="A127" s="42" t="str">
        <f>IF($CD$19="","",IF($BK$4="C","NHÓM CHÍNH",IF($BK$4="V","NHÓM VƯỢT TRỘI",IF($BL$4="","",INDEX($BA$3:$BA$22,INDEX(Tính!$C$278:$V$322,$CD$19,$BL$4))))))</f>
        <v/>
      </c>
      <c r="B127" s="43" t="str">
        <f>IF(OR($CD$19="",$BL$4=""),"",INDEX(Tính!$C$86:$V$130,$CD$19,INDEX(Tính!$C$278:$V$322,$CD$19,$BL$4)))</f>
        <v/>
      </c>
      <c r="C127" s="43" t="str">
        <f>IF(OR($CD$19="",$BL$4=""),"",INDEX(Tính!$C$134:$V$178,$CD$19,INDEX(Tính!$C$278:$V$322,$CD$19,$BL$4)))</f>
        <v/>
      </c>
      <c r="D127" s="44" t="str">
        <f>IF($CD$19="","",IF($BK$4="C",INDEX(Tính!$Q$39:$Q$83,$CD$19)&amp;"/"&amp;$BK$1,IF($BK$4="V",INDEX(Tính!$R$39:$R$83,$CD$19)&amp;"/"&amp;$BL$1,IF($BL$4="","",INDEX(Tính!$C$182:$V$226,$CD$19,INDEX(Tính!$C$278:$V$322,$CD$19,$BL$4))))))</f>
        <v/>
      </c>
      <c r="F127" s="42" t="str">
        <f>IF($CD$20="","",IF($BK$4="C","NHÓM CHÍNH",IF($BK$4="V","NHÓM VƯỢT TRỘI",IF($BL$4="","",INDEX($BA$3:$BA$22,INDEX(Tính!$C$278:$V$322,$CD$20,$BL$4))))))</f>
        <v/>
      </c>
      <c r="G127" s="43" t="str">
        <f>IF(OR($CD$20="",$BL$4=""),"",INDEX(Tính!$C$86:$V$130,$CD$20,INDEX(Tính!$C$278:$V$322,$CD$20,$BL$4)))</f>
        <v/>
      </c>
      <c r="H127" s="43" t="str">
        <f>IF(OR($CD$20="",$BL$4=""),"",INDEX(Tính!$C$134:$V$178,$CD$20,INDEX(Tính!$C$278:$V$322,$CD$20,$BL$4)))</f>
        <v/>
      </c>
      <c r="I127" s="44" t="str">
        <f>IF($CD$20="","",IF($BK$4="C",INDEX(Tính!$Q$39:$Q$83,$CD$20)&amp;"/"&amp;$BK$1,IF($BK$4="V",INDEX(Tính!$R$39:$R$83,$CD$20)&amp;"/"&amp;$BL$1,IF($BL$4="","",INDEX(Tính!$C$182:$V$226,$CD$20,INDEX(Tính!$C$278:$V$322,$CD$20,$BL$4))))))</f>
        <v/>
      </c>
      <c r="K127" s="42" t="str">
        <f>IF($CD$21="","",IF($BK$4="C","NHÓM CHÍNH",IF($BK$4="V","NHÓM VƯỢT TRỘI",IF($BL$4="","",INDEX($BA$3:$BA$22,INDEX(Tính!$C$278:$V$322,$CD$21,$BL$4))))))</f>
        <v/>
      </c>
      <c r="L127" s="43" t="str">
        <f>IF(OR($CD$21="",$BL$4=""),"",INDEX(Tính!$C$86:$V$130,$CD$21,INDEX(Tính!$C$278:$V$322,$CD$21,$BL$4)))</f>
        <v/>
      </c>
      <c r="M127" s="43" t="str">
        <f>IF(OR($CD$21="",$BL$4=""),"",INDEX(Tính!$C$134:$V$178,$CD$21,INDEX(Tính!$C$278:$V$322,$CD$21,$BL$4)))</f>
        <v/>
      </c>
      <c r="N127" s="44" t="str">
        <f>IF($CD$21="","",IF($BK$4="C",INDEX(Tính!$Q$39:$Q$83,$CD$21)&amp;"/"&amp;$BK$1,IF($BK$4="V",INDEX(Tính!$R$39:$R$83,$CD$21)&amp;"/"&amp;$BL$1,IF($BL$4="","",INDEX(Tính!$C$182:$V$226,$CD$21,INDEX(Tính!$C$278:$V$322,$CD$21,$BL$4))))))</f>
        <v/>
      </c>
      <c r="P127" s="42" t="str">
        <f>IF($CD$22="","",IF($BK$4="C","NHÓM CHÍNH",IF($BK$4="V","NHÓM VƯỢT TRỘI",IF($BL$4="","",INDEX($BA$3:$BA$22,INDEX(Tính!$C$278:$V$322,$CD$22,$BL$4))))))</f>
        <v/>
      </c>
      <c r="Q127" s="43" t="str">
        <f>IF(OR($CD$22="",$BL$4=""),"",INDEX(Tính!$C$86:$V$130,$CD$22,INDEX(Tính!$C$278:$V$322,$CD$22,$BL$4)))</f>
        <v/>
      </c>
      <c r="R127" s="43" t="str">
        <f>IF(OR($CD$22="",$BL$4=""),"",INDEX(Tính!$C$134:$V$178,$CD$22,INDEX(Tính!$C$278:$V$322,$CD$22,$BL$4)))</f>
        <v/>
      </c>
      <c r="S127" s="44" t="str">
        <f>IF($CD$22="","",IF($BK$4="C",INDEX(Tính!$Q$39:$Q$83,$CD$22)&amp;"/"&amp;$BK$1,IF($BK$4="V",INDEX(Tính!$R$39:$R$83,$CD$22)&amp;"/"&amp;$BL$1,IF($BL$4="","",INDEX(Tính!$C$182:$V$226,$CD$22,INDEX(Tính!$C$278:$V$322,$CD$22,$BL$4))))))</f>
        <v/>
      </c>
    </row>
    <row r="128" spans="1:19" x14ac:dyDescent="0.3">
      <c r="A128" s="42" t="str">
        <f>IF($CD$19="","",IF($BK$5="C","NHÓM CHÍNH",IF($BK$5="V","NHÓM VƯỢT TRỘI",IF($BL$5="","",INDEX($BA$3:$BA$22,INDEX(Tính!$C$278:$V$322,$CD$19,$BL$5))))))</f>
        <v/>
      </c>
      <c r="B128" s="43" t="str">
        <f>IF(OR($CD$19="",$BL$5=""),"",INDEX(Tính!$C$86:$V$130,$CD$19,INDEX(Tính!$C$278:$V$322,$CD$19,$BL$5)))</f>
        <v/>
      </c>
      <c r="C128" s="43" t="str">
        <f>IF(OR($CD$19="",$BL$5=""),"",INDEX(Tính!$C$134:$V$178,$CD$19,INDEX(Tính!$C$278:$V$322,$CD$19,$BL$5)))</f>
        <v/>
      </c>
      <c r="D128" s="44" t="str">
        <f>IF($CD$19="","",IF($BK$5="C",INDEX(Tính!$Q$39:$Q$83,$CD$19)&amp;"/"&amp;$BK$1,IF($BK$5="V",INDEX(Tính!$R$39:$R$83,$CD$19)&amp;"/"&amp;$BL$1,IF($BL$5="","",INDEX(Tính!$C$182:$V$226,$CD$19,INDEX(Tính!$C$278:$V$322,$CD$19,$BL$5))))))</f>
        <v/>
      </c>
      <c r="F128" s="42" t="str">
        <f>IF($CD$20="","",IF($BK$5="C","NHÓM CHÍNH",IF($BK$5="V","NHÓM VƯỢT TRỘI",IF($BL$5="","",INDEX($BA$3:$BA$22,INDEX(Tính!$C$278:$V$322,$CD$20,$BL$5))))))</f>
        <v/>
      </c>
      <c r="G128" s="43" t="str">
        <f>IF(OR($CD$20="",$BL$5=""),"",INDEX(Tính!$C$86:$V$130,$CD$20,INDEX(Tính!$C$278:$V$322,$CD$20,$BL$5)))</f>
        <v/>
      </c>
      <c r="H128" s="43" t="str">
        <f>IF(OR($CD$20="",$BL$5=""),"",INDEX(Tính!$C$134:$V$178,$CD$20,INDEX(Tính!$C$278:$V$322,$CD$20,$BL$5)))</f>
        <v/>
      </c>
      <c r="I128" s="44" t="str">
        <f>IF($CD$20="","",IF($BK$5="C",INDEX(Tính!$Q$39:$Q$83,$CD$20)&amp;"/"&amp;$BK$1,IF($BK$5="V",INDEX(Tính!$R$39:$R$83,$CD$20)&amp;"/"&amp;$BL$1,IF($BL$5="","",INDEX(Tính!$C$182:$V$226,$CD$20,INDEX(Tính!$C$278:$V$322,$CD$20,$BL$5))))))</f>
        <v/>
      </c>
      <c r="K128" s="42" t="str">
        <f>IF($CD$21="","",IF($BK$5="C","NHÓM CHÍNH",IF($BK$5="V","NHÓM VƯỢT TRỘI",IF($BL$5="","",INDEX($BA$3:$BA$22,INDEX(Tính!$C$278:$V$322,$CD$21,$BL$5))))))</f>
        <v/>
      </c>
      <c r="L128" s="43" t="str">
        <f>IF(OR($CD$21="",$BL$5=""),"",INDEX(Tính!$C$86:$V$130,$CD$21,INDEX(Tính!$C$278:$V$322,$CD$21,$BL$5)))</f>
        <v/>
      </c>
      <c r="M128" s="43" t="str">
        <f>IF(OR($CD$21="",$BL$5=""),"",INDEX(Tính!$C$134:$V$178,$CD$21,INDEX(Tính!$C$278:$V$322,$CD$21,$BL$5)))</f>
        <v/>
      </c>
      <c r="N128" s="44" t="str">
        <f>IF($CD$21="","",IF($BK$5="C",INDEX(Tính!$Q$39:$Q$83,$CD$21)&amp;"/"&amp;$BK$1,IF($BK$5="V",INDEX(Tính!$R$39:$R$83,$CD$21)&amp;"/"&amp;$BL$1,IF($BL$5="","",INDEX(Tính!$C$182:$V$226,$CD$21,INDEX(Tính!$C$278:$V$322,$CD$21,$BL$5))))))</f>
        <v/>
      </c>
      <c r="P128" s="42" t="str">
        <f>IF($CD$22="","",IF($BK$5="C","NHÓM CHÍNH",IF($BK$5="V","NHÓM VƯỢT TRỘI",IF($BL$5="","",INDEX($BA$3:$BA$22,INDEX(Tính!$C$278:$V$322,$CD$22,$BL$5))))))</f>
        <v/>
      </c>
      <c r="Q128" s="43" t="str">
        <f>IF(OR($CD$22="",$BL$5=""),"",INDEX(Tính!$C$86:$V$130,$CD$22,INDEX(Tính!$C$278:$V$322,$CD$22,$BL$5)))</f>
        <v/>
      </c>
      <c r="R128" s="43" t="str">
        <f>IF(OR($CD$22="",$BL$5=""),"",INDEX(Tính!$C$134:$V$178,$CD$22,INDEX(Tính!$C$278:$V$322,$CD$22,$BL$5)))</f>
        <v/>
      </c>
      <c r="S128" s="44" t="str">
        <f>IF($CD$22="","",IF($BK$5="C",INDEX(Tính!$Q$39:$Q$83,$CD$22)&amp;"/"&amp;$BK$1,IF($BK$5="V",INDEX(Tính!$R$39:$R$83,$CD$22)&amp;"/"&amp;$BL$1,IF($BL$5="","",INDEX(Tính!$C$182:$V$226,$CD$22,INDEX(Tính!$C$278:$V$322,$CD$22,$BL$5))))))</f>
        <v/>
      </c>
    </row>
    <row r="129" spans="1:19" x14ac:dyDescent="0.3">
      <c r="A129" s="42" t="str">
        <f>IF($CD$19="","",IF($BK$6="C","NHÓM CHÍNH",IF($BK$6="V","NHÓM VƯỢT TRỘI",IF($BL$6="","",INDEX($BA$3:$BA$22,INDEX(Tính!$C$278:$V$322,$CD$19,$BL$6))))))</f>
        <v/>
      </c>
      <c r="B129" s="43" t="str">
        <f>IF(OR($CD$19="",$BL$6=""),"",INDEX(Tính!$C$86:$V$130,$CD$19,INDEX(Tính!$C$278:$V$322,$CD$19,$BL$6)))</f>
        <v/>
      </c>
      <c r="C129" s="43" t="str">
        <f>IF(OR($CD$19="",$BL$6=""),"",INDEX(Tính!$C$134:$V$178,$CD$19,INDEX(Tính!$C$278:$V$322,$CD$19,$BL$6)))</f>
        <v/>
      </c>
      <c r="D129" s="44" t="str">
        <f>IF($CD$19="","",IF($BK$6="C",INDEX(Tính!$Q$39:$Q$83,$CD$19)&amp;"/"&amp;$BK$1,IF($BK$6="V",INDEX(Tính!$R$39:$R$83,$CD$19)&amp;"/"&amp;$BL$1,IF($BL$6="","",INDEX(Tính!$C$182:$V$226,$CD$19,INDEX(Tính!$C$278:$V$322,$CD$19,$BL$6))))))</f>
        <v/>
      </c>
      <c r="F129" s="42" t="str">
        <f>IF($CD$20="","",IF($BK$6="C","NHÓM CHÍNH",IF($BK$6="V","NHÓM VƯỢT TRỘI",IF($BL$6="","",INDEX($BA$3:$BA$22,INDEX(Tính!$C$278:$V$322,$CD$20,$BL$6))))))</f>
        <v/>
      </c>
      <c r="G129" s="43" t="str">
        <f>IF(OR($CD$20="",$BL$6=""),"",INDEX(Tính!$C$86:$V$130,$CD$20,INDEX(Tính!$C$278:$V$322,$CD$20,$BL$6)))</f>
        <v/>
      </c>
      <c r="H129" s="43" t="str">
        <f>IF(OR($CD$20="",$BL$6=""),"",INDEX(Tính!$C$134:$V$178,$CD$20,INDEX(Tính!$C$278:$V$322,$CD$20,$BL$6)))</f>
        <v/>
      </c>
      <c r="I129" s="44" t="str">
        <f>IF($CD$20="","",IF($BK$6="C",INDEX(Tính!$Q$39:$Q$83,$CD$20)&amp;"/"&amp;$BK$1,IF($BK$6="V",INDEX(Tính!$R$39:$R$83,$CD$20)&amp;"/"&amp;$BL$1,IF($BL$6="","",INDEX(Tính!$C$182:$V$226,$CD$20,INDEX(Tính!$C$278:$V$322,$CD$20,$BL$6))))))</f>
        <v/>
      </c>
      <c r="K129" s="42" t="str">
        <f>IF($CD$21="","",IF($BK$6="C","NHÓM CHÍNH",IF($BK$6="V","NHÓM VƯỢT TRỘI",IF($BL$6="","",INDEX($BA$3:$BA$22,INDEX(Tính!$C$278:$V$322,$CD$21,$BL$6))))))</f>
        <v/>
      </c>
      <c r="L129" s="43" t="str">
        <f>IF(OR($CD$21="",$BL$6=""),"",INDEX(Tính!$C$86:$V$130,$CD$21,INDEX(Tính!$C$278:$V$322,$CD$21,$BL$6)))</f>
        <v/>
      </c>
      <c r="M129" s="43" t="str">
        <f>IF(OR($CD$21="",$BL$6=""),"",INDEX(Tính!$C$134:$V$178,$CD$21,INDEX(Tính!$C$278:$V$322,$CD$21,$BL$6)))</f>
        <v/>
      </c>
      <c r="N129" s="44" t="str">
        <f>IF($CD$21="","",IF($BK$6="C",INDEX(Tính!$Q$39:$Q$83,$CD$21)&amp;"/"&amp;$BK$1,IF($BK$6="V",INDEX(Tính!$R$39:$R$83,$CD$21)&amp;"/"&amp;$BL$1,IF($BL$6="","",INDEX(Tính!$C$182:$V$226,$CD$21,INDEX(Tính!$C$278:$V$322,$CD$21,$BL$6))))))</f>
        <v/>
      </c>
      <c r="P129" s="42" t="str">
        <f>IF($CD$22="","",IF($BK$6="C","NHÓM CHÍNH",IF($BK$6="V","NHÓM VƯỢT TRỘI",IF($BL$6="","",INDEX($BA$3:$BA$22,INDEX(Tính!$C$278:$V$322,$CD$22,$BL$6))))))</f>
        <v/>
      </c>
      <c r="Q129" s="43" t="str">
        <f>IF(OR($CD$22="",$BL$6=""),"",INDEX(Tính!$C$86:$V$130,$CD$22,INDEX(Tính!$C$278:$V$322,$CD$22,$BL$6)))</f>
        <v/>
      </c>
      <c r="R129" s="43" t="str">
        <f>IF(OR($CD$22="",$BL$6=""),"",INDEX(Tính!$C$134:$V$178,$CD$22,INDEX(Tính!$C$278:$V$322,$CD$22,$BL$6)))</f>
        <v/>
      </c>
      <c r="S129" s="44" t="str">
        <f>IF($CD$22="","",IF($BK$6="C",INDEX(Tính!$Q$39:$Q$83,$CD$22)&amp;"/"&amp;$BK$1,IF($BK$6="V",INDEX(Tính!$R$39:$R$83,$CD$22)&amp;"/"&amp;$BL$1,IF($BL$6="","",INDEX(Tính!$C$182:$V$226,$CD$22,INDEX(Tính!$C$278:$V$322,$CD$22,$BL$6))))))</f>
        <v/>
      </c>
    </row>
    <row r="130" spans="1:19" x14ac:dyDescent="0.3">
      <c r="A130" s="42" t="str">
        <f>IF($CD$19="","",IF($BK$7="C","NHÓM CHÍNH",IF($BK$7="V","NHÓM VƯỢT TRỘI",IF($BL$7="","",INDEX($BA$3:$BA$22,INDEX(Tính!$C$278:$V$322,$CD$19,$BL$7))))))</f>
        <v/>
      </c>
      <c r="B130" s="43" t="str">
        <f>IF(OR($CD$19="",$BL$7=""),"",INDEX(Tính!$C$86:$V$130,$CD$19,INDEX(Tính!$C$278:$V$322,$CD$19,$BL$7)))</f>
        <v/>
      </c>
      <c r="C130" s="43" t="str">
        <f>IF(OR($CD$19="",$BL$7=""),"",INDEX(Tính!$C$134:$V$178,$CD$19,INDEX(Tính!$C$278:$V$322,$CD$19,$BL$7)))</f>
        <v/>
      </c>
      <c r="D130" s="44" t="str">
        <f>IF($CD$19="","",IF($BK$7="C",INDEX(Tính!$Q$39:$Q$83,$CD$19)&amp;"/"&amp;$BK$1,IF($BK$7="V",INDEX(Tính!$R$39:$R$83,$CD$19)&amp;"/"&amp;$BL$1,IF($BL$7="","",INDEX(Tính!$C$182:$V$226,$CD$19,INDEX(Tính!$C$278:$V$322,$CD$19,$BL$7))))))</f>
        <v/>
      </c>
      <c r="F130" s="42" t="str">
        <f>IF($CD$20="","",IF($BK$7="C","NHÓM CHÍNH",IF($BK$7="V","NHÓM VƯỢT TRỘI",IF($BL$7="","",INDEX($BA$3:$BA$22,INDEX(Tính!$C$278:$V$322,$CD$20,$BL$7))))))</f>
        <v/>
      </c>
      <c r="G130" s="43" t="str">
        <f>IF(OR($CD$20="",$BL$7=""),"",INDEX(Tính!$C$86:$V$130,$CD$20,INDEX(Tính!$C$278:$V$322,$CD$20,$BL$7)))</f>
        <v/>
      </c>
      <c r="H130" s="43" t="str">
        <f>IF(OR($CD$20="",$BL$7=""),"",INDEX(Tính!$C$134:$V$178,$CD$20,INDEX(Tính!$C$278:$V$322,$CD$20,$BL$7)))</f>
        <v/>
      </c>
      <c r="I130" s="44" t="str">
        <f>IF($CD$20="","",IF($BK$7="C",INDEX(Tính!$Q$39:$Q$83,$CD$20)&amp;"/"&amp;$BK$1,IF($BK$7="V",INDEX(Tính!$R$39:$R$83,$CD$20)&amp;"/"&amp;$BL$1,IF($BL$7="","",INDEX(Tính!$C$182:$V$226,$CD$20,INDEX(Tính!$C$278:$V$322,$CD$20,$BL$7))))))</f>
        <v/>
      </c>
      <c r="K130" s="42" t="str">
        <f>IF($CD$21="","",IF($BK$7="C","NHÓM CHÍNH",IF($BK$7="V","NHÓM VƯỢT TRỘI",IF($BL$7="","",INDEX($BA$3:$BA$22,INDEX(Tính!$C$278:$V$322,$CD$21,$BL$7))))))</f>
        <v/>
      </c>
      <c r="L130" s="43" t="str">
        <f>IF(OR($CD$21="",$BL$7=""),"",INDEX(Tính!$C$86:$V$130,$CD$21,INDEX(Tính!$C$278:$V$322,$CD$21,$BL$7)))</f>
        <v/>
      </c>
      <c r="M130" s="43" t="str">
        <f>IF(OR($CD$21="",$BL$7=""),"",INDEX(Tính!$C$134:$V$178,$CD$21,INDEX(Tính!$C$278:$V$322,$CD$21,$BL$7)))</f>
        <v/>
      </c>
      <c r="N130" s="44" t="str">
        <f>IF($CD$21="","",IF($BK$7="C",INDEX(Tính!$Q$39:$Q$83,$CD$21)&amp;"/"&amp;$BK$1,IF($BK$7="V",INDEX(Tính!$R$39:$R$83,$CD$21)&amp;"/"&amp;$BL$1,IF($BL$7="","",INDEX(Tính!$C$182:$V$226,$CD$21,INDEX(Tính!$C$278:$V$322,$CD$21,$BL$7))))))</f>
        <v/>
      </c>
      <c r="P130" s="42" t="str">
        <f>IF($CD$22="","",IF($BK$7="C","NHÓM CHÍNH",IF($BK$7="V","NHÓM VƯỢT TRỘI",IF($BL$7="","",INDEX($BA$3:$BA$22,INDEX(Tính!$C$278:$V$322,$CD$22,$BL$7))))))</f>
        <v/>
      </c>
      <c r="Q130" s="43" t="str">
        <f>IF(OR($CD$22="",$BL$7=""),"",INDEX(Tính!$C$86:$V$130,$CD$22,INDEX(Tính!$C$278:$V$322,$CD$22,$BL$7)))</f>
        <v/>
      </c>
      <c r="R130" s="43" t="str">
        <f>IF(OR($CD$22="",$BL$7=""),"",INDEX(Tính!$C$134:$V$178,$CD$22,INDEX(Tính!$C$278:$V$322,$CD$22,$BL$7)))</f>
        <v/>
      </c>
      <c r="S130" s="44" t="str">
        <f>IF($CD$22="","",IF($BK$7="C",INDEX(Tính!$Q$39:$Q$83,$CD$22)&amp;"/"&amp;$BK$1,IF($BK$7="V",INDEX(Tính!$R$39:$R$83,$CD$22)&amp;"/"&amp;$BL$1,IF($BL$7="","",INDEX(Tính!$C$182:$V$226,$CD$22,INDEX(Tính!$C$278:$V$322,$CD$22,$BL$7))))))</f>
        <v/>
      </c>
    </row>
    <row r="131" spans="1:19" x14ac:dyDescent="0.3">
      <c r="A131" s="42" t="str">
        <f>IF($CD$19="","",IF($BK$8="C","NHÓM CHÍNH",IF($BK$8="V","NHÓM VƯỢT TRỘI",IF($BL$8="","",INDEX($BA$3:$BA$22,INDEX(Tính!$C$278:$V$322,$CD$19,$BL$8))))))</f>
        <v/>
      </c>
      <c r="B131" s="43" t="str">
        <f>IF(OR($CD$19="",$BL$8=""),"",INDEX(Tính!$C$86:$V$130,$CD$19,INDEX(Tính!$C$278:$V$322,$CD$19,$BL$8)))</f>
        <v/>
      </c>
      <c r="C131" s="43" t="str">
        <f>IF(OR($CD$19="",$BL$8=""),"",INDEX(Tính!$C$134:$V$178,$CD$19,INDEX(Tính!$C$278:$V$322,$CD$19,$BL$8)))</f>
        <v/>
      </c>
      <c r="D131" s="44" t="str">
        <f>IF($CD$19="","",IF($BK$8="C",INDEX(Tính!$Q$39:$Q$83,$CD$19)&amp;"/"&amp;$BK$1,IF($BK$8="V",INDEX(Tính!$R$39:$R$83,$CD$19)&amp;"/"&amp;$BL$1,IF($BL$8="","",INDEX(Tính!$C$182:$V$226,$CD$19,INDEX(Tính!$C$278:$V$322,$CD$19,$BL$8))))))</f>
        <v/>
      </c>
      <c r="F131" s="42" t="str">
        <f>IF($CD$20="","",IF($BK$8="C","NHÓM CHÍNH",IF($BK$8="V","NHÓM VƯỢT TRỘI",IF($BL$8="","",INDEX($BA$3:$BA$22,INDEX(Tính!$C$278:$V$322,$CD$20,$BL$8))))))</f>
        <v/>
      </c>
      <c r="G131" s="43" t="str">
        <f>IF(OR($CD$20="",$BL$8=""),"",INDEX(Tính!$C$86:$V$130,$CD$20,INDEX(Tính!$C$278:$V$322,$CD$20,$BL$8)))</f>
        <v/>
      </c>
      <c r="H131" s="43" t="str">
        <f>IF(OR($CD$20="",$BL$8=""),"",INDEX(Tính!$C$134:$V$178,$CD$20,INDEX(Tính!$C$278:$V$322,$CD$20,$BL$8)))</f>
        <v/>
      </c>
      <c r="I131" s="44" t="str">
        <f>IF($CD$20="","",IF($BK$8="C",INDEX(Tính!$Q$39:$Q$83,$CD$20)&amp;"/"&amp;$BK$1,IF($BK$8="V",INDEX(Tính!$R$39:$R$83,$CD$20)&amp;"/"&amp;$BL$1,IF($BL$8="","",INDEX(Tính!$C$182:$V$226,$CD$20,INDEX(Tính!$C$278:$V$322,$CD$20,$BL$8))))))</f>
        <v/>
      </c>
      <c r="K131" s="42" t="str">
        <f>IF($CD$21="","",IF($BK$8="C","NHÓM CHÍNH",IF($BK$8="V","NHÓM VƯỢT TRỘI",IF($BL$8="","",INDEX($BA$3:$BA$22,INDEX(Tính!$C$278:$V$322,$CD$21,$BL$8))))))</f>
        <v/>
      </c>
      <c r="L131" s="43" t="str">
        <f>IF(OR($CD$21="",$BL$8=""),"",INDEX(Tính!$C$86:$V$130,$CD$21,INDEX(Tính!$C$278:$V$322,$CD$21,$BL$8)))</f>
        <v/>
      </c>
      <c r="M131" s="43" t="str">
        <f>IF(OR($CD$21="",$BL$8=""),"",INDEX(Tính!$C$134:$V$178,$CD$21,INDEX(Tính!$C$278:$V$322,$CD$21,$BL$8)))</f>
        <v/>
      </c>
      <c r="N131" s="44" t="str">
        <f>IF($CD$21="","",IF($BK$8="C",INDEX(Tính!$Q$39:$Q$83,$CD$21)&amp;"/"&amp;$BK$1,IF($BK$8="V",INDEX(Tính!$R$39:$R$83,$CD$21)&amp;"/"&amp;$BL$1,IF($BL$8="","",INDEX(Tính!$C$182:$V$226,$CD$21,INDEX(Tính!$C$278:$V$322,$CD$21,$BL$8))))))</f>
        <v/>
      </c>
      <c r="P131" s="42" t="str">
        <f>IF($CD$22="","",IF($BK$8="C","NHÓM CHÍNH",IF($BK$8="V","NHÓM VƯỢT TRỘI",IF($BL$8="","",INDEX($BA$3:$BA$22,INDEX(Tính!$C$278:$V$322,$CD$22,$BL$8))))))</f>
        <v/>
      </c>
      <c r="Q131" s="43" t="str">
        <f>IF(OR($CD$22="",$BL$8=""),"",INDEX(Tính!$C$86:$V$130,$CD$22,INDEX(Tính!$C$278:$V$322,$CD$22,$BL$8)))</f>
        <v/>
      </c>
      <c r="R131" s="43" t="str">
        <f>IF(OR($CD$22="",$BL$8=""),"",INDEX(Tính!$C$134:$V$178,$CD$22,INDEX(Tính!$C$278:$V$322,$CD$22,$BL$8)))</f>
        <v/>
      </c>
      <c r="S131" s="44" t="str">
        <f>IF($CD$22="","",IF($BK$8="C",INDEX(Tính!$Q$39:$Q$83,$CD$22)&amp;"/"&amp;$BK$1,IF($BK$8="V",INDEX(Tính!$R$39:$R$83,$CD$22)&amp;"/"&amp;$BL$1,IF($BL$8="","",INDEX(Tính!$C$182:$V$226,$CD$22,INDEX(Tính!$C$278:$V$322,$CD$22,$BL$8))))))</f>
        <v/>
      </c>
    </row>
    <row r="132" spans="1:19" x14ac:dyDescent="0.3">
      <c r="A132" s="42" t="str">
        <f>IF($CD$19="","",IF($BK$9="C","NHÓM CHÍNH",IF($BK$9="V","NHÓM VƯỢT TRỘI",IF($BL$9="","",INDEX($BA$3:$BA$22,INDEX(Tính!$C$278:$V$322,$CD$19,$BL$9))))))</f>
        <v/>
      </c>
      <c r="B132" s="43" t="str">
        <f>IF(OR($CD$19="",$BL$9=""),"",INDEX(Tính!$C$86:$V$130,$CD$19,INDEX(Tính!$C$278:$V$322,$CD$19,$BL$9)))</f>
        <v/>
      </c>
      <c r="C132" s="43" t="str">
        <f>IF(OR($CD$19="",$BL$9=""),"",INDEX(Tính!$C$134:$V$178,$CD$19,INDEX(Tính!$C$278:$V$322,$CD$19,$BL$9)))</f>
        <v/>
      </c>
      <c r="D132" s="44" t="str">
        <f>IF($CD$19="","",IF($BK$9="C",INDEX(Tính!$Q$39:$Q$83,$CD$19)&amp;"/"&amp;$BK$1,IF($BK$9="V",INDEX(Tính!$R$39:$R$83,$CD$19)&amp;"/"&amp;$BL$1,IF($BL$9="","",INDEX(Tính!$C$182:$V$226,$CD$19,INDEX(Tính!$C$278:$V$322,$CD$19,$BL$9))))))</f>
        <v/>
      </c>
      <c r="F132" s="42" t="str">
        <f>IF($CD$20="","",IF($BK$9="C","NHÓM CHÍNH",IF($BK$9="V","NHÓM VƯỢT TRỘI",IF($BL$9="","",INDEX($BA$3:$BA$22,INDEX(Tính!$C$278:$V$322,$CD$20,$BL$9))))))</f>
        <v/>
      </c>
      <c r="G132" s="43" t="str">
        <f>IF(OR($CD$20="",$BL$9=""),"",INDEX(Tính!$C$86:$V$130,$CD$20,INDEX(Tính!$C$278:$V$322,$CD$20,$BL$9)))</f>
        <v/>
      </c>
      <c r="H132" s="43" t="str">
        <f>IF(OR($CD$20="",$BL$9=""),"",INDEX(Tính!$C$134:$V$178,$CD$20,INDEX(Tính!$C$278:$V$322,$CD$20,$BL$9)))</f>
        <v/>
      </c>
      <c r="I132" s="44" t="str">
        <f>IF($CD$20="","",IF($BK$9="C",INDEX(Tính!$Q$39:$Q$83,$CD$20)&amp;"/"&amp;$BK$1,IF($BK$9="V",INDEX(Tính!$R$39:$R$83,$CD$20)&amp;"/"&amp;$BL$1,IF($BL$9="","",INDEX(Tính!$C$182:$V$226,$CD$20,INDEX(Tính!$C$278:$V$322,$CD$20,$BL$9))))))</f>
        <v/>
      </c>
      <c r="K132" s="42" t="str">
        <f>IF($CD$21="","",IF($BK$9="C","NHÓM CHÍNH",IF($BK$9="V","NHÓM VƯỢT TRỘI",IF($BL$9="","",INDEX($BA$3:$BA$22,INDEX(Tính!$C$278:$V$322,$CD$21,$BL$9))))))</f>
        <v/>
      </c>
      <c r="L132" s="43" t="str">
        <f>IF(OR($CD$21="",$BL$9=""),"",INDEX(Tính!$C$86:$V$130,$CD$21,INDEX(Tính!$C$278:$V$322,$CD$21,$BL$9)))</f>
        <v/>
      </c>
      <c r="M132" s="43" t="str">
        <f>IF(OR($CD$21="",$BL$9=""),"",INDEX(Tính!$C$134:$V$178,$CD$21,INDEX(Tính!$C$278:$V$322,$CD$21,$BL$9)))</f>
        <v/>
      </c>
      <c r="N132" s="44" t="str">
        <f>IF($CD$21="","",IF($BK$9="C",INDEX(Tính!$Q$39:$Q$83,$CD$21)&amp;"/"&amp;$BK$1,IF($BK$9="V",INDEX(Tính!$R$39:$R$83,$CD$21)&amp;"/"&amp;$BL$1,IF($BL$9="","",INDEX(Tính!$C$182:$V$226,$CD$21,INDEX(Tính!$C$278:$V$322,$CD$21,$BL$9))))))</f>
        <v/>
      </c>
      <c r="P132" s="42" t="str">
        <f>IF($CD$22="","",IF($BK$9="C","NHÓM CHÍNH",IF($BK$9="V","NHÓM VƯỢT TRỘI",IF($BL$9="","",INDEX($BA$3:$BA$22,INDEX(Tính!$C$278:$V$322,$CD$22,$BL$9))))))</f>
        <v/>
      </c>
      <c r="Q132" s="43" t="str">
        <f>IF(OR($CD$22="",$BL$9=""),"",INDEX(Tính!$C$86:$V$130,$CD$22,INDEX(Tính!$C$278:$V$322,$CD$22,$BL$9)))</f>
        <v/>
      </c>
      <c r="R132" s="43" t="str">
        <f>IF(OR($CD$22="",$BL$9=""),"",INDEX(Tính!$C$134:$V$178,$CD$22,INDEX(Tính!$C$278:$V$322,$CD$22,$BL$9)))</f>
        <v/>
      </c>
      <c r="S132" s="44" t="str">
        <f>IF($CD$22="","",IF($BK$9="C",INDEX(Tính!$Q$39:$Q$83,$CD$22)&amp;"/"&amp;$BK$1,IF($BK$9="V",INDEX(Tính!$R$39:$R$83,$CD$22)&amp;"/"&amp;$BL$1,IF($BL$9="","",INDEX(Tính!$C$182:$V$226,$CD$22,INDEX(Tính!$C$278:$V$322,$CD$22,$BL$9))))))</f>
        <v/>
      </c>
    </row>
    <row r="133" spans="1:19" x14ac:dyDescent="0.3">
      <c r="A133" s="42" t="str">
        <f>IF($CD$19="","",IF($BK$10="C","NHÓM CHÍNH",IF($BK$10="V","NHÓM VƯỢT TRỘI",IF($BL$10="","",INDEX($BA$3:$BA$22,INDEX(Tính!$C$278:$V$322,$CD$19,$BL$10))))))</f>
        <v/>
      </c>
      <c r="B133" s="43" t="str">
        <f>IF(OR($CD$19="",$BL$10=""),"",INDEX(Tính!$C$86:$V$130,$CD$19,INDEX(Tính!$C$278:$V$322,$CD$19,$BL$10)))</f>
        <v/>
      </c>
      <c r="C133" s="43" t="str">
        <f>IF(OR($CD$19="",$BL$10=""),"",INDEX(Tính!$C$134:$V$178,$CD$19,INDEX(Tính!$C$278:$V$322,$CD$19,$BL$10)))</f>
        <v/>
      </c>
      <c r="D133" s="44" t="str">
        <f>IF($CD$19="","",IF($BK$10="C",INDEX(Tính!$Q$39:$Q$83,$CD$19)&amp;"/"&amp;$BK$1,IF($BK$10="V",INDEX(Tính!$R$39:$R$83,$CD$19)&amp;"/"&amp;$BL$1,IF($BL$10="","",INDEX(Tính!$C$182:$V$226,$CD$19,INDEX(Tính!$C$278:$V$322,$CD$19,$BL$10))))))</f>
        <v/>
      </c>
      <c r="F133" s="42" t="str">
        <f>IF($CD$20="","",IF($BK$10="C","NHÓM CHÍNH",IF($BK$10="V","NHÓM VƯỢT TRỘI",IF($BL$10="","",INDEX($BA$3:$BA$22,INDEX(Tính!$C$278:$V$322,$CD$20,$BL$10))))))</f>
        <v/>
      </c>
      <c r="G133" s="43" t="str">
        <f>IF(OR($CD$20="",$BL$10=""),"",INDEX(Tính!$C$86:$V$130,$CD$20,INDEX(Tính!$C$278:$V$322,$CD$20,$BL$10)))</f>
        <v/>
      </c>
      <c r="H133" s="43" t="str">
        <f>IF(OR($CD$20="",$BL$10=""),"",INDEX(Tính!$C$134:$V$178,$CD$20,INDEX(Tính!$C$278:$V$322,$CD$20,$BL$10)))</f>
        <v/>
      </c>
      <c r="I133" s="44" t="str">
        <f>IF($CD$20="","",IF($BK$10="C",INDEX(Tính!$Q$39:$Q$83,$CD$20)&amp;"/"&amp;$BK$1,IF($BK$10="V",INDEX(Tính!$R$39:$R$83,$CD$20)&amp;"/"&amp;$BL$1,IF($BL$10="","",INDEX(Tính!$C$182:$V$226,$CD$20,INDEX(Tính!$C$278:$V$322,$CD$20,$BL$10))))))</f>
        <v/>
      </c>
      <c r="K133" s="42" t="str">
        <f>IF($CD$21="","",IF($BK$10="C","NHÓM CHÍNH",IF($BK$10="V","NHÓM VƯỢT TRỘI",IF($BL$10="","",INDEX($BA$3:$BA$22,INDEX(Tính!$C$278:$V$322,$CD$21,$BL$10))))))</f>
        <v/>
      </c>
      <c r="L133" s="43" t="str">
        <f>IF(OR($CD$21="",$BL$10=""),"",INDEX(Tính!$C$86:$V$130,$CD$21,INDEX(Tính!$C$278:$V$322,$CD$21,$BL$10)))</f>
        <v/>
      </c>
      <c r="M133" s="43" t="str">
        <f>IF(OR($CD$21="",$BL$10=""),"",INDEX(Tính!$C$134:$V$178,$CD$21,INDEX(Tính!$C$278:$V$322,$CD$21,$BL$10)))</f>
        <v/>
      </c>
      <c r="N133" s="44" t="str">
        <f>IF($CD$21="","",IF($BK$10="C",INDEX(Tính!$Q$39:$Q$83,$CD$21)&amp;"/"&amp;$BK$1,IF($BK$10="V",INDEX(Tính!$R$39:$R$83,$CD$21)&amp;"/"&amp;$BL$1,IF($BL$10="","",INDEX(Tính!$C$182:$V$226,$CD$21,INDEX(Tính!$C$278:$V$322,$CD$21,$BL$10))))))</f>
        <v/>
      </c>
      <c r="P133" s="42" t="str">
        <f>IF($CD$22="","",IF($BK$10="C","NHÓM CHÍNH",IF($BK$10="V","NHÓM VƯỢT TRỘI",IF($BL$10="","",INDEX($BA$3:$BA$22,INDEX(Tính!$C$278:$V$322,$CD$22,$BL$10))))))</f>
        <v/>
      </c>
      <c r="Q133" s="43" t="str">
        <f>IF(OR($CD$22="",$BL$10=""),"",INDEX(Tính!$C$86:$V$130,$CD$22,INDEX(Tính!$C$278:$V$322,$CD$22,$BL$10)))</f>
        <v/>
      </c>
      <c r="R133" s="43" t="str">
        <f>IF(OR($CD$22="",$BL$10=""),"",INDEX(Tính!$C$134:$V$178,$CD$22,INDEX(Tính!$C$278:$V$322,$CD$22,$BL$10)))</f>
        <v/>
      </c>
      <c r="S133" s="44" t="str">
        <f>IF($CD$22="","",IF($BK$10="C",INDEX(Tính!$Q$39:$Q$83,$CD$22)&amp;"/"&amp;$BK$1,IF($BK$10="V",INDEX(Tính!$R$39:$R$83,$CD$22)&amp;"/"&amp;$BL$1,IF($BL$10="","",INDEX(Tính!$C$182:$V$226,$CD$22,INDEX(Tính!$C$278:$V$322,$CD$22,$BL$10))))))</f>
        <v/>
      </c>
    </row>
    <row r="134" spans="1:19" x14ac:dyDescent="0.3">
      <c r="A134" s="42" t="str">
        <f>IF($CD$19="","",IF($BK$11="C","NHÓM CHÍNH",IF($BK$11="V","NHÓM VƯỢT TRỘI",IF($BL$11="","",INDEX($BA$3:$BA$22,INDEX(Tính!$C$278:$V$322,$CD$19,$BL$11))))))</f>
        <v/>
      </c>
      <c r="B134" s="43" t="str">
        <f>IF(OR($CD$19="",$BL$11=""),"",INDEX(Tính!$C$86:$V$130,$CD$19,INDEX(Tính!$C$278:$V$322,$CD$19,$BL$11)))</f>
        <v/>
      </c>
      <c r="C134" s="43" t="str">
        <f>IF(OR($CD$19="",$BL$11=""),"",INDEX(Tính!$C$134:$V$178,$CD$19,INDEX(Tính!$C$278:$V$322,$CD$19,$BL$11)))</f>
        <v/>
      </c>
      <c r="D134" s="44" t="str">
        <f>IF($CD$19="","",IF($BK$11="C",INDEX(Tính!$Q$39:$Q$83,$CD$19)&amp;"/"&amp;$BK$1,IF($BK$11="V",INDEX(Tính!$R$39:$R$83,$CD$19)&amp;"/"&amp;$BL$1,IF($BL$11="","",INDEX(Tính!$C$182:$V$226,$CD$19,INDEX(Tính!$C$278:$V$322,$CD$19,$BL$11))))))</f>
        <v/>
      </c>
      <c r="F134" s="42" t="str">
        <f>IF($CD$20="","",IF($BK$11="C","NHÓM CHÍNH",IF($BK$11="V","NHÓM VƯỢT TRỘI",IF($BL$11="","",INDEX($BA$3:$BA$22,INDEX(Tính!$C$278:$V$322,$CD$20,$BL$11))))))</f>
        <v/>
      </c>
      <c r="G134" s="43" t="str">
        <f>IF(OR($CD$20="",$BL$11=""),"",INDEX(Tính!$C$86:$V$130,$CD$20,INDEX(Tính!$C$278:$V$322,$CD$20,$BL$11)))</f>
        <v/>
      </c>
      <c r="H134" s="43" t="str">
        <f>IF(OR($CD$20="",$BL$11=""),"",INDEX(Tính!$C$134:$V$178,$CD$20,INDEX(Tính!$C$278:$V$322,$CD$20,$BL$11)))</f>
        <v/>
      </c>
      <c r="I134" s="44" t="str">
        <f>IF($CD$20="","",IF($BK$11="C",INDEX(Tính!$Q$39:$Q$83,$CD$20)&amp;"/"&amp;$BK$1,IF($BK$11="V",INDEX(Tính!$R$39:$R$83,$CD$20)&amp;"/"&amp;$BL$1,IF($BL$11="","",INDEX(Tính!$C$182:$V$226,$CD$20,INDEX(Tính!$C$278:$V$322,$CD$20,$BL$11))))))</f>
        <v/>
      </c>
      <c r="K134" s="42" t="str">
        <f>IF($CD$21="","",IF($BK$11="C","NHÓM CHÍNH",IF($BK$11="V","NHÓM VƯỢT TRỘI",IF($BL$11="","",INDEX($BA$3:$BA$22,INDEX(Tính!$C$278:$V$322,$CD$21,$BL$11))))))</f>
        <v/>
      </c>
      <c r="L134" s="43" t="str">
        <f>IF(OR($CD$21="",$BL$11=""),"",INDEX(Tính!$C$86:$V$130,$CD$21,INDEX(Tính!$C$278:$V$322,$CD$21,$BL$11)))</f>
        <v/>
      </c>
      <c r="M134" s="43" t="str">
        <f>IF(OR($CD$21="",$BL$11=""),"",INDEX(Tính!$C$134:$V$178,$CD$21,INDEX(Tính!$C$278:$V$322,$CD$21,$BL$11)))</f>
        <v/>
      </c>
      <c r="N134" s="44" t="str">
        <f>IF($CD$21="","",IF($BK$11="C",INDEX(Tính!$Q$39:$Q$83,$CD$21)&amp;"/"&amp;$BK$1,IF($BK$11="V",INDEX(Tính!$R$39:$R$83,$CD$21)&amp;"/"&amp;$BL$1,IF($BL$11="","",INDEX(Tính!$C$182:$V$226,$CD$21,INDEX(Tính!$C$278:$V$322,$CD$21,$BL$11))))))</f>
        <v/>
      </c>
      <c r="P134" s="42" t="str">
        <f>IF($CD$22="","",IF($BK$11="C","NHÓM CHÍNH",IF($BK$11="V","NHÓM VƯỢT TRỘI",IF($BL$11="","",INDEX($BA$3:$BA$22,INDEX(Tính!$C$278:$V$322,$CD$22,$BL$11))))))</f>
        <v/>
      </c>
      <c r="Q134" s="43" t="str">
        <f>IF(OR($CD$22="",$BL$11=""),"",INDEX(Tính!$C$86:$V$130,$CD$22,INDEX(Tính!$C$278:$V$322,$CD$22,$BL$11)))</f>
        <v/>
      </c>
      <c r="R134" s="43" t="str">
        <f>IF(OR($CD$22="",$BL$11=""),"",INDEX(Tính!$C$134:$V$178,$CD$22,INDEX(Tính!$C$278:$V$322,$CD$22,$BL$11)))</f>
        <v/>
      </c>
      <c r="S134" s="44" t="str">
        <f>IF($CD$22="","",IF($BK$11="C",INDEX(Tính!$Q$39:$Q$83,$CD$22)&amp;"/"&amp;$BK$1,IF($BK$11="V",INDEX(Tính!$R$39:$R$83,$CD$22)&amp;"/"&amp;$BL$1,IF($BL$11="","",INDEX(Tính!$C$182:$V$226,$CD$22,INDEX(Tính!$C$278:$V$322,$CD$22,$BL$11))))))</f>
        <v/>
      </c>
    </row>
    <row r="135" spans="1:19" x14ac:dyDescent="0.3">
      <c r="A135" s="42" t="str">
        <f>IF($CD$19="","",IF($BK$12="C","NHÓM CHÍNH",IF($BK$12="V","NHÓM VƯỢT TRỘI",IF($BL$12="","",INDEX($BA$3:$BA$22,INDEX(Tính!$C$278:$V$322,$CD$19,$BL$12))))))</f>
        <v/>
      </c>
      <c r="B135" s="43" t="str">
        <f>IF(OR($CD$19="",$BL$12=""),"",INDEX(Tính!$C$86:$V$130,$CD$19,INDEX(Tính!$C$278:$V$322,$CD$19,$BL$12)))</f>
        <v/>
      </c>
      <c r="C135" s="43" t="str">
        <f>IF(OR($CD$19="",$BL$12=""),"",INDEX(Tính!$C$134:$V$178,$CD$19,INDEX(Tính!$C$278:$V$322,$CD$19,$BL$12)))</f>
        <v/>
      </c>
      <c r="D135" s="44" t="str">
        <f>IF($CD$19="","",IF($BK$12="C",INDEX(Tính!$Q$39:$Q$83,$CD$19)&amp;"/"&amp;$BK$1,IF($BK$12="V",INDEX(Tính!$R$39:$R$83,$CD$19)&amp;"/"&amp;$BL$1,IF($BL$12="","",INDEX(Tính!$C$182:$V$226,$CD$19,INDEX(Tính!$C$278:$V$322,$CD$19,$BL$12))))))</f>
        <v/>
      </c>
      <c r="F135" s="42" t="str">
        <f>IF($CD$20="","",IF($BK$12="C","NHÓM CHÍNH",IF($BK$12="V","NHÓM VƯỢT TRỘI",IF($BL$12="","",INDEX($BA$3:$BA$22,INDEX(Tính!$C$278:$V$322,$CD$20,$BL$12))))))</f>
        <v/>
      </c>
      <c r="G135" s="43" t="str">
        <f>IF(OR($CD$20="",$BL$12=""),"",INDEX(Tính!$C$86:$V$130,$CD$20,INDEX(Tính!$C$278:$V$322,$CD$20,$BL$12)))</f>
        <v/>
      </c>
      <c r="H135" s="43" t="str">
        <f>IF(OR($CD$20="",$BL$12=""),"",INDEX(Tính!$C$134:$V$178,$CD$20,INDEX(Tính!$C$278:$V$322,$CD$20,$BL$12)))</f>
        <v/>
      </c>
      <c r="I135" s="44" t="str">
        <f>IF($CD$20="","",IF($BK$12="C",INDEX(Tính!$Q$39:$Q$83,$CD$20)&amp;"/"&amp;$BK$1,IF($BK$12="V",INDEX(Tính!$R$39:$R$83,$CD$20)&amp;"/"&amp;$BL$1,IF($BL$12="","",INDEX(Tính!$C$182:$V$226,$CD$20,INDEX(Tính!$C$278:$V$322,$CD$20,$BL$12))))))</f>
        <v/>
      </c>
      <c r="K135" s="42" t="str">
        <f>IF($CD$21="","",IF($BK$12="C","NHÓM CHÍNH",IF($BK$12="V","NHÓM VƯỢT TRỘI",IF($BL$12="","",INDEX($BA$3:$BA$22,INDEX(Tính!$C$278:$V$322,$CD$21,$BL$12))))))</f>
        <v/>
      </c>
      <c r="L135" s="43" t="str">
        <f>IF(OR($CD$21="",$BL$12=""),"",INDEX(Tính!$C$86:$V$130,$CD$21,INDEX(Tính!$C$278:$V$322,$CD$21,$BL$12)))</f>
        <v/>
      </c>
      <c r="M135" s="43" t="str">
        <f>IF(OR($CD$21="",$BL$12=""),"",INDEX(Tính!$C$134:$V$178,$CD$21,INDEX(Tính!$C$278:$V$322,$CD$21,$BL$12)))</f>
        <v/>
      </c>
      <c r="N135" s="44" t="str">
        <f>IF($CD$21="","",IF($BK$12="C",INDEX(Tính!$Q$39:$Q$83,$CD$21)&amp;"/"&amp;$BK$1,IF($BK$12="V",INDEX(Tính!$R$39:$R$83,$CD$21)&amp;"/"&amp;$BL$1,IF($BL$12="","",INDEX(Tính!$C$182:$V$226,$CD$21,INDEX(Tính!$C$278:$V$322,$CD$21,$BL$12))))))</f>
        <v/>
      </c>
      <c r="P135" s="42" t="str">
        <f>IF($CD$22="","",IF($BK$12="C","NHÓM CHÍNH",IF($BK$12="V","NHÓM VƯỢT TRỘI",IF($BL$12="","",INDEX($BA$3:$BA$22,INDEX(Tính!$C$278:$V$322,$CD$22,$BL$12))))))</f>
        <v/>
      </c>
      <c r="Q135" s="43" t="str">
        <f>IF(OR($CD$22="",$BL$12=""),"",INDEX(Tính!$C$86:$V$130,$CD$22,INDEX(Tính!$C$278:$V$322,$CD$22,$BL$12)))</f>
        <v/>
      </c>
      <c r="R135" s="43" t="str">
        <f>IF(OR($CD$22="",$BL$12=""),"",INDEX(Tính!$C$134:$V$178,$CD$22,INDEX(Tính!$C$278:$V$322,$CD$22,$BL$12)))</f>
        <v/>
      </c>
      <c r="S135" s="44" t="str">
        <f>IF($CD$22="","",IF($BK$12="C",INDEX(Tính!$Q$39:$Q$83,$CD$22)&amp;"/"&amp;$BK$1,IF($BK$12="V",INDEX(Tính!$R$39:$R$83,$CD$22)&amp;"/"&amp;$BL$1,IF($BL$12="","",INDEX(Tính!$C$182:$V$226,$CD$22,INDEX(Tính!$C$278:$V$322,$CD$22,$BL$12))))))</f>
        <v/>
      </c>
    </row>
    <row r="136" spans="1:19" x14ac:dyDescent="0.3">
      <c r="A136" s="42" t="str">
        <f>IF($CD$19="","",IF($BK$13="C","NHÓM CHÍNH",IF($BK$13="V","NHÓM VƯỢT TRỘI",IF($BL$13="","",INDEX($BA$3:$BA$22,INDEX(Tính!$C$278:$V$322,$CD$19,$BL$13))))))</f>
        <v/>
      </c>
      <c r="B136" s="43" t="str">
        <f>IF(OR($CD$19="",$BL$13=""),"",INDEX(Tính!$C$86:$V$130,$CD$19,INDEX(Tính!$C$278:$V$322,$CD$19,$BL$13)))</f>
        <v/>
      </c>
      <c r="C136" s="43" t="str">
        <f>IF(OR($CD$19="",$BL$13=""),"",INDEX(Tính!$C$134:$V$178,$CD$19,INDEX(Tính!$C$278:$V$322,$CD$19,$BL$13)))</f>
        <v/>
      </c>
      <c r="D136" s="44" t="str">
        <f>IF($CD$19="","",IF($BK$13="C",INDEX(Tính!$Q$39:$Q$83,$CD$19)&amp;"/"&amp;$BK$1,IF($BK$13="V",INDEX(Tính!$R$39:$R$83,$CD$19)&amp;"/"&amp;$BL$1,IF($BL$13="","",INDEX(Tính!$C$182:$V$226,$CD$19,INDEX(Tính!$C$278:$V$322,$CD$19,$BL$13))))))</f>
        <v/>
      </c>
      <c r="F136" s="42" t="str">
        <f>IF($CD$20="","",IF($BK$13="C","NHÓM CHÍNH",IF($BK$13="V","NHÓM VƯỢT TRỘI",IF($BL$13="","",INDEX($BA$3:$BA$22,INDEX(Tính!$C$278:$V$322,$CD$20,$BL$13))))))</f>
        <v/>
      </c>
      <c r="G136" s="43" t="str">
        <f>IF(OR($CD$20="",$BL$13=""),"",INDEX(Tính!$C$86:$V$130,$CD$20,INDEX(Tính!$C$278:$V$322,$CD$20,$BL$13)))</f>
        <v/>
      </c>
      <c r="H136" s="43" t="str">
        <f>IF(OR($CD$20="",$BL$13=""),"",INDEX(Tính!$C$134:$V$178,$CD$20,INDEX(Tính!$C$278:$V$322,$CD$20,$BL$13)))</f>
        <v/>
      </c>
      <c r="I136" s="44" t="str">
        <f>IF($CD$20="","",IF($BK$13="C",INDEX(Tính!$Q$39:$Q$83,$CD$20)&amp;"/"&amp;$BK$1,IF($BK$13="V",INDEX(Tính!$R$39:$R$83,$CD$20)&amp;"/"&amp;$BL$1,IF($BL$13="","",INDEX(Tính!$C$182:$V$226,$CD$20,INDEX(Tính!$C$278:$V$322,$CD$20,$BL$13))))))</f>
        <v/>
      </c>
      <c r="K136" s="42" t="str">
        <f>IF($CD$21="","",IF($BK$13="C","NHÓM CHÍNH",IF($BK$13="V","NHÓM VƯỢT TRỘI",IF($BL$13="","",INDEX($BA$3:$BA$22,INDEX(Tính!$C$278:$V$322,$CD$21,$BL$13))))))</f>
        <v/>
      </c>
      <c r="L136" s="43" t="str">
        <f>IF(OR($CD$21="",$BL$13=""),"",INDEX(Tính!$C$86:$V$130,$CD$21,INDEX(Tính!$C$278:$V$322,$CD$21,$BL$13)))</f>
        <v/>
      </c>
      <c r="M136" s="43" t="str">
        <f>IF(OR($CD$21="",$BL$13=""),"",INDEX(Tính!$C$134:$V$178,$CD$21,INDEX(Tính!$C$278:$V$322,$CD$21,$BL$13)))</f>
        <v/>
      </c>
      <c r="N136" s="44" t="str">
        <f>IF($CD$21="","",IF($BK$13="C",INDEX(Tính!$Q$39:$Q$83,$CD$21)&amp;"/"&amp;$BK$1,IF($BK$13="V",INDEX(Tính!$R$39:$R$83,$CD$21)&amp;"/"&amp;$BL$1,IF($BL$13="","",INDEX(Tính!$C$182:$V$226,$CD$21,INDEX(Tính!$C$278:$V$322,$CD$21,$BL$13))))))</f>
        <v/>
      </c>
      <c r="P136" s="42" t="str">
        <f>IF($CD$22="","",IF($BK$13="C","NHÓM CHÍNH",IF($BK$13="V","NHÓM VƯỢT TRỘI",IF($BL$13="","",INDEX($BA$3:$BA$22,INDEX(Tính!$C$278:$V$322,$CD$22,$BL$13))))))</f>
        <v/>
      </c>
      <c r="Q136" s="43" t="str">
        <f>IF(OR($CD$22="",$BL$13=""),"",INDEX(Tính!$C$86:$V$130,$CD$22,INDEX(Tính!$C$278:$V$322,$CD$22,$BL$13)))</f>
        <v/>
      </c>
      <c r="R136" s="43" t="str">
        <f>IF(OR($CD$22="",$BL$13=""),"",INDEX(Tính!$C$134:$V$178,$CD$22,INDEX(Tính!$C$278:$V$322,$CD$22,$BL$13)))</f>
        <v/>
      </c>
      <c r="S136" s="44" t="str">
        <f>IF($CD$22="","",IF($BK$13="C",INDEX(Tính!$Q$39:$Q$83,$CD$22)&amp;"/"&amp;$BK$1,IF($BK$13="V",INDEX(Tính!$R$39:$R$83,$CD$22)&amp;"/"&amp;$BL$1,IF($BL$13="","",INDEX(Tính!$C$182:$V$226,$CD$22,INDEX(Tính!$C$278:$V$322,$CD$22,$BL$13))))))</f>
        <v/>
      </c>
    </row>
    <row r="137" spans="1:19" x14ac:dyDescent="0.3">
      <c r="A137" s="42" t="str">
        <f>IF($CD$19="","",IF($BK$14="C","NHÓM CHÍNH",IF($BK$14="V","NHÓM VƯỢT TRỘI",IF($BL$14="","",INDEX($BA$3:$BA$22,INDEX(Tính!$C$278:$V$322,$CD$19,$BL$14))))))</f>
        <v/>
      </c>
      <c r="B137" s="43" t="str">
        <f>IF(OR($CD$19="",$BL$14=""),"",INDEX(Tính!$C$86:$V$130,$CD$19,INDEX(Tính!$C$278:$V$322,$CD$19,$BL$14)))</f>
        <v/>
      </c>
      <c r="C137" s="43" t="str">
        <f>IF(OR($CD$19="",$BL$14=""),"",INDEX(Tính!$C$134:$V$178,$CD$19,INDEX(Tính!$C$278:$V$322,$CD$19,$BL$14)))</f>
        <v/>
      </c>
      <c r="D137" s="44" t="str">
        <f>IF($CD$19="","",IF($BK$14="C",INDEX(Tính!$Q$39:$Q$83,$CD$19)&amp;"/"&amp;$BK$1,IF($BK$14="V",INDEX(Tính!$R$39:$R$83,$CD$19)&amp;"/"&amp;$BL$1,IF($BL$14="","",INDEX(Tính!$C$182:$V$226,$CD$19,INDEX(Tính!$C$278:$V$322,$CD$19,$BL$14))))))</f>
        <v/>
      </c>
      <c r="F137" s="42" t="str">
        <f>IF($CD$20="","",IF($BK$14="C","NHÓM CHÍNH",IF($BK$14="V","NHÓM VƯỢT TRỘI",IF($BL$14="","",INDEX($BA$3:$BA$22,INDEX(Tính!$C$278:$V$322,$CD$20,$BL$14))))))</f>
        <v/>
      </c>
      <c r="G137" s="43" t="str">
        <f>IF(OR($CD$20="",$BL$14=""),"",INDEX(Tính!$C$86:$V$130,$CD$20,INDEX(Tính!$C$278:$V$322,$CD$20,$BL$14)))</f>
        <v/>
      </c>
      <c r="H137" s="43" t="str">
        <f>IF(OR($CD$20="",$BL$14=""),"",INDEX(Tính!$C$134:$V$178,$CD$20,INDEX(Tính!$C$278:$V$322,$CD$20,$BL$14)))</f>
        <v/>
      </c>
      <c r="I137" s="44" t="str">
        <f>IF($CD$20="","",IF($BK$14="C",INDEX(Tính!$Q$39:$Q$83,$CD$20)&amp;"/"&amp;$BK$1,IF($BK$14="V",INDEX(Tính!$R$39:$R$83,$CD$20)&amp;"/"&amp;$BL$1,IF($BL$14="","",INDEX(Tính!$C$182:$V$226,$CD$20,INDEX(Tính!$C$278:$V$322,$CD$20,$BL$14))))))</f>
        <v/>
      </c>
      <c r="K137" s="42" t="str">
        <f>IF($CD$21="","",IF($BK$14="C","NHÓM CHÍNH",IF($BK$14="V","NHÓM VƯỢT TRỘI",IF($BL$14="","",INDEX($BA$3:$BA$22,INDEX(Tính!$C$278:$V$322,$CD$21,$BL$14))))))</f>
        <v/>
      </c>
      <c r="L137" s="43" t="str">
        <f>IF(OR($CD$21="",$BL$14=""),"",INDEX(Tính!$C$86:$V$130,$CD$21,INDEX(Tính!$C$278:$V$322,$CD$21,$BL$14)))</f>
        <v/>
      </c>
      <c r="M137" s="43" t="str">
        <f>IF(OR($CD$21="",$BL$14=""),"",INDEX(Tính!$C$134:$V$178,$CD$21,INDEX(Tính!$C$278:$V$322,$CD$21,$BL$14)))</f>
        <v/>
      </c>
      <c r="N137" s="44" t="str">
        <f>IF($CD$21="","",IF($BK$14="C",INDEX(Tính!$Q$39:$Q$83,$CD$21)&amp;"/"&amp;$BK$1,IF($BK$14="V",INDEX(Tính!$R$39:$R$83,$CD$21)&amp;"/"&amp;$BL$1,IF($BL$14="","",INDEX(Tính!$C$182:$V$226,$CD$21,INDEX(Tính!$C$278:$V$322,$CD$21,$BL$14))))))</f>
        <v/>
      </c>
      <c r="P137" s="42" t="str">
        <f>IF($CD$22="","",IF($BK$14="C","NHÓM CHÍNH",IF($BK$14="V","NHÓM VƯỢT TRỘI",IF($BL$14="","",INDEX($BA$3:$BA$22,INDEX(Tính!$C$278:$V$322,$CD$22,$BL$14))))))</f>
        <v/>
      </c>
      <c r="Q137" s="43" t="str">
        <f>IF(OR($CD$22="",$BL$14=""),"",INDEX(Tính!$C$86:$V$130,$CD$22,INDEX(Tính!$C$278:$V$322,$CD$22,$BL$14)))</f>
        <v/>
      </c>
      <c r="R137" s="43" t="str">
        <f>IF(OR($CD$22="",$BL$14=""),"",INDEX(Tính!$C$134:$V$178,$CD$22,INDEX(Tính!$C$278:$V$322,$CD$22,$BL$14)))</f>
        <v/>
      </c>
      <c r="S137" s="44" t="str">
        <f>IF($CD$22="","",IF($BK$14="C",INDEX(Tính!$Q$39:$Q$83,$CD$22)&amp;"/"&amp;$BK$1,IF($BK$14="V",INDEX(Tính!$R$39:$R$83,$CD$22)&amp;"/"&amp;$BL$1,IF($BL$14="","",INDEX(Tính!$C$182:$V$226,$CD$22,INDEX(Tính!$C$278:$V$322,$CD$22,$BL$14))))))</f>
        <v/>
      </c>
    </row>
    <row r="138" spans="1:19" x14ac:dyDescent="0.3">
      <c r="A138" s="42" t="str">
        <f>IF($CD$19="","",IF($BK$15="C","NHÓM CHÍNH",IF($BK$15="V","NHÓM VƯỢT TRỘI",IF($BL$15="","",INDEX($BA$3:$BA$22,INDEX(Tính!$C$278:$V$322,$CD$19,$BL$15))))))</f>
        <v/>
      </c>
      <c r="B138" s="43" t="str">
        <f>IF(OR($CD$19="",$BL$15=""),"",INDEX(Tính!$C$86:$V$130,$CD$19,INDEX(Tính!$C$278:$V$322,$CD$19,$BL$15)))</f>
        <v/>
      </c>
      <c r="C138" s="43" t="str">
        <f>IF(OR($CD$19="",$BL$15=""),"",INDEX(Tính!$C$134:$V$178,$CD$19,INDEX(Tính!$C$278:$V$322,$CD$19,$BL$15)))</f>
        <v/>
      </c>
      <c r="D138" s="44" t="str">
        <f>IF($CD$19="","",IF($BK$15="C",INDEX(Tính!$Q$39:$Q$83,$CD$19)&amp;"/"&amp;$BK$1,IF($BK$15="V",INDEX(Tính!$R$39:$R$83,$CD$19)&amp;"/"&amp;$BL$1,IF($BL$15="","",INDEX(Tính!$C$182:$V$226,$CD$19,INDEX(Tính!$C$278:$V$322,$CD$19,$BL$15))))))</f>
        <v/>
      </c>
      <c r="F138" s="42" t="str">
        <f>IF($CD$20="","",IF($BK$15="C","NHÓM CHÍNH",IF($BK$15="V","NHÓM VƯỢT TRỘI",IF($BL$15="","",INDEX($BA$3:$BA$22,INDEX(Tính!$C$278:$V$322,$CD$20,$BL$15))))))</f>
        <v/>
      </c>
      <c r="G138" s="43" t="str">
        <f>IF(OR($CD$20="",$BL$15=""),"",INDEX(Tính!$C$86:$V$130,$CD$20,INDEX(Tính!$C$278:$V$322,$CD$20,$BL$15)))</f>
        <v/>
      </c>
      <c r="H138" s="43" t="str">
        <f>IF(OR($CD$20="",$BL$15=""),"",INDEX(Tính!$C$134:$V$178,$CD$20,INDEX(Tính!$C$278:$V$322,$CD$20,$BL$15)))</f>
        <v/>
      </c>
      <c r="I138" s="44" t="str">
        <f>IF($CD$20="","",IF($BK$15="C",INDEX(Tính!$Q$39:$Q$83,$CD$20)&amp;"/"&amp;$BK$1,IF($BK$15="V",INDEX(Tính!$R$39:$R$83,$CD$20)&amp;"/"&amp;$BL$1,IF($BL$15="","",INDEX(Tính!$C$182:$V$226,$CD$20,INDEX(Tính!$C$278:$V$322,$CD$20,$BL$15))))))</f>
        <v/>
      </c>
      <c r="K138" s="42" t="str">
        <f>IF($CD$21="","",IF($BK$15="C","NHÓM CHÍNH",IF($BK$15="V","NHÓM VƯỢT TRỘI",IF($BL$15="","",INDEX($BA$3:$BA$22,INDEX(Tính!$C$278:$V$322,$CD$21,$BL$15))))))</f>
        <v/>
      </c>
      <c r="L138" s="43" t="str">
        <f>IF(OR($CD$21="",$BL$15=""),"",INDEX(Tính!$C$86:$V$130,$CD$21,INDEX(Tính!$C$278:$V$322,$CD$21,$BL$15)))</f>
        <v/>
      </c>
      <c r="M138" s="43" t="str">
        <f>IF(OR($CD$21="",$BL$15=""),"",INDEX(Tính!$C$134:$V$178,$CD$21,INDEX(Tính!$C$278:$V$322,$CD$21,$BL$15)))</f>
        <v/>
      </c>
      <c r="N138" s="44" t="str">
        <f>IF($CD$21="","",IF($BK$15="C",INDEX(Tính!$Q$39:$Q$83,$CD$21)&amp;"/"&amp;$BK$1,IF($BK$15="V",INDEX(Tính!$R$39:$R$83,$CD$21)&amp;"/"&amp;$BL$1,IF($BL$15="","",INDEX(Tính!$C$182:$V$226,$CD$21,INDEX(Tính!$C$278:$V$322,$CD$21,$BL$15))))))</f>
        <v/>
      </c>
      <c r="P138" s="42" t="str">
        <f>IF($CD$22="","",IF($BK$15="C","NHÓM CHÍNH",IF($BK$15="V","NHÓM VƯỢT TRỘI",IF($BL$15="","",INDEX($BA$3:$BA$22,INDEX(Tính!$C$278:$V$322,$CD$22,$BL$15))))))</f>
        <v/>
      </c>
      <c r="Q138" s="43" t="str">
        <f>IF(OR($CD$22="",$BL$15=""),"",INDEX(Tính!$C$86:$V$130,$CD$22,INDEX(Tính!$C$278:$V$322,$CD$22,$BL$15)))</f>
        <v/>
      </c>
      <c r="R138" s="43" t="str">
        <f>IF(OR($CD$22="",$BL$15=""),"",INDEX(Tính!$C$134:$V$178,$CD$22,INDEX(Tính!$C$278:$V$322,$CD$22,$BL$15)))</f>
        <v/>
      </c>
      <c r="S138" s="44" t="str">
        <f>IF($CD$22="","",IF($BK$15="C",INDEX(Tính!$Q$39:$Q$83,$CD$22)&amp;"/"&amp;$BK$1,IF($BK$15="V",INDEX(Tính!$R$39:$R$83,$CD$22)&amp;"/"&amp;$BL$1,IF($BL$15="","",INDEX(Tính!$C$182:$V$226,$CD$22,INDEX(Tính!$C$278:$V$322,$CD$22,$BL$15))))))</f>
        <v/>
      </c>
    </row>
    <row r="139" spans="1:19" x14ac:dyDescent="0.3">
      <c r="A139" s="42" t="str">
        <f>IF($CD$19="","",IF($BK$16="C","NHÓM CHÍNH",IF($BK$16="V","NHÓM VƯỢT TRỘI",IF($BL$16="","",INDEX($BA$3:$BA$22,INDEX(Tính!$C$278:$V$322,$CD$19,$BL$16))))))</f>
        <v/>
      </c>
      <c r="B139" s="43" t="str">
        <f>IF(OR($CD$19="",$BL$16=""),"",INDEX(Tính!$C$86:$V$130,$CD$19,INDEX(Tính!$C$278:$V$322,$CD$19,$BL$16)))</f>
        <v/>
      </c>
      <c r="C139" s="43" t="str">
        <f>IF(OR($CD$19="",$BL$16=""),"",INDEX(Tính!$C$134:$V$178,$CD$19,INDEX(Tính!$C$278:$V$322,$CD$19,$BL$16)))</f>
        <v/>
      </c>
      <c r="D139" s="44" t="str">
        <f>IF($CD$19="","",IF($BK$16="C",INDEX(Tính!$Q$39:$Q$83,$CD$19)&amp;"/"&amp;$BK$1,IF($BK$16="V",INDEX(Tính!$R$39:$R$83,$CD$19)&amp;"/"&amp;$BL$1,IF($BL$16="","",INDEX(Tính!$C$182:$V$226,$CD$19,INDEX(Tính!$C$278:$V$322,$CD$19,$BL$16))))))</f>
        <v/>
      </c>
      <c r="F139" s="42" t="str">
        <f>IF($CD$20="","",IF($BK$16="C","NHÓM CHÍNH",IF($BK$16="V","NHÓM VƯỢT TRỘI",IF($BL$16="","",INDEX($BA$3:$BA$22,INDEX(Tính!$C$278:$V$322,$CD$20,$BL$16))))))</f>
        <v/>
      </c>
      <c r="G139" s="43" t="str">
        <f>IF(OR($CD$20="",$BL$16=""),"",INDEX(Tính!$C$86:$V$130,$CD$20,INDEX(Tính!$C$278:$V$322,$CD$20,$BL$16)))</f>
        <v/>
      </c>
      <c r="H139" s="43" t="str">
        <f>IF(OR($CD$20="",$BL$16=""),"",INDEX(Tính!$C$134:$V$178,$CD$20,INDEX(Tính!$C$278:$V$322,$CD$20,$BL$16)))</f>
        <v/>
      </c>
      <c r="I139" s="44" t="str">
        <f>IF($CD$20="","",IF($BK$16="C",INDEX(Tính!$Q$39:$Q$83,$CD$20)&amp;"/"&amp;$BK$1,IF($BK$16="V",INDEX(Tính!$R$39:$R$83,$CD$20)&amp;"/"&amp;$BL$1,IF($BL$16="","",INDEX(Tính!$C$182:$V$226,$CD$20,INDEX(Tính!$C$278:$V$322,$CD$20,$BL$16))))))</f>
        <v/>
      </c>
      <c r="K139" s="42" t="str">
        <f>IF($CD$21="","",IF($BK$16="C","NHÓM CHÍNH",IF($BK$16="V","NHÓM VƯỢT TRỘI",IF($BL$16="","",INDEX($BA$3:$BA$22,INDEX(Tính!$C$278:$V$322,$CD$21,$BL$16))))))</f>
        <v/>
      </c>
      <c r="L139" s="43" t="str">
        <f>IF(OR($CD$21="",$BL$16=""),"",INDEX(Tính!$C$86:$V$130,$CD$21,INDEX(Tính!$C$278:$V$322,$CD$21,$BL$16)))</f>
        <v/>
      </c>
      <c r="M139" s="43" t="str">
        <f>IF(OR($CD$21="",$BL$16=""),"",INDEX(Tính!$C$134:$V$178,$CD$21,INDEX(Tính!$C$278:$V$322,$CD$21,$BL$16)))</f>
        <v/>
      </c>
      <c r="N139" s="44" t="str">
        <f>IF($CD$21="","",IF($BK$16="C",INDEX(Tính!$Q$39:$Q$83,$CD$21)&amp;"/"&amp;$BK$1,IF($BK$16="V",INDEX(Tính!$R$39:$R$83,$CD$21)&amp;"/"&amp;$BL$1,IF($BL$16="","",INDEX(Tính!$C$182:$V$226,$CD$21,INDEX(Tính!$C$278:$V$322,$CD$21,$BL$16))))))</f>
        <v/>
      </c>
      <c r="P139" s="42" t="str">
        <f>IF($CD$22="","",IF($BK$16="C","NHÓM CHÍNH",IF($BK$16="V","NHÓM VƯỢT TRỘI",IF($BL$16="","",INDEX($BA$3:$BA$22,INDEX(Tính!$C$278:$V$322,$CD$22,$BL$16))))))</f>
        <v/>
      </c>
      <c r="Q139" s="43" t="str">
        <f>IF(OR($CD$22="",$BL$16=""),"",INDEX(Tính!$C$86:$V$130,$CD$22,INDEX(Tính!$C$278:$V$322,$CD$22,$BL$16)))</f>
        <v/>
      </c>
      <c r="R139" s="43" t="str">
        <f>IF(OR($CD$22="",$BL$16=""),"",INDEX(Tính!$C$134:$V$178,$CD$22,INDEX(Tính!$C$278:$V$322,$CD$22,$BL$16)))</f>
        <v/>
      </c>
      <c r="S139" s="44" t="str">
        <f>IF($CD$22="","",IF($BK$16="C",INDEX(Tính!$Q$39:$Q$83,$CD$22)&amp;"/"&amp;$BK$1,IF($BK$16="V",INDEX(Tính!$R$39:$R$83,$CD$22)&amp;"/"&amp;$BL$1,IF($BL$16="","",INDEX(Tính!$C$182:$V$226,$CD$22,INDEX(Tính!$C$278:$V$322,$CD$22,$BL$16))))))</f>
        <v/>
      </c>
    </row>
    <row r="140" spans="1:19" x14ac:dyDescent="0.3">
      <c r="A140" s="42" t="str">
        <f>IF($CD$19="","",IF($BK$17="C","NHÓM CHÍNH",IF($BK$17="V","NHÓM VƯỢT TRỘI",IF($BL$17="","",INDEX($BA$3:$BA$22,INDEX(Tính!$C$278:$V$322,$CD$19,$BL$17))))))</f>
        <v/>
      </c>
      <c r="B140" s="43" t="str">
        <f>IF(OR($CD$19="",$BL$17=""),"",INDEX(Tính!$C$86:$V$130,$CD$19,INDEX(Tính!$C$278:$V$322,$CD$19,$BL$17)))</f>
        <v/>
      </c>
      <c r="C140" s="43" t="str">
        <f>IF(OR($CD$19="",$BL$17=""),"",INDEX(Tính!$C$134:$V$178,$CD$19,INDEX(Tính!$C$278:$V$322,$CD$19,$BL$17)))</f>
        <v/>
      </c>
      <c r="D140" s="44" t="str">
        <f>IF($CD$19="","",IF($BK$17="C",INDEX(Tính!$Q$39:$Q$83,$CD$19)&amp;"/"&amp;$BK$1,IF($BK$17="V",INDEX(Tính!$R$39:$R$83,$CD$19)&amp;"/"&amp;$BL$1,IF($BL$17="","",INDEX(Tính!$C$182:$V$226,$CD$19,INDEX(Tính!$C$278:$V$322,$CD$19,$BL$17))))))</f>
        <v/>
      </c>
      <c r="F140" s="42" t="str">
        <f>IF($CD$20="","",IF($BK$17="C","NHÓM CHÍNH",IF($BK$17="V","NHÓM VƯỢT TRỘI",IF($BL$17="","",INDEX($BA$3:$BA$22,INDEX(Tính!$C$278:$V$322,$CD$20,$BL$17))))))</f>
        <v/>
      </c>
      <c r="G140" s="43" t="str">
        <f>IF(OR($CD$20="",$BL$17=""),"",INDEX(Tính!$C$86:$V$130,$CD$20,INDEX(Tính!$C$278:$V$322,$CD$20,$BL$17)))</f>
        <v/>
      </c>
      <c r="H140" s="43" t="str">
        <f>IF(OR($CD$20="",$BL$17=""),"",INDEX(Tính!$C$134:$V$178,$CD$20,INDEX(Tính!$C$278:$V$322,$CD$20,$BL$17)))</f>
        <v/>
      </c>
      <c r="I140" s="44" t="str">
        <f>IF($CD$20="","",IF($BK$17="C",INDEX(Tính!$Q$39:$Q$83,$CD$20)&amp;"/"&amp;$BK$1,IF($BK$17="V",INDEX(Tính!$R$39:$R$83,$CD$20)&amp;"/"&amp;$BL$1,IF($BL$17="","",INDEX(Tính!$C$182:$V$226,$CD$20,INDEX(Tính!$C$278:$V$322,$CD$20,$BL$17))))))</f>
        <v/>
      </c>
      <c r="K140" s="42" t="str">
        <f>IF($CD$21="","",IF($BK$17="C","NHÓM CHÍNH",IF($BK$17="V","NHÓM VƯỢT TRỘI",IF($BL$17="","",INDEX($BA$3:$BA$22,INDEX(Tính!$C$278:$V$322,$CD$21,$BL$17))))))</f>
        <v/>
      </c>
      <c r="L140" s="43" t="str">
        <f>IF(OR($CD$21="",$BL$17=""),"",INDEX(Tính!$C$86:$V$130,$CD$21,INDEX(Tính!$C$278:$V$322,$CD$21,$BL$17)))</f>
        <v/>
      </c>
      <c r="M140" s="43" t="str">
        <f>IF(OR($CD$21="",$BL$17=""),"",INDEX(Tính!$C$134:$V$178,$CD$21,INDEX(Tính!$C$278:$V$322,$CD$21,$BL$17)))</f>
        <v/>
      </c>
      <c r="N140" s="44" t="str">
        <f>IF($CD$21="","",IF($BK$17="C",INDEX(Tính!$Q$39:$Q$83,$CD$21)&amp;"/"&amp;$BK$1,IF($BK$17="V",INDEX(Tính!$R$39:$R$83,$CD$21)&amp;"/"&amp;$BL$1,IF($BL$17="","",INDEX(Tính!$C$182:$V$226,$CD$21,INDEX(Tính!$C$278:$V$322,$CD$21,$BL$17))))))</f>
        <v/>
      </c>
      <c r="P140" s="42" t="str">
        <f>IF($CD$22="","",IF($BK$17="C","NHÓM CHÍNH",IF($BK$17="V","NHÓM VƯỢT TRỘI",IF($BL$17="","",INDEX($BA$3:$BA$22,INDEX(Tính!$C$278:$V$322,$CD$22,$BL$17))))))</f>
        <v/>
      </c>
      <c r="Q140" s="43" t="str">
        <f>IF(OR($CD$22="",$BL$17=""),"",INDEX(Tính!$C$86:$V$130,$CD$22,INDEX(Tính!$C$278:$V$322,$CD$22,$BL$17)))</f>
        <v/>
      </c>
      <c r="R140" s="43" t="str">
        <f>IF(OR($CD$22="",$BL$17=""),"",INDEX(Tính!$C$134:$V$178,$CD$22,INDEX(Tính!$C$278:$V$322,$CD$22,$BL$17)))</f>
        <v/>
      </c>
      <c r="S140" s="44" t="str">
        <f>IF($CD$22="","",IF($BK$17="C",INDEX(Tính!$Q$39:$Q$83,$CD$22)&amp;"/"&amp;$BK$1,IF($BK$17="V",INDEX(Tính!$R$39:$R$83,$CD$22)&amp;"/"&amp;$BL$1,IF($BL$17="","",INDEX(Tính!$C$182:$V$226,$CD$22,INDEX(Tính!$C$278:$V$322,$CD$22,$BL$17))))))</f>
        <v/>
      </c>
    </row>
    <row r="141" spans="1:19" x14ac:dyDescent="0.3">
      <c r="A141" s="42" t="str">
        <f>IF($CD$19="","",IF($BK$18="C","NHÓM CHÍNH",IF($BK$18="V","NHÓM VƯỢT TRỘI",IF($BL$18="","",INDEX($BA$3:$BA$22,INDEX(Tính!$C$278:$V$322,$CD$19,$BL$18))))))</f>
        <v/>
      </c>
      <c r="B141" s="43" t="str">
        <f>IF(OR($CD$19="",$BL$18=""),"",INDEX(Tính!$C$86:$V$130,$CD$19,INDEX(Tính!$C$278:$V$322,$CD$19,$BL$18)))</f>
        <v/>
      </c>
      <c r="C141" s="43" t="str">
        <f>IF(OR($CD$19="",$BL$18=""),"",INDEX(Tính!$C$134:$V$178,$CD$19,INDEX(Tính!$C$278:$V$322,$CD$19,$BL$18)))</f>
        <v/>
      </c>
      <c r="D141" s="44" t="str">
        <f>IF($CD$19="","",IF($BK$18="C",INDEX(Tính!$Q$39:$Q$83,$CD$19)&amp;"/"&amp;$BK$1,IF($BK$18="V",INDEX(Tính!$R$39:$R$83,$CD$19)&amp;"/"&amp;$BL$1,IF($BL$18="","",INDEX(Tính!$C$182:$V$226,$CD$19,INDEX(Tính!$C$278:$V$322,$CD$19,$BL$18))))))</f>
        <v/>
      </c>
      <c r="F141" s="42" t="str">
        <f>IF($CD$20="","",IF($BK$18="C","NHÓM CHÍNH",IF($BK$18="V","NHÓM VƯỢT TRỘI",IF($BL$18="","",INDEX($BA$3:$BA$22,INDEX(Tính!$C$278:$V$322,$CD$20,$BL$18))))))</f>
        <v/>
      </c>
      <c r="G141" s="43" t="str">
        <f>IF(OR($CD$20="",$BL$18=""),"",INDEX(Tính!$C$86:$V$130,$CD$20,INDEX(Tính!$C$278:$V$322,$CD$20,$BL$18)))</f>
        <v/>
      </c>
      <c r="H141" s="43" t="str">
        <f>IF(OR($CD$20="",$BL$18=""),"",INDEX(Tính!$C$134:$V$178,$CD$20,INDEX(Tính!$C$278:$V$322,$CD$20,$BL$18)))</f>
        <v/>
      </c>
      <c r="I141" s="44" t="str">
        <f>IF($CD$20="","",IF($BK$18="C",INDEX(Tính!$Q$39:$Q$83,$CD$20)&amp;"/"&amp;$BK$1,IF($BK$18="V",INDEX(Tính!$R$39:$R$83,$CD$20)&amp;"/"&amp;$BL$1,IF($BL$18="","",INDEX(Tính!$C$182:$V$226,$CD$20,INDEX(Tính!$C$278:$V$322,$CD$20,$BL$18))))))</f>
        <v/>
      </c>
      <c r="K141" s="42" t="str">
        <f>IF($CD$21="","",IF($BK$18="C","NHÓM CHÍNH",IF($BK$18="V","NHÓM VƯỢT TRỘI",IF($BL$18="","",INDEX($BA$3:$BA$22,INDEX(Tính!$C$278:$V$322,$CD$21,$BL$18))))))</f>
        <v/>
      </c>
      <c r="L141" s="43" t="str">
        <f>IF(OR($CD$21="",$BL$18=""),"",INDEX(Tính!$C$86:$V$130,$CD$21,INDEX(Tính!$C$278:$V$322,$CD$21,$BL$18)))</f>
        <v/>
      </c>
      <c r="M141" s="43" t="str">
        <f>IF(OR($CD$21="",$BL$18=""),"",INDEX(Tính!$C$134:$V$178,$CD$21,INDEX(Tính!$C$278:$V$322,$CD$21,$BL$18)))</f>
        <v/>
      </c>
      <c r="N141" s="44" t="str">
        <f>IF($CD$21="","",IF($BK$18="C",INDEX(Tính!$Q$39:$Q$83,$CD$21)&amp;"/"&amp;$BK$1,IF($BK$18="V",INDEX(Tính!$R$39:$R$83,$CD$21)&amp;"/"&amp;$BL$1,IF($BL$18="","",INDEX(Tính!$C$182:$V$226,$CD$21,INDEX(Tính!$C$278:$V$322,$CD$21,$BL$18))))))</f>
        <v/>
      </c>
      <c r="P141" s="42" t="str">
        <f>IF($CD$22="","",IF($BK$18="C","NHÓM CHÍNH",IF($BK$18="V","NHÓM VƯỢT TRỘI",IF($BL$18="","",INDEX($BA$3:$BA$22,INDEX(Tính!$C$278:$V$322,$CD$22,$BL$18))))))</f>
        <v/>
      </c>
      <c r="Q141" s="43" t="str">
        <f>IF(OR($CD$22="",$BL$18=""),"",INDEX(Tính!$C$86:$V$130,$CD$22,INDEX(Tính!$C$278:$V$322,$CD$22,$BL$18)))</f>
        <v/>
      </c>
      <c r="R141" s="43" t="str">
        <f>IF(OR($CD$22="",$BL$18=""),"",INDEX(Tính!$C$134:$V$178,$CD$22,INDEX(Tính!$C$278:$V$322,$CD$22,$BL$18)))</f>
        <v/>
      </c>
      <c r="S141" s="44" t="str">
        <f>IF($CD$22="","",IF($BK$18="C",INDEX(Tính!$Q$39:$Q$83,$CD$22)&amp;"/"&amp;$BK$1,IF($BK$18="V",INDEX(Tính!$R$39:$R$83,$CD$22)&amp;"/"&amp;$BL$1,IF($BL$18="","",INDEX(Tính!$C$182:$V$226,$CD$22,INDEX(Tính!$C$278:$V$322,$CD$22,$BL$18))))))</f>
        <v/>
      </c>
    </row>
    <row r="142" spans="1:19" x14ac:dyDescent="0.3">
      <c r="A142" s="42" t="str">
        <f>IF($CD$19="","",IF($BK$19="C","NHÓM CHÍNH",IF($BK$19="V","NHÓM VƯỢT TRỘI",IF($BL$19="","",INDEX($BA$3:$BA$22,INDEX(Tính!$C$278:$V$322,$CD$19,$BL$19))))))</f>
        <v/>
      </c>
      <c r="B142" s="43" t="str">
        <f>IF(OR($CD$19="",$BL$19=""),"",INDEX(Tính!$C$86:$V$130,$CD$19,INDEX(Tính!$C$278:$V$322,$CD$19,$BL$19)))</f>
        <v/>
      </c>
      <c r="C142" s="43" t="str">
        <f>IF(OR($CD$19="",$BL$19=""),"",INDEX(Tính!$C$134:$V$178,$CD$19,INDEX(Tính!$C$278:$V$322,$CD$19,$BL$19)))</f>
        <v/>
      </c>
      <c r="D142" s="44" t="str">
        <f>IF($CD$19="","",IF($BK$19="C",INDEX(Tính!$Q$39:$Q$83,$CD$19)&amp;"/"&amp;$BK$1,IF($BK$19="V",INDEX(Tính!$R$39:$R$83,$CD$19)&amp;"/"&amp;$BL$1,IF($BL$19="","",INDEX(Tính!$C$182:$V$226,$CD$19,INDEX(Tính!$C$278:$V$322,$CD$19,$BL$19))))))</f>
        <v/>
      </c>
      <c r="F142" s="42" t="str">
        <f>IF($CD$20="","",IF($BK$19="C","NHÓM CHÍNH",IF($BK$19="V","NHÓM VƯỢT TRỘI",IF($BL$19="","",INDEX($BA$3:$BA$22,INDEX(Tính!$C$278:$V$322,$CD$20,$BL$19))))))</f>
        <v/>
      </c>
      <c r="G142" s="43" t="str">
        <f>IF(OR($CD$20="",$BL$19=""),"",INDEX(Tính!$C$86:$V$130,$CD$20,INDEX(Tính!$C$278:$V$322,$CD$20,$BL$19)))</f>
        <v/>
      </c>
      <c r="H142" s="43" t="str">
        <f>IF(OR($CD$20="",$BL$19=""),"",INDEX(Tính!$C$134:$V$178,$CD$20,INDEX(Tính!$C$278:$V$322,$CD$20,$BL$19)))</f>
        <v/>
      </c>
      <c r="I142" s="44" t="str">
        <f>IF($CD$20="","",IF($BK$19="C",INDEX(Tính!$Q$39:$Q$83,$CD$20)&amp;"/"&amp;$BK$1,IF($BK$19="V",INDEX(Tính!$R$39:$R$83,$CD$20)&amp;"/"&amp;$BL$1,IF($BL$19="","",INDEX(Tính!$C$182:$V$226,$CD$20,INDEX(Tính!$C$278:$V$322,$CD$20,$BL$19))))))</f>
        <v/>
      </c>
      <c r="K142" s="42" t="str">
        <f>IF($CD$21="","",IF($BK$19="C","NHÓM CHÍNH",IF($BK$19="V","NHÓM VƯỢT TRỘI",IF($BL$19="","",INDEX($BA$3:$BA$22,INDEX(Tính!$C$278:$V$322,$CD$21,$BL$19))))))</f>
        <v/>
      </c>
      <c r="L142" s="43" t="str">
        <f>IF(OR($CD$21="",$BL$19=""),"",INDEX(Tính!$C$86:$V$130,$CD$21,INDEX(Tính!$C$278:$V$322,$CD$21,$BL$19)))</f>
        <v/>
      </c>
      <c r="M142" s="43" t="str">
        <f>IF(OR($CD$21="",$BL$19=""),"",INDEX(Tính!$C$134:$V$178,$CD$21,INDEX(Tính!$C$278:$V$322,$CD$21,$BL$19)))</f>
        <v/>
      </c>
      <c r="N142" s="44" t="str">
        <f>IF($CD$21="","",IF($BK$19="C",INDEX(Tính!$Q$39:$Q$83,$CD$21)&amp;"/"&amp;$BK$1,IF($BK$19="V",INDEX(Tính!$R$39:$R$83,$CD$21)&amp;"/"&amp;$BL$1,IF($BL$19="","",INDEX(Tính!$C$182:$V$226,$CD$21,INDEX(Tính!$C$278:$V$322,$CD$21,$BL$19))))))</f>
        <v/>
      </c>
      <c r="P142" s="42" t="str">
        <f>IF($CD$22="","",IF($BK$19="C","NHÓM CHÍNH",IF($BK$19="V","NHÓM VƯỢT TRỘI",IF($BL$19="","",INDEX($BA$3:$BA$22,INDEX(Tính!$C$278:$V$322,$CD$22,$BL$19))))))</f>
        <v/>
      </c>
      <c r="Q142" s="43" t="str">
        <f>IF(OR($CD$22="",$BL$19=""),"",INDEX(Tính!$C$86:$V$130,$CD$22,INDEX(Tính!$C$278:$V$322,$CD$22,$BL$19)))</f>
        <v/>
      </c>
      <c r="R142" s="43" t="str">
        <f>IF(OR($CD$22="",$BL$19=""),"",INDEX(Tính!$C$134:$V$178,$CD$22,INDEX(Tính!$C$278:$V$322,$CD$22,$BL$19)))</f>
        <v/>
      </c>
      <c r="S142" s="44" t="str">
        <f>IF($CD$22="","",IF($BK$19="C",INDEX(Tính!$Q$39:$Q$83,$CD$22)&amp;"/"&amp;$BK$1,IF($BK$19="V",INDEX(Tính!$R$39:$R$83,$CD$22)&amp;"/"&amp;$BL$1,IF($BL$19="","",INDEX(Tính!$C$182:$V$226,$CD$22,INDEX(Tính!$C$278:$V$322,$CD$22,$BL$19))))))</f>
        <v/>
      </c>
    </row>
    <row r="143" spans="1:19" x14ac:dyDescent="0.3">
      <c r="A143" s="42" t="str">
        <f>IF($CD$19="","",IF($BK$20="C","NHÓM CHÍNH",IF($BK$20="V","NHÓM VƯỢT TRỘI",IF($BL$20="","",INDEX($BA$3:$BA$22,INDEX(Tính!$C$278:$V$322,$CD$19,$BL$20))))))</f>
        <v/>
      </c>
      <c r="B143" s="43" t="str">
        <f>IF(OR($CD$19="",$BL$20=""),"",INDEX(Tính!$C$86:$V$130,$CD$19,INDEX(Tính!$C$278:$V$322,$CD$19,$BL$20)))</f>
        <v/>
      </c>
      <c r="C143" s="43" t="str">
        <f>IF(OR($CD$19="",$BL$20=""),"",INDEX(Tính!$C$134:$V$178,$CD$19,INDEX(Tính!$C$278:$V$322,$CD$19,$BL$20)))</f>
        <v/>
      </c>
      <c r="D143" s="44" t="str">
        <f>IF($CD$19="","",IF($BK$20="C",INDEX(Tính!$Q$39:$Q$83,$CD$19)&amp;"/"&amp;$BK$1,IF($BK$20="V",INDEX(Tính!$R$39:$R$83,$CD$19)&amp;"/"&amp;$BL$1,IF($BL$20="","",INDEX(Tính!$C$182:$V$226,$CD$19,INDEX(Tính!$C$278:$V$322,$CD$19,$BL$20))))))</f>
        <v/>
      </c>
      <c r="F143" s="42" t="str">
        <f>IF($CD$20="","",IF($BK$20="C","NHÓM CHÍNH",IF($BK$20="V","NHÓM VƯỢT TRỘI",IF($BL$20="","",INDEX($BA$3:$BA$22,INDEX(Tính!$C$278:$V$322,$CD$20,$BL$20))))))</f>
        <v/>
      </c>
      <c r="G143" s="43" t="str">
        <f>IF(OR($CD$20="",$BL$20=""),"",INDEX(Tính!$C$86:$V$130,$CD$20,INDEX(Tính!$C$278:$V$322,$CD$20,$BL$20)))</f>
        <v/>
      </c>
      <c r="H143" s="43" t="str">
        <f>IF(OR($CD$20="",$BL$20=""),"",INDEX(Tính!$C$134:$V$178,$CD$20,INDEX(Tính!$C$278:$V$322,$CD$20,$BL$20)))</f>
        <v/>
      </c>
      <c r="I143" s="44" t="str">
        <f>IF($CD$20="","",IF($BK$20="C",INDEX(Tính!$Q$39:$Q$83,$CD$20)&amp;"/"&amp;$BK$1,IF($BK$20="V",INDEX(Tính!$R$39:$R$83,$CD$20)&amp;"/"&amp;$BL$1,IF($BL$20="","",INDEX(Tính!$C$182:$V$226,$CD$20,INDEX(Tính!$C$278:$V$322,$CD$20,$BL$20))))))</f>
        <v/>
      </c>
      <c r="K143" s="42" t="str">
        <f>IF($CD$21="","",IF($BK$20="C","NHÓM CHÍNH",IF($BK$20="V","NHÓM VƯỢT TRỘI",IF($BL$20="","",INDEX($BA$3:$BA$22,INDEX(Tính!$C$278:$V$322,$CD$21,$BL$20))))))</f>
        <v/>
      </c>
      <c r="L143" s="43" t="str">
        <f>IF(OR($CD$21="",$BL$20=""),"",INDEX(Tính!$C$86:$V$130,$CD$21,INDEX(Tính!$C$278:$V$322,$CD$21,$BL$20)))</f>
        <v/>
      </c>
      <c r="M143" s="43" t="str">
        <f>IF(OR($CD$21="",$BL$20=""),"",INDEX(Tính!$C$134:$V$178,$CD$21,INDEX(Tính!$C$278:$V$322,$CD$21,$BL$20)))</f>
        <v/>
      </c>
      <c r="N143" s="44" t="str">
        <f>IF($CD$21="","",IF($BK$20="C",INDEX(Tính!$Q$39:$Q$83,$CD$21)&amp;"/"&amp;$BK$1,IF($BK$20="V",INDEX(Tính!$R$39:$R$83,$CD$21)&amp;"/"&amp;$BL$1,IF($BL$20="","",INDEX(Tính!$C$182:$V$226,$CD$21,INDEX(Tính!$C$278:$V$322,$CD$21,$BL$20))))))</f>
        <v/>
      </c>
      <c r="P143" s="42" t="str">
        <f>IF($CD$22="","",IF($BK$20="C","NHÓM CHÍNH",IF($BK$20="V","NHÓM VƯỢT TRỘI",IF($BL$20="","",INDEX($BA$3:$BA$22,INDEX(Tính!$C$278:$V$322,$CD$22,$BL$20))))))</f>
        <v/>
      </c>
      <c r="Q143" s="43" t="str">
        <f>IF(OR($CD$22="",$BL$20=""),"",INDEX(Tính!$C$86:$V$130,$CD$22,INDEX(Tính!$C$278:$V$322,$CD$22,$BL$20)))</f>
        <v/>
      </c>
      <c r="R143" s="43" t="str">
        <f>IF(OR($CD$22="",$BL$20=""),"",INDEX(Tính!$C$134:$V$178,$CD$22,INDEX(Tính!$C$278:$V$322,$CD$22,$BL$20)))</f>
        <v/>
      </c>
      <c r="S143" s="44" t="str">
        <f>IF($CD$22="","",IF($BK$20="C",INDEX(Tính!$Q$39:$Q$83,$CD$22)&amp;"/"&amp;$BK$1,IF($BK$20="V",INDEX(Tính!$R$39:$R$83,$CD$22)&amp;"/"&amp;$BL$1,IF($BL$20="","",INDEX(Tính!$C$182:$V$226,$CD$22,INDEX(Tính!$C$278:$V$322,$CD$22,$BL$20))))))</f>
        <v/>
      </c>
    </row>
    <row r="144" spans="1:19" x14ac:dyDescent="0.3">
      <c r="A144" s="42" t="str">
        <f>IF($CD$19="","",IF($BK$21="C","NHÓM CHÍNH",IF($BK$21="V","NHÓM VƯỢT TRỘI",IF($BL$21="","",INDEX($BA$3:$BA$22,INDEX(Tính!$C$278:$V$322,$CD$19,$BL$21))))))</f>
        <v/>
      </c>
      <c r="B144" s="43" t="str">
        <f>IF(OR($CD$19="",$BL$21=""),"",INDEX(Tính!$C$86:$V$130,$CD$19,INDEX(Tính!$C$278:$V$322,$CD$19,$BL$21)))</f>
        <v/>
      </c>
      <c r="C144" s="43" t="str">
        <f>IF(OR($CD$19="",$BL$21=""),"",INDEX(Tính!$C$134:$V$178,$CD$19,INDEX(Tính!$C$278:$V$322,$CD$19,$BL$21)))</f>
        <v/>
      </c>
      <c r="D144" s="44" t="str">
        <f>IF($CD$19="","",IF($BK$21="C",INDEX(Tính!$Q$39:$Q$83,$CD$19)&amp;"/"&amp;$BK$1,IF($BK$21="V",INDEX(Tính!$R$39:$R$83,$CD$19)&amp;"/"&amp;$BL$1,IF($BL$21="","",INDEX(Tính!$C$182:$V$226,$CD$19,INDEX(Tính!$C$278:$V$322,$CD$19,$BL$21))))))</f>
        <v/>
      </c>
      <c r="F144" s="42" t="str">
        <f>IF($CD$20="","",IF($BK$21="C","NHÓM CHÍNH",IF($BK$21="V","NHÓM VƯỢT TRỘI",IF($BL$21="","",INDEX($BA$3:$BA$22,INDEX(Tính!$C$278:$V$322,$CD$20,$BL$21))))))</f>
        <v/>
      </c>
      <c r="G144" s="43" t="str">
        <f>IF(OR($CD$20="",$BL$21=""),"",INDEX(Tính!$C$86:$V$130,$CD$20,INDEX(Tính!$C$278:$V$322,$CD$20,$BL$21)))</f>
        <v/>
      </c>
      <c r="H144" s="43" t="str">
        <f>IF(OR($CD$20="",$BL$21=""),"",INDEX(Tính!$C$134:$V$178,$CD$20,INDEX(Tính!$C$278:$V$322,$CD$20,$BL$21)))</f>
        <v/>
      </c>
      <c r="I144" s="44" t="str">
        <f>IF($CD$20="","",IF($BK$21="C",INDEX(Tính!$Q$39:$Q$83,$CD$20)&amp;"/"&amp;$BK$1,IF($BK$21="V",INDEX(Tính!$R$39:$R$83,$CD$20)&amp;"/"&amp;$BL$1,IF($BL$21="","",INDEX(Tính!$C$182:$V$226,$CD$20,INDEX(Tính!$C$278:$V$322,$CD$20,$BL$21))))))</f>
        <v/>
      </c>
      <c r="K144" s="42" t="str">
        <f>IF($CD$21="","",IF($BK$21="C","NHÓM CHÍNH",IF($BK$21="V","NHÓM VƯỢT TRỘI",IF($BL$21="","",INDEX($BA$3:$BA$22,INDEX(Tính!$C$278:$V$322,$CD$21,$BL$21))))))</f>
        <v/>
      </c>
      <c r="L144" s="43" t="str">
        <f>IF(OR($CD$21="",$BL$21=""),"",INDEX(Tính!$C$86:$V$130,$CD$21,INDEX(Tính!$C$278:$V$322,$CD$21,$BL$21)))</f>
        <v/>
      </c>
      <c r="M144" s="43" t="str">
        <f>IF(OR($CD$21="",$BL$21=""),"",INDEX(Tính!$C$134:$V$178,$CD$21,INDEX(Tính!$C$278:$V$322,$CD$21,$BL$21)))</f>
        <v/>
      </c>
      <c r="N144" s="44" t="str">
        <f>IF($CD$21="","",IF($BK$21="C",INDEX(Tính!$Q$39:$Q$83,$CD$21)&amp;"/"&amp;$BK$1,IF($BK$21="V",INDEX(Tính!$R$39:$R$83,$CD$21)&amp;"/"&amp;$BL$1,IF($BL$21="","",INDEX(Tính!$C$182:$V$226,$CD$21,INDEX(Tính!$C$278:$V$322,$CD$21,$BL$21))))))</f>
        <v/>
      </c>
      <c r="P144" s="42" t="str">
        <f>IF($CD$22="","",IF($BK$21="C","NHÓM CHÍNH",IF($BK$21="V","NHÓM VƯỢT TRỘI",IF($BL$21="","",INDEX($BA$3:$BA$22,INDEX(Tính!$C$278:$V$322,$CD$22,$BL$21))))))</f>
        <v/>
      </c>
      <c r="Q144" s="43" t="str">
        <f>IF(OR($CD$22="",$BL$21=""),"",INDEX(Tính!$C$86:$V$130,$CD$22,INDEX(Tính!$C$278:$V$322,$CD$22,$BL$21)))</f>
        <v/>
      </c>
      <c r="R144" s="43" t="str">
        <f>IF(OR($CD$22="",$BL$21=""),"",INDEX(Tính!$C$134:$V$178,$CD$22,INDEX(Tính!$C$278:$V$322,$CD$22,$BL$21)))</f>
        <v/>
      </c>
      <c r="S144" s="44" t="str">
        <f>IF($CD$22="","",IF($BK$21="C",INDEX(Tính!$Q$39:$Q$83,$CD$22)&amp;"/"&amp;$BK$1,IF($BK$21="V",INDEX(Tính!$R$39:$R$83,$CD$22)&amp;"/"&amp;$BL$1,IF($BL$21="","",INDEX(Tính!$C$182:$V$226,$CD$22,INDEX(Tính!$C$278:$V$322,$CD$22,$BL$21))))))</f>
        <v/>
      </c>
    </row>
    <row r="145" spans="1:19" x14ac:dyDescent="0.3">
      <c r="A145" s="42" t="str">
        <f>IF($CD$19="","",IF($BK$22="C","NHÓM CHÍNH",IF($BK$22="V","NHÓM VƯỢT TRỘI",IF($BL$22="","",INDEX($BA$3:$BA$22,INDEX(Tính!$C$278:$V$322,$CD$19,$BL$22))))))</f>
        <v/>
      </c>
      <c r="B145" s="43" t="str">
        <f>IF(OR($CD$19="",$BL$22=""),"",INDEX(Tính!$C$86:$V$130,$CD$19,INDEX(Tính!$C$278:$V$322,$CD$19,$BL$22)))</f>
        <v/>
      </c>
      <c r="C145" s="43" t="str">
        <f>IF(OR($CD$19="",$BL$22=""),"",INDEX(Tính!$C$134:$V$178,$CD$19,INDEX(Tính!$C$278:$V$322,$CD$19,$BL$22)))</f>
        <v/>
      </c>
      <c r="D145" s="44" t="str">
        <f>IF($CD$19="","",IF($BK$22="C",INDEX(Tính!$Q$39:$Q$83,$CD$19)&amp;"/"&amp;$BK$1,IF($BK$22="V",INDEX(Tính!$R$39:$R$83,$CD$19)&amp;"/"&amp;$BL$1,IF($BL$22="","",INDEX(Tính!$C$182:$V$226,$CD$19,INDEX(Tính!$C$278:$V$322,$CD$19,$BL$22))))))</f>
        <v/>
      </c>
      <c r="F145" s="42" t="str">
        <f>IF($CD$20="","",IF($BK$22="C","NHÓM CHÍNH",IF($BK$22="V","NHÓM VƯỢT TRỘI",IF($BL$22="","",INDEX($BA$3:$BA$22,INDEX(Tính!$C$278:$V$322,$CD$20,$BL$22))))))</f>
        <v/>
      </c>
      <c r="G145" s="43" t="str">
        <f>IF(OR($CD$20="",$BL$22=""),"",INDEX(Tính!$C$86:$V$130,$CD$20,INDEX(Tính!$C$278:$V$322,$CD$20,$BL$22)))</f>
        <v/>
      </c>
      <c r="H145" s="43" t="str">
        <f>IF(OR($CD$20="",$BL$22=""),"",INDEX(Tính!$C$134:$V$178,$CD$20,INDEX(Tính!$C$278:$V$322,$CD$20,$BL$22)))</f>
        <v/>
      </c>
      <c r="I145" s="44" t="str">
        <f>IF($CD$20="","",IF($BK$22="C",INDEX(Tính!$Q$39:$Q$83,$CD$20)&amp;"/"&amp;$BK$1,IF($BK$22="V",INDEX(Tính!$R$39:$R$83,$CD$20)&amp;"/"&amp;$BL$1,IF($BL$22="","",INDEX(Tính!$C$182:$V$226,$CD$20,INDEX(Tính!$C$278:$V$322,$CD$20,$BL$22))))))</f>
        <v/>
      </c>
      <c r="K145" s="42" t="str">
        <f>IF($CD$21="","",IF($BK$22="C","NHÓM CHÍNH",IF($BK$22="V","NHÓM VƯỢT TRỘI",IF($BL$22="","",INDEX($BA$3:$BA$22,INDEX(Tính!$C$278:$V$322,$CD$21,$BL$22))))))</f>
        <v/>
      </c>
      <c r="L145" s="43" t="str">
        <f>IF(OR($CD$21="",$BL$22=""),"",INDEX(Tính!$C$86:$V$130,$CD$21,INDEX(Tính!$C$278:$V$322,$CD$21,$BL$22)))</f>
        <v/>
      </c>
      <c r="M145" s="43" t="str">
        <f>IF(OR($CD$21="",$BL$22=""),"",INDEX(Tính!$C$134:$V$178,$CD$21,INDEX(Tính!$C$278:$V$322,$CD$21,$BL$22)))</f>
        <v/>
      </c>
      <c r="N145" s="44" t="str">
        <f>IF($CD$21="","",IF($BK$22="C",INDEX(Tính!$Q$39:$Q$83,$CD$21)&amp;"/"&amp;$BK$1,IF($BK$22="V",INDEX(Tính!$R$39:$R$83,$CD$21)&amp;"/"&amp;$BL$1,IF($BL$22="","",INDEX(Tính!$C$182:$V$226,$CD$21,INDEX(Tính!$C$278:$V$322,$CD$21,$BL$22))))))</f>
        <v/>
      </c>
      <c r="P145" s="42" t="str">
        <f>IF($CD$22="","",IF($BK$22="C","NHÓM CHÍNH",IF($BK$22="V","NHÓM VƯỢT TRỘI",IF($BL$22="","",INDEX($BA$3:$BA$22,INDEX(Tính!$C$278:$V$322,$CD$22,$BL$22))))))</f>
        <v/>
      </c>
      <c r="Q145" s="43" t="str">
        <f>IF(OR($CD$22="",$BL$22=""),"",INDEX(Tính!$C$86:$V$130,$CD$22,INDEX(Tính!$C$278:$V$322,$CD$22,$BL$22)))</f>
        <v/>
      </c>
      <c r="R145" s="43" t="str">
        <f>IF(OR($CD$22="",$BL$22=""),"",INDEX(Tính!$C$134:$V$178,$CD$22,INDEX(Tính!$C$278:$V$322,$CD$22,$BL$22)))</f>
        <v/>
      </c>
      <c r="S145" s="44" t="str">
        <f>IF($CD$22="","",IF($BK$22="C",INDEX(Tính!$Q$39:$Q$83,$CD$22)&amp;"/"&amp;$BK$1,IF($BK$22="V",INDEX(Tính!$R$39:$R$83,$CD$22)&amp;"/"&amp;$BL$1,IF($BL$22="","",INDEX(Tính!$C$182:$V$226,$CD$22,INDEX(Tính!$C$278:$V$322,$CD$22,$BL$22))))))</f>
        <v/>
      </c>
    </row>
    <row r="146" spans="1:19" x14ac:dyDescent="0.3">
      <c r="A146" s="42" t="str">
        <f>IF($CD$19="","",IF($BK$23="C","NHÓM CHÍNH",IF($BK$23="V","NHÓM VƯỢT TRỘI",IF($BL$23="","",INDEX($BA$3:$BA$22,INDEX(Tính!$C$278:$V$322,$CD$19,$BL$23))))))</f>
        <v/>
      </c>
      <c r="B146" s="43" t="str">
        <f>IF(OR($CD$19="",$BL$23=""),"",INDEX(Tính!$C$86:$V$130,$CD$19,INDEX(Tính!$C$278:$V$322,$CD$19,$BL$23)))</f>
        <v/>
      </c>
      <c r="C146" s="43" t="str">
        <f>IF(OR($CD$19="",$BL$23=""),"",INDEX(Tính!$C$134:$V$178,$CD$19,INDEX(Tính!$C$278:$V$322,$CD$19,$BL$23)))</f>
        <v/>
      </c>
      <c r="D146" s="44" t="str">
        <f>IF($CD$19="","",IF($BK$23="C",INDEX(Tính!$Q$39:$Q$83,$CD$19)&amp;"/"&amp;$BK$1,IF($BK$23="V",INDEX(Tính!$R$39:$R$83,$CD$19)&amp;"/"&amp;$BL$1,IF($BL$23="","",INDEX(Tính!$C$182:$V$226,$CD$19,INDEX(Tính!$C$278:$V$322,$CD$19,$BL$23))))))</f>
        <v/>
      </c>
      <c r="F146" s="42" t="str">
        <f>IF($CD$20="","",IF($BK$23="C","NHÓM CHÍNH",IF($BK$23="V","NHÓM VƯỢT TRỘI",IF($BL$23="","",INDEX($BA$3:$BA$22,INDEX(Tính!$C$278:$V$322,$CD$20,$BL$23))))))</f>
        <v/>
      </c>
      <c r="G146" s="43" t="str">
        <f>IF(OR($CD$20="",$BL$23=""),"",INDEX(Tính!$C$86:$V$130,$CD$20,INDEX(Tính!$C$278:$V$322,$CD$20,$BL$23)))</f>
        <v/>
      </c>
      <c r="H146" s="43" t="str">
        <f>IF(OR($CD$20="",$BL$23=""),"",INDEX(Tính!$C$134:$V$178,$CD$20,INDEX(Tính!$C$278:$V$322,$CD$20,$BL$23)))</f>
        <v/>
      </c>
      <c r="I146" s="44" t="str">
        <f>IF($CD$20="","",IF($BK$23="C",INDEX(Tính!$Q$39:$Q$83,$CD$20)&amp;"/"&amp;$BK$1,IF($BK$23="V",INDEX(Tính!$R$39:$R$83,$CD$20)&amp;"/"&amp;$BL$1,IF($BL$23="","",INDEX(Tính!$C$182:$V$226,$CD$20,INDEX(Tính!$C$278:$V$322,$CD$20,$BL$23))))))</f>
        <v/>
      </c>
      <c r="K146" s="42" t="str">
        <f>IF($CD$21="","",IF($BK$23="C","NHÓM CHÍNH",IF($BK$23="V","NHÓM VƯỢT TRỘI",IF($BL$23="","",INDEX($BA$3:$BA$22,INDEX(Tính!$C$278:$V$322,$CD$21,$BL$23))))))</f>
        <v/>
      </c>
      <c r="L146" s="43" t="str">
        <f>IF(OR($CD$21="",$BL$23=""),"",INDEX(Tính!$C$86:$V$130,$CD$21,INDEX(Tính!$C$278:$V$322,$CD$21,$BL$23)))</f>
        <v/>
      </c>
      <c r="M146" s="43" t="str">
        <f>IF(OR($CD$21="",$BL$23=""),"",INDEX(Tính!$C$134:$V$178,$CD$21,INDEX(Tính!$C$278:$V$322,$CD$21,$BL$23)))</f>
        <v/>
      </c>
      <c r="N146" s="44" t="str">
        <f>IF($CD$21="","",IF($BK$23="C",INDEX(Tính!$Q$39:$Q$83,$CD$21)&amp;"/"&amp;$BK$1,IF($BK$23="V",INDEX(Tính!$R$39:$R$83,$CD$21)&amp;"/"&amp;$BL$1,IF($BL$23="","",INDEX(Tính!$C$182:$V$226,$CD$21,INDEX(Tính!$C$278:$V$322,$CD$21,$BL$23))))))</f>
        <v/>
      </c>
      <c r="P146" s="42" t="str">
        <f>IF($CD$22="","",IF($BK$23="C","NHÓM CHÍNH",IF($BK$23="V","NHÓM VƯỢT TRỘI",IF($BL$23="","",INDEX($BA$3:$BA$22,INDEX(Tính!$C$278:$V$322,$CD$22,$BL$23))))))</f>
        <v/>
      </c>
      <c r="Q146" s="43" t="str">
        <f>IF(OR($CD$22="",$BL$23=""),"",INDEX(Tính!$C$86:$V$130,$CD$22,INDEX(Tính!$C$278:$V$322,$CD$22,$BL$23)))</f>
        <v/>
      </c>
      <c r="R146" s="43" t="str">
        <f>IF(OR($CD$22="",$BL$23=""),"",INDEX(Tính!$C$134:$V$178,$CD$22,INDEX(Tính!$C$278:$V$322,$CD$22,$BL$23)))</f>
        <v/>
      </c>
      <c r="S146" s="44" t="str">
        <f>IF($CD$22="","",IF($BK$23="C",INDEX(Tính!$Q$39:$Q$83,$CD$22)&amp;"/"&amp;$BK$1,IF($BK$23="V",INDEX(Tính!$R$39:$R$83,$CD$22)&amp;"/"&amp;$BL$1,IF($BL$23="","",INDEX(Tính!$C$182:$V$226,$CD$22,INDEX(Tính!$C$278:$V$322,$CD$22,$BL$23))))))</f>
        <v/>
      </c>
    </row>
    <row r="147" spans="1:19" x14ac:dyDescent="0.3">
      <c r="A147" s="42" t="str">
        <f>IF($CD$19="","",IF($BK$24="C","NHÓM CHÍNH",IF($BK$24="V","NHÓM VƯỢT TRỘI",IF($BL$24="","",INDEX($BA$3:$BA$22,INDEX(Tính!$C$278:$V$322,$CD$19,$BL$24))))))</f>
        <v/>
      </c>
      <c r="B147" s="43" t="str">
        <f>IF(OR($CD$19="",$BL$24=""),"",INDEX(Tính!$C$86:$V$130,$CD$19,INDEX(Tính!$C$278:$V$322,$CD$19,$BL$24)))</f>
        <v/>
      </c>
      <c r="C147" s="43" t="str">
        <f>IF(OR($CD$19="",$BL$24=""),"",INDEX(Tính!$C$134:$V$178,$CD$19,INDEX(Tính!$C$278:$V$322,$CD$19,$BL$24)))</f>
        <v/>
      </c>
      <c r="D147" s="44" t="str">
        <f>IF($CD$19="","",IF($BK$24="C",INDEX(Tính!$Q$39:$Q$83,$CD$19)&amp;"/"&amp;$BK$1,IF($BK$24="V",INDEX(Tính!$R$39:$R$83,$CD$19)&amp;"/"&amp;$BL$1,IF($BL$24="","",INDEX(Tính!$C$182:$V$226,$CD$19,INDEX(Tính!$C$278:$V$322,$CD$19,$BL$24))))))</f>
        <v/>
      </c>
      <c r="F147" s="42" t="str">
        <f>IF($CD$20="","",IF($BK$24="C","NHÓM CHÍNH",IF($BK$24="V","NHÓM VƯỢT TRỘI",IF($BL$24="","",INDEX($BA$3:$BA$22,INDEX(Tính!$C$278:$V$322,$CD$20,$BL$24))))))</f>
        <v/>
      </c>
      <c r="G147" s="43" t="str">
        <f>IF(OR($CD$20="",$BL$24=""),"",INDEX(Tính!$C$86:$V$130,$CD$20,INDEX(Tính!$C$278:$V$322,$CD$20,$BL$24)))</f>
        <v/>
      </c>
      <c r="H147" s="43" t="str">
        <f>IF(OR($CD$20="",$BL$24=""),"",INDEX(Tính!$C$134:$V$178,$CD$20,INDEX(Tính!$C$278:$V$322,$CD$20,$BL$24)))</f>
        <v/>
      </c>
      <c r="I147" s="44" t="str">
        <f>IF($CD$20="","",IF($BK$24="C",INDEX(Tính!$Q$39:$Q$83,$CD$20)&amp;"/"&amp;$BK$1,IF($BK$24="V",INDEX(Tính!$R$39:$R$83,$CD$20)&amp;"/"&amp;$BL$1,IF($BL$24="","",INDEX(Tính!$C$182:$V$226,$CD$20,INDEX(Tính!$C$278:$V$322,$CD$20,$BL$24))))))</f>
        <v/>
      </c>
      <c r="K147" s="42" t="str">
        <f>IF($CD$21="","",IF($BK$24="C","NHÓM CHÍNH",IF($BK$24="V","NHÓM VƯỢT TRỘI",IF($BL$24="","",INDEX($BA$3:$BA$22,INDEX(Tính!$C$278:$V$322,$CD$21,$BL$24))))))</f>
        <v/>
      </c>
      <c r="L147" s="43" t="str">
        <f>IF(OR($CD$21="",$BL$24=""),"",INDEX(Tính!$C$86:$V$130,$CD$21,INDEX(Tính!$C$278:$V$322,$CD$21,$BL$24)))</f>
        <v/>
      </c>
      <c r="M147" s="43" t="str">
        <f>IF(OR($CD$21="",$BL$24=""),"",INDEX(Tính!$C$134:$V$178,$CD$21,INDEX(Tính!$C$278:$V$322,$CD$21,$BL$24)))</f>
        <v/>
      </c>
      <c r="N147" s="44" t="str">
        <f>IF($CD$21="","",IF($BK$24="C",INDEX(Tính!$Q$39:$Q$83,$CD$21)&amp;"/"&amp;$BK$1,IF($BK$24="V",INDEX(Tính!$R$39:$R$83,$CD$21)&amp;"/"&amp;$BL$1,IF($BL$24="","",INDEX(Tính!$C$182:$V$226,$CD$21,INDEX(Tính!$C$278:$V$322,$CD$21,$BL$24))))))</f>
        <v/>
      </c>
      <c r="P147" s="42" t="str">
        <f>IF($CD$22="","",IF($BK$24="C","NHÓM CHÍNH",IF($BK$24="V","NHÓM VƯỢT TRỘI",IF($BL$24="","",INDEX($BA$3:$BA$22,INDEX(Tính!$C$278:$V$322,$CD$22,$BL$24))))))</f>
        <v/>
      </c>
      <c r="Q147" s="43" t="str">
        <f>IF(OR($CD$22="",$BL$24=""),"",INDEX(Tính!$C$86:$V$130,$CD$22,INDEX(Tính!$C$278:$V$322,$CD$22,$BL$24)))</f>
        <v/>
      </c>
      <c r="R147" s="43" t="str">
        <f>IF(OR($CD$22="",$BL$24=""),"",INDEX(Tính!$C$134:$V$178,$CD$22,INDEX(Tính!$C$278:$V$322,$CD$22,$BL$24)))</f>
        <v/>
      </c>
      <c r="S147" s="44" t="str">
        <f>IF($CD$22="","",IF($BK$24="C",INDEX(Tính!$Q$39:$Q$83,$CD$22)&amp;"/"&amp;$BK$1,IF($BK$24="V",INDEX(Tính!$R$39:$R$83,$CD$22)&amp;"/"&amp;$BL$1,IF($BL$24="","",INDEX(Tính!$C$182:$V$226,$CD$22,INDEX(Tính!$C$278:$V$322,$CD$22,$BL$24))))))</f>
        <v/>
      </c>
    </row>
  </sheetData>
  <mergeCells count="23">
    <mergeCell ref="A1:S1"/>
    <mergeCell ref="K91:N91"/>
    <mergeCell ref="F33:I33"/>
    <mergeCell ref="A120:D120"/>
    <mergeCell ref="F91:I91"/>
    <mergeCell ref="F2:L2"/>
    <mergeCell ref="F62:I62"/>
    <mergeCell ref="P91:S91"/>
    <mergeCell ref="P120:S120"/>
    <mergeCell ref="A33:D33"/>
    <mergeCell ref="K120:N120"/>
    <mergeCell ref="B2:D2"/>
    <mergeCell ref="A91:D91"/>
    <mergeCell ref="A4:D4"/>
    <mergeCell ref="A62:D62"/>
    <mergeCell ref="F120:I120"/>
    <mergeCell ref="P62:S62"/>
    <mergeCell ref="P33:S33"/>
    <mergeCell ref="K4:N4"/>
    <mergeCell ref="K62:N62"/>
    <mergeCell ref="F4:I4"/>
    <mergeCell ref="P4:S4"/>
    <mergeCell ref="K33:N33"/>
  </mergeCells>
  <conditionalFormatting sqref="A6">
    <cfRule type="expression" dxfId="399" priority="8" stopIfTrue="1">
      <formula>AND(ISNUMBER(A6),A6&gt;=1*0.8)</formula>
    </cfRule>
    <cfRule type="expression" dxfId="398" priority="7" stopIfTrue="1">
      <formula>AND(ISNUMBER(A6),A6&gt;=1)</formula>
    </cfRule>
    <cfRule type="expression" dxfId="397" priority="9" stopIfTrue="1">
      <formula>ISNUMBER(A6)</formula>
    </cfRule>
  </conditionalFormatting>
  <conditionalFormatting sqref="A35">
    <cfRule type="expression" dxfId="396" priority="88" stopIfTrue="1">
      <formula>AND(ISNUMBER(A35),A35&gt;=1*0.8)</formula>
    </cfRule>
    <cfRule type="expression" dxfId="395" priority="89" stopIfTrue="1">
      <formula>ISNUMBER(A35)</formula>
    </cfRule>
    <cfRule type="expression" dxfId="394" priority="87" stopIfTrue="1">
      <formula>AND(ISNUMBER(A35),A35&gt;=1)</formula>
    </cfRule>
  </conditionalFormatting>
  <conditionalFormatting sqref="A64">
    <cfRule type="expression" dxfId="393" priority="169" stopIfTrue="1">
      <formula>ISNUMBER(A64)</formula>
    </cfRule>
    <cfRule type="expression" dxfId="392" priority="167" stopIfTrue="1">
      <formula>AND(ISNUMBER(A64),A64&gt;=1)</formula>
    </cfRule>
    <cfRule type="expression" dxfId="391" priority="168" stopIfTrue="1">
      <formula>AND(ISNUMBER(A64),A64&gt;=1*0.8)</formula>
    </cfRule>
  </conditionalFormatting>
  <conditionalFormatting sqref="A93">
    <cfRule type="expression" dxfId="390" priority="249" stopIfTrue="1">
      <formula>ISNUMBER(A93)</formula>
    </cfRule>
    <cfRule type="expression" dxfId="389" priority="248" stopIfTrue="1">
      <formula>AND(ISNUMBER(A93),A93&gt;=1*0.8)</formula>
    </cfRule>
    <cfRule type="expression" dxfId="388" priority="247" stopIfTrue="1">
      <formula>AND(ISNUMBER(A93),A93&gt;=1)</formula>
    </cfRule>
  </conditionalFormatting>
  <conditionalFormatting sqref="A122">
    <cfRule type="expression" dxfId="387" priority="329" stopIfTrue="1">
      <formula>ISNUMBER(A122)</formula>
    </cfRule>
    <cfRule type="expression" dxfId="386" priority="328" stopIfTrue="1">
      <formula>AND(ISNUMBER(A122),A122&gt;=1*0.8)</formula>
    </cfRule>
    <cfRule type="expression" dxfId="385" priority="327" stopIfTrue="1">
      <formula>AND(ISNUMBER(A122),A122&gt;=1)</formula>
    </cfRule>
  </conditionalFormatting>
  <conditionalFormatting sqref="A6:B6">
    <cfRule type="expression" dxfId="384" priority="6" stopIfTrue="1">
      <formula>AND(ISNUMBER(A6),ROUND(A6,2)=0)</formula>
    </cfRule>
  </conditionalFormatting>
  <conditionalFormatting sqref="A35:B35">
    <cfRule type="expression" dxfId="383" priority="86" stopIfTrue="1">
      <formula>AND(ISNUMBER(A35),ROUND(A35,2)=0)</formula>
    </cfRule>
  </conditionalFormatting>
  <conditionalFormatting sqref="A64:B64">
    <cfRule type="expression" dxfId="382" priority="166" stopIfTrue="1">
      <formula>AND(ISNUMBER(A64),ROUND(A64,2)=0)</formula>
    </cfRule>
  </conditionalFormatting>
  <conditionalFormatting sqref="A93:B93">
    <cfRule type="expression" dxfId="381" priority="246" stopIfTrue="1">
      <formula>AND(ISNUMBER(A93),ROUND(A93,2)=0)</formula>
    </cfRule>
  </conditionalFormatting>
  <conditionalFormatting sqref="A122:B122">
    <cfRule type="expression" dxfId="380" priority="326" stopIfTrue="1">
      <formula>AND(ISNUMBER(A122),ROUND(A122,2)=0)</formula>
    </cfRule>
  </conditionalFormatting>
  <conditionalFormatting sqref="A4:D4">
    <cfRule type="expression" dxfId="379" priority="1">
      <formula>$A$4&lt;&gt;""</formula>
    </cfRule>
  </conditionalFormatting>
  <conditionalFormatting sqref="A5:D5">
    <cfRule type="expression" dxfId="378" priority="2">
      <formula>$A$4&lt;&gt;""</formula>
    </cfRule>
  </conditionalFormatting>
  <conditionalFormatting sqref="A6:D6">
    <cfRule type="expression" dxfId="377" priority="3">
      <formula>$A$4&lt;&gt;""</formula>
    </cfRule>
  </conditionalFormatting>
  <conditionalFormatting sqref="A7:D7">
    <cfRule type="expression" dxfId="376" priority="4">
      <formula>$A$4&lt;&gt;""</formula>
    </cfRule>
  </conditionalFormatting>
  <conditionalFormatting sqref="A8:D8">
    <cfRule type="expression" dxfId="375" priority="5">
      <formula>$A$4&lt;&gt;""</formula>
    </cfRule>
  </conditionalFormatting>
  <conditionalFormatting sqref="A9:D9">
    <cfRule type="expression" dxfId="374" priority="14">
      <formula>$A$4&lt;&gt;""</formula>
    </cfRule>
  </conditionalFormatting>
  <conditionalFormatting sqref="A10:D31">
    <cfRule type="expression" dxfId="373" priority="15" stopIfTrue="1">
      <formula>AND(INDEX($BK$3:$BK$24,ROW()-9)="C",$A$4&lt;&gt;"")</formula>
    </cfRule>
    <cfRule type="expression" dxfId="372" priority="16" stopIfTrue="1">
      <formula>AND(INDEX($BK$3:$BK$24,ROW()-9)="V",$A$4&lt;&gt;"")</formula>
    </cfRule>
    <cfRule type="expression" dxfId="371" priority="401">
      <formula>$A10&lt;&gt;""</formula>
    </cfRule>
  </conditionalFormatting>
  <conditionalFormatting sqref="A33:D33">
    <cfRule type="expression" dxfId="370" priority="81">
      <formula>$A$33&lt;&gt;""</formula>
    </cfRule>
  </conditionalFormatting>
  <conditionalFormatting sqref="A34:D34">
    <cfRule type="expression" dxfId="369" priority="82">
      <formula>$A$33&lt;&gt;""</formula>
    </cfRule>
  </conditionalFormatting>
  <conditionalFormatting sqref="A35:D35">
    <cfRule type="expression" dxfId="368" priority="83">
      <formula>$A$33&lt;&gt;""</formula>
    </cfRule>
  </conditionalFormatting>
  <conditionalFormatting sqref="A36:D36">
    <cfRule type="expression" dxfId="367" priority="84">
      <formula>$A$33&lt;&gt;""</formula>
    </cfRule>
  </conditionalFormatting>
  <conditionalFormatting sqref="A37:D37">
    <cfRule type="expression" dxfId="366" priority="85">
      <formula>$A$33&lt;&gt;""</formula>
    </cfRule>
  </conditionalFormatting>
  <conditionalFormatting sqref="A38:D38">
    <cfRule type="expression" dxfId="365" priority="94">
      <formula>$A$33&lt;&gt;""</formula>
    </cfRule>
  </conditionalFormatting>
  <conditionalFormatting sqref="A39:D60">
    <cfRule type="expression" dxfId="364" priority="405">
      <formula>$A39&lt;&gt;""</formula>
    </cfRule>
    <cfRule type="expression" dxfId="363" priority="96" stopIfTrue="1">
      <formula>AND(INDEX($BK$3:$BK$24,ROW()-38)="V",$A$33&lt;&gt;"")</formula>
    </cfRule>
    <cfRule type="expression" dxfId="362" priority="95" stopIfTrue="1">
      <formula>AND(INDEX($BK$3:$BK$24,ROW()-38)="C",$A$33&lt;&gt;"")</formula>
    </cfRule>
  </conditionalFormatting>
  <conditionalFormatting sqref="A62:D62">
    <cfRule type="expression" dxfId="361" priority="161">
      <formula>$A$62&lt;&gt;""</formula>
    </cfRule>
  </conditionalFormatting>
  <conditionalFormatting sqref="A63:D63">
    <cfRule type="expression" dxfId="360" priority="162">
      <formula>$A$62&lt;&gt;""</formula>
    </cfRule>
  </conditionalFormatting>
  <conditionalFormatting sqref="A64:D64">
    <cfRule type="expression" dxfId="359" priority="163">
      <formula>$A$62&lt;&gt;""</formula>
    </cfRule>
  </conditionalFormatting>
  <conditionalFormatting sqref="A65:D65">
    <cfRule type="expression" dxfId="358" priority="164">
      <formula>$A$62&lt;&gt;""</formula>
    </cfRule>
  </conditionalFormatting>
  <conditionalFormatting sqref="A66:D66">
    <cfRule type="expression" dxfId="357" priority="165">
      <formula>$A$62&lt;&gt;""</formula>
    </cfRule>
  </conditionalFormatting>
  <conditionalFormatting sqref="A67:D67">
    <cfRule type="expression" dxfId="356" priority="174">
      <formula>$A$62&lt;&gt;""</formula>
    </cfRule>
  </conditionalFormatting>
  <conditionalFormatting sqref="A68:D89">
    <cfRule type="expression" dxfId="355" priority="409">
      <formula>$A68&lt;&gt;""</formula>
    </cfRule>
    <cfRule type="expression" dxfId="354" priority="176" stopIfTrue="1">
      <formula>AND(INDEX($BK$3:$BK$24,ROW()-67)="V",$A$62&lt;&gt;"")</formula>
    </cfRule>
    <cfRule type="expression" dxfId="353" priority="175" stopIfTrue="1">
      <formula>AND(INDEX($BK$3:$BK$24,ROW()-67)="C",$A$62&lt;&gt;"")</formula>
    </cfRule>
  </conditionalFormatting>
  <conditionalFormatting sqref="A91:D91">
    <cfRule type="expression" dxfId="352" priority="241">
      <formula>$A$91&lt;&gt;""</formula>
    </cfRule>
  </conditionalFormatting>
  <conditionalFormatting sqref="A92:D92">
    <cfRule type="expression" dxfId="351" priority="242">
      <formula>$A$91&lt;&gt;""</formula>
    </cfRule>
  </conditionalFormatting>
  <conditionalFormatting sqref="A93:D93">
    <cfRule type="expression" dxfId="350" priority="243">
      <formula>$A$91&lt;&gt;""</formula>
    </cfRule>
  </conditionalFormatting>
  <conditionalFormatting sqref="A94:D94">
    <cfRule type="expression" dxfId="349" priority="244">
      <formula>$A$91&lt;&gt;""</formula>
    </cfRule>
  </conditionalFormatting>
  <conditionalFormatting sqref="A95:D95">
    <cfRule type="expression" dxfId="348" priority="245">
      <formula>$A$91&lt;&gt;""</formula>
    </cfRule>
  </conditionalFormatting>
  <conditionalFormatting sqref="A96:D96">
    <cfRule type="expression" dxfId="347" priority="254">
      <formula>$A$91&lt;&gt;""</formula>
    </cfRule>
  </conditionalFormatting>
  <conditionalFormatting sqref="A97:D118">
    <cfRule type="expression" dxfId="346" priority="255" stopIfTrue="1">
      <formula>AND(INDEX($BK$3:$BK$24,ROW()-96)="C",$A$91&lt;&gt;"")</formula>
    </cfRule>
    <cfRule type="expression" dxfId="345" priority="256" stopIfTrue="1">
      <formula>AND(INDEX($BK$3:$BK$24,ROW()-96)="V",$A$91&lt;&gt;"")</formula>
    </cfRule>
    <cfRule type="expression" dxfId="344" priority="413">
      <formula>$A97&lt;&gt;""</formula>
    </cfRule>
  </conditionalFormatting>
  <conditionalFormatting sqref="A120:D120">
    <cfRule type="expression" dxfId="343" priority="321">
      <formula>$A$120&lt;&gt;""</formula>
    </cfRule>
  </conditionalFormatting>
  <conditionalFormatting sqref="A121:D121">
    <cfRule type="expression" dxfId="342" priority="322">
      <formula>$A$120&lt;&gt;""</formula>
    </cfRule>
  </conditionalFormatting>
  <conditionalFormatting sqref="A122:D122">
    <cfRule type="expression" dxfId="341" priority="323">
      <formula>$A$120&lt;&gt;""</formula>
    </cfRule>
  </conditionalFormatting>
  <conditionalFormatting sqref="A123:D123">
    <cfRule type="expression" dxfId="340" priority="324">
      <formula>$A$120&lt;&gt;""</formula>
    </cfRule>
  </conditionalFormatting>
  <conditionalFormatting sqref="A124:D124">
    <cfRule type="expression" dxfId="339" priority="325">
      <formula>$A$120&lt;&gt;""</formula>
    </cfRule>
  </conditionalFormatting>
  <conditionalFormatting sqref="A125:D125">
    <cfRule type="expression" dxfId="338" priority="334">
      <formula>$A$120&lt;&gt;""</formula>
    </cfRule>
  </conditionalFormatting>
  <conditionalFormatting sqref="A126:D147">
    <cfRule type="expression" dxfId="337" priority="417">
      <formula>$A126&lt;&gt;""</formula>
    </cfRule>
    <cfRule type="expression" dxfId="336" priority="336" stopIfTrue="1">
      <formula>AND(INDEX($BK$3:$BK$24,ROW()-125)="V",$A$120&lt;&gt;"")</formula>
    </cfRule>
    <cfRule type="expression" dxfId="335" priority="335" stopIfTrue="1">
      <formula>AND(INDEX($BK$3:$BK$24,ROW()-125)="C",$A$120&lt;&gt;"")</formula>
    </cfRule>
  </conditionalFormatting>
  <conditionalFormatting sqref="B6">
    <cfRule type="expression" dxfId="334" priority="11" stopIfTrue="1">
      <formula>AND(ISNUMBER(B6),B6&gt;=NgayQua/SoNgay)</formula>
    </cfRule>
    <cfRule type="expression" dxfId="333" priority="12" stopIfTrue="1">
      <formula>AND(ISNUMBER(B6),B6&gt;=NgayQua/SoNgay*0.8)</formula>
    </cfRule>
    <cfRule type="expression" dxfId="332" priority="13" stopIfTrue="1">
      <formula>ISNUMBER(B6)</formula>
    </cfRule>
  </conditionalFormatting>
  <conditionalFormatting sqref="B35">
    <cfRule type="expression" dxfId="331" priority="91" stopIfTrue="1">
      <formula>AND(ISNUMBER(B35),B35&gt;=NgayQua/SoNgay)</formula>
    </cfRule>
    <cfRule type="expression" dxfId="330" priority="92" stopIfTrue="1">
      <formula>AND(ISNUMBER(B35),B35&gt;=NgayQua/SoNgay*0.8)</formula>
    </cfRule>
    <cfRule type="expression" dxfId="329" priority="93" stopIfTrue="1">
      <formula>ISNUMBER(B35)</formula>
    </cfRule>
  </conditionalFormatting>
  <conditionalFormatting sqref="B64">
    <cfRule type="expression" dxfId="328" priority="172" stopIfTrue="1">
      <formula>AND(ISNUMBER(B64),B64&gt;=NgayQua/SoNgay*0.8)</formula>
    </cfRule>
    <cfRule type="expression" dxfId="327" priority="171" stopIfTrue="1">
      <formula>AND(ISNUMBER(B64),B64&gt;=NgayQua/SoNgay)</formula>
    </cfRule>
    <cfRule type="expression" dxfId="326" priority="173" stopIfTrue="1">
      <formula>ISNUMBER(B64)</formula>
    </cfRule>
  </conditionalFormatting>
  <conditionalFormatting sqref="B93">
    <cfRule type="expression" dxfId="325" priority="253" stopIfTrue="1">
      <formula>ISNUMBER(B93)</formula>
    </cfRule>
    <cfRule type="expression" dxfId="324" priority="251" stopIfTrue="1">
      <formula>AND(ISNUMBER(B93),B93&gt;=NgayQua/SoNgay)</formula>
    </cfRule>
    <cfRule type="expression" dxfId="323" priority="252" stopIfTrue="1">
      <formula>AND(ISNUMBER(B93),B93&gt;=NgayQua/SoNgay*0.8)</formula>
    </cfRule>
  </conditionalFormatting>
  <conditionalFormatting sqref="B122">
    <cfRule type="expression" dxfId="322" priority="331" stopIfTrue="1">
      <formula>AND(ISNUMBER(B122),B122&gt;=NgayQua/SoNgay)</formula>
    </cfRule>
    <cfRule type="expression" dxfId="321" priority="333" stopIfTrue="1">
      <formula>ISNUMBER(B122)</formula>
    </cfRule>
    <cfRule type="expression" dxfId="320" priority="332" stopIfTrue="1">
      <formula>AND(ISNUMBER(B122),B122&gt;=NgayQua/SoNgay*0.8)</formula>
    </cfRule>
  </conditionalFormatting>
  <conditionalFormatting sqref="D10:D31">
    <cfRule type="expression" dxfId="319" priority="20" stopIfTrue="1">
      <formula>ISNUMBER(D10)</formula>
    </cfRule>
    <cfRule type="expression" dxfId="318" priority="17" stopIfTrue="1">
      <formula>AND(ISNUMBER(D10),ROUND(D10,2)=0)</formula>
    </cfRule>
    <cfRule type="expression" dxfId="317" priority="19" stopIfTrue="1">
      <formula>AND(ISNUMBER(D10),D10&gt;=1*0.8)</formula>
    </cfRule>
    <cfRule type="expression" dxfId="316" priority="18" stopIfTrue="1">
      <formula>AND(ISNUMBER(D10),D10&gt;=1)</formula>
    </cfRule>
  </conditionalFormatting>
  <conditionalFormatting sqref="D39:D60">
    <cfRule type="expression" dxfId="315" priority="99" stopIfTrue="1">
      <formula>AND(ISNUMBER(D39),D39&gt;=1*0.8)</formula>
    </cfRule>
    <cfRule type="expression" dxfId="314" priority="100" stopIfTrue="1">
      <formula>ISNUMBER(D39)</formula>
    </cfRule>
    <cfRule type="expression" dxfId="313" priority="97" stopIfTrue="1">
      <formula>AND(ISNUMBER(D39),ROUND(D39,2)=0)</formula>
    </cfRule>
    <cfRule type="expression" dxfId="312" priority="98" stopIfTrue="1">
      <formula>AND(ISNUMBER(D39),D39&gt;=1)</formula>
    </cfRule>
  </conditionalFormatting>
  <conditionalFormatting sqref="D68:D89">
    <cfRule type="expression" dxfId="311" priority="179" stopIfTrue="1">
      <formula>AND(ISNUMBER(D68),D68&gt;=1*0.8)</formula>
    </cfRule>
    <cfRule type="expression" dxfId="310" priority="180" stopIfTrue="1">
      <formula>ISNUMBER(D68)</formula>
    </cfRule>
    <cfRule type="expression" dxfId="309" priority="177" stopIfTrue="1">
      <formula>AND(ISNUMBER(D68),ROUND(D68,2)=0)</formula>
    </cfRule>
    <cfRule type="expression" dxfId="308" priority="178" stopIfTrue="1">
      <formula>AND(ISNUMBER(D68),D68&gt;=1)</formula>
    </cfRule>
  </conditionalFormatting>
  <conditionalFormatting sqref="D97:D118">
    <cfRule type="expression" dxfId="307" priority="259" stopIfTrue="1">
      <formula>AND(ISNUMBER(D97),D97&gt;=1*0.8)</formula>
    </cfRule>
    <cfRule type="expression" dxfId="306" priority="260" stopIfTrue="1">
      <formula>ISNUMBER(D97)</formula>
    </cfRule>
    <cfRule type="expression" dxfId="305" priority="257" stopIfTrue="1">
      <formula>AND(ISNUMBER(D97),ROUND(D97,2)=0)</formula>
    </cfRule>
    <cfRule type="expression" dxfId="304" priority="258" stopIfTrue="1">
      <formula>AND(ISNUMBER(D97),D97&gt;=1)</formula>
    </cfRule>
  </conditionalFormatting>
  <conditionalFormatting sqref="D126:D147">
    <cfRule type="expression" dxfId="303" priority="337" stopIfTrue="1">
      <formula>AND(ISNUMBER(D126),ROUND(D126,2)=0)</formula>
    </cfRule>
    <cfRule type="expression" dxfId="302" priority="338" stopIfTrue="1">
      <formula>AND(ISNUMBER(D126),D126&gt;=1)</formula>
    </cfRule>
    <cfRule type="expression" dxfId="301" priority="339" stopIfTrue="1">
      <formula>AND(ISNUMBER(D126),D126&gt;=1*0.8)</formula>
    </cfRule>
    <cfRule type="expression" dxfId="300" priority="340" stopIfTrue="1">
      <formula>ISNUMBER(D126)</formula>
    </cfRule>
  </conditionalFormatting>
  <conditionalFormatting sqref="F6">
    <cfRule type="expression" dxfId="299" priority="27" stopIfTrue="1">
      <formula>AND(ISNUMBER(F6),F6&gt;=1)</formula>
    </cfRule>
    <cfRule type="expression" dxfId="298" priority="29" stopIfTrue="1">
      <formula>ISNUMBER(F6)</formula>
    </cfRule>
    <cfRule type="expression" dxfId="297" priority="28" stopIfTrue="1">
      <formula>AND(ISNUMBER(F6),F6&gt;=1*0.8)</formula>
    </cfRule>
  </conditionalFormatting>
  <conditionalFormatting sqref="F35">
    <cfRule type="expression" dxfId="296" priority="107" stopIfTrue="1">
      <formula>AND(ISNUMBER(F35),F35&gt;=1)</formula>
    </cfRule>
    <cfRule type="expression" dxfId="295" priority="108" stopIfTrue="1">
      <formula>AND(ISNUMBER(F35),F35&gt;=1*0.8)</formula>
    </cfRule>
    <cfRule type="expression" dxfId="294" priority="109" stopIfTrue="1">
      <formula>ISNUMBER(F35)</formula>
    </cfRule>
  </conditionalFormatting>
  <conditionalFormatting sqref="F64">
    <cfRule type="expression" dxfId="293" priority="187" stopIfTrue="1">
      <formula>AND(ISNUMBER(F64),F64&gt;=1)</formula>
    </cfRule>
    <cfRule type="expression" dxfId="292" priority="189" stopIfTrue="1">
      <formula>ISNUMBER(F64)</formula>
    </cfRule>
    <cfRule type="expression" dxfId="291" priority="188" stopIfTrue="1">
      <formula>AND(ISNUMBER(F64),F64&gt;=1*0.8)</formula>
    </cfRule>
  </conditionalFormatting>
  <conditionalFormatting sqref="F93">
    <cfRule type="expression" dxfId="290" priority="267" stopIfTrue="1">
      <formula>AND(ISNUMBER(F93),F93&gt;=1)</formula>
    </cfRule>
    <cfRule type="expression" dxfId="289" priority="268" stopIfTrue="1">
      <formula>AND(ISNUMBER(F93),F93&gt;=1*0.8)</formula>
    </cfRule>
    <cfRule type="expression" dxfId="288" priority="269" stopIfTrue="1">
      <formula>ISNUMBER(F93)</formula>
    </cfRule>
  </conditionalFormatting>
  <conditionalFormatting sqref="F122">
    <cfRule type="expression" dxfId="287" priority="347" stopIfTrue="1">
      <formula>AND(ISNUMBER(F122),F122&gt;=1)</formula>
    </cfRule>
    <cfRule type="expression" dxfId="286" priority="348" stopIfTrue="1">
      <formula>AND(ISNUMBER(F122),F122&gt;=1*0.8)</formula>
    </cfRule>
    <cfRule type="expression" dxfId="285" priority="349" stopIfTrue="1">
      <formula>ISNUMBER(F122)</formula>
    </cfRule>
  </conditionalFormatting>
  <conditionalFormatting sqref="F6:G6">
    <cfRule type="expression" dxfId="284" priority="26" stopIfTrue="1">
      <formula>AND(ISNUMBER(F6),ROUND(F6,2)=0)</formula>
    </cfRule>
  </conditionalFormatting>
  <conditionalFormatting sqref="F35:G35">
    <cfRule type="expression" dxfId="283" priority="106" stopIfTrue="1">
      <formula>AND(ISNUMBER(F35),ROUND(F35,2)=0)</formula>
    </cfRule>
  </conditionalFormatting>
  <conditionalFormatting sqref="F64:G64">
    <cfRule type="expression" dxfId="282" priority="186" stopIfTrue="1">
      <formula>AND(ISNUMBER(F64),ROUND(F64,2)=0)</formula>
    </cfRule>
  </conditionalFormatting>
  <conditionalFormatting sqref="F93:G93">
    <cfRule type="expression" dxfId="281" priority="266" stopIfTrue="1">
      <formula>AND(ISNUMBER(F93),ROUND(F93,2)=0)</formula>
    </cfRule>
  </conditionalFormatting>
  <conditionalFormatting sqref="F122:G122">
    <cfRule type="expression" dxfId="280" priority="346" stopIfTrue="1">
      <formula>AND(ISNUMBER(F122),ROUND(F122,2)=0)</formula>
    </cfRule>
  </conditionalFormatting>
  <conditionalFormatting sqref="F4:I4">
    <cfRule type="expression" dxfId="279" priority="21">
      <formula>$F$4&lt;&gt;""</formula>
    </cfRule>
  </conditionalFormatting>
  <conditionalFormatting sqref="F5:I5">
    <cfRule type="expression" dxfId="278" priority="22">
      <formula>$F$4&lt;&gt;""</formula>
    </cfRule>
  </conditionalFormatting>
  <conditionalFormatting sqref="F6:I6">
    <cfRule type="expression" dxfId="277" priority="23">
      <formula>$F$4&lt;&gt;""</formula>
    </cfRule>
  </conditionalFormatting>
  <conditionalFormatting sqref="F7:I7">
    <cfRule type="expression" dxfId="276" priority="24">
      <formula>$F$4&lt;&gt;""</formula>
    </cfRule>
  </conditionalFormatting>
  <conditionalFormatting sqref="F8:I8">
    <cfRule type="expression" dxfId="275" priority="25">
      <formula>$F$4&lt;&gt;""</formula>
    </cfRule>
  </conditionalFormatting>
  <conditionalFormatting sqref="F9:I9">
    <cfRule type="expression" dxfId="274" priority="34">
      <formula>$F$4&lt;&gt;""</formula>
    </cfRule>
  </conditionalFormatting>
  <conditionalFormatting sqref="F10:I31">
    <cfRule type="expression" dxfId="273" priority="402">
      <formula>$F10&lt;&gt;""</formula>
    </cfRule>
    <cfRule type="expression" dxfId="272" priority="36" stopIfTrue="1">
      <formula>AND(INDEX($BK$3:$BK$24,ROW()-9)="V",$F$4&lt;&gt;"")</formula>
    </cfRule>
    <cfRule type="expression" dxfId="271" priority="35" stopIfTrue="1">
      <formula>AND(INDEX($BK$3:$BK$24,ROW()-9)="C",$F$4&lt;&gt;"")</formula>
    </cfRule>
  </conditionalFormatting>
  <conditionalFormatting sqref="F33:I33">
    <cfRule type="expression" dxfId="270" priority="101">
      <formula>$F$33&lt;&gt;""</formula>
    </cfRule>
  </conditionalFormatting>
  <conditionalFormatting sqref="F34:I34">
    <cfRule type="expression" dxfId="269" priority="102">
      <formula>$F$33&lt;&gt;""</formula>
    </cfRule>
  </conditionalFormatting>
  <conditionalFormatting sqref="F35:I35">
    <cfRule type="expression" dxfId="268" priority="103">
      <formula>$F$33&lt;&gt;""</formula>
    </cfRule>
  </conditionalFormatting>
  <conditionalFormatting sqref="F36:I36">
    <cfRule type="expression" dxfId="267" priority="104">
      <formula>$F$33&lt;&gt;""</formula>
    </cfRule>
  </conditionalFormatting>
  <conditionalFormatting sqref="F37:I37">
    <cfRule type="expression" dxfId="266" priority="105">
      <formula>$F$33&lt;&gt;""</formula>
    </cfRule>
  </conditionalFormatting>
  <conditionalFormatting sqref="F38:I38">
    <cfRule type="expression" dxfId="265" priority="114">
      <formula>$F$33&lt;&gt;""</formula>
    </cfRule>
  </conditionalFormatting>
  <conditionalFormatting sqref="F39:I60">
    <cfRule type="expression" dxfId="264" priority="406">
      <formula>$F39&lt;&gt;""</formula>
    </cfRule>
    <cfRule type="expression" dxfId="263" priority="116" stopIfTrue="1">
      <formula>AND(INDEX($BK$3:$BK$24,ROW()-38)="V",$F$33&lt;&gt;"")</formula>
    </cfRule>
    <cfRule type="expression" dxfId="262" priority="115" stopIfTrue="1">
      <formula>AND(INDEX($BK$3:$BK$24,ROW()-38)="C",$F$33&lt;&gt;"")</formula>
    </cfRule>
  </conditionalFormatting>
  <conditionalFormatting sqref="F62:I62">
    <cfRule type="expression" dxfId="261" priority="181">
      <formula>$F$62&lt;&gt;""</formula>
    </cfRule>
  </conditionalFormatting>
  <conditionalFormatting sqref="F63:I63">
    <cfRule type="expression" dxfId="260" priority="182">
      <formula>$F$62&lt;&gt;""</formula>
    </cfRule>
  </conditionalFormatting>
  <conditionalFormatting sqref="F64:I64">
    <cfRule type="expression" dxfId="259" priority="183">
      <formula>$F$62&lt;&gt;""</formula>
    </cfRule>
  </conditionalFormatting>
  <conditionalFormatting sqref="F65:I65">
    <cfRule type="expression" dxfId="258" priority="184">
      <formula>$F$62&lt;&gt;""</formula>
    </cfRule>
  </conditionalFormatting>
  <conditionalFormatting sqref="F66:I66">
    <cfRule type="expression" dxfId="257" priority="185">
      <formula>$F$62&lt;&gt;""</formula>
    </cfRule>
  </conditionalFormatting>
  <conditionalFormatting sqref="F67:I67">
    <cfRule type="expression" dxfId="256" priority="194">
      <formula>$F$62&lt;&gt;""</formula>
    </cfRule>
  </conditionalFormatting>
  <conditionalFormatting sqref="F68:I89">
    <cfRule type="expression" dxfId="255" priority="196" stopIfTrue="1">
      <formula>AND(INDEX($BK$3:$BK$24,ROW()-67)="V",$F$62&lt;&gt;"")</formula>
    </cfRule>
    <cfRule type="expression" dxfId="254" priority="195" stopIfTrue="1">
      <formula>AND(INDEX($BK$3:$BK$24,ROW()-67)="C",$F$62&lt;&gt;"")</formula>
    </cfRule>
    <cfRule type="expression" dxfId="253" priority="410">
      <formula>$F68&lt;&gt;""</formula>
    </cfRule>
  </conditionalFormatting>
  <conditionalFormatting sqref="F91:I91">
    <cfRule type="expression" dxfId="252" priority="261">
      <formula>$F$91&lt;&gt;""</formula>
    </cfRule>
  </conditionalFormatting>
  <conditionalFormatting sqref="F92:I92">
    <cfRule type="expression" dxfId="251" priority="262">
      <formula>$F$91&lt;&gt;""</formula>
    </cfRule>
  </conditionalFormatting>
  <conditionalFormatting sqref="F93:I93">
    <cfRule type="expression" dxfId="250" priority="263">
      <formula>$F$91&lt;&gt;""</formula>
    </cfRule>
  </conditionalFormatting>
  <conditionalFormatting sqref="F94:I94">
    <cfRule type="expression" dxfId="249" priority="264">
      <formula>$F$91&lt;&gt;""</formula>
    </cfRule>
  </conditionalFormatting>
  <conditionalFormatting sqref="F95:I95">
    <cfRule type="expression" dxfId="248" priority="265">
      <formula>$F$91&lt;&gt;""</formula>
    </cfRule>
  </conditionalFormatting>
  <conditionalFormatting sqref="F96:I96">
    <cfRule type="expression" dxfId="247" priority="274">
      <formula>$F$91&lt;&gt;""</formula>
    </cfRule>
  </conditionalFormatting>
  <conditionalFormatting sqref="F97:I118">
    <cfRule type="expression" dxfId="246" priority="276" stopIfTrue="1">
      <formula>AND(INDEX($BK$3:$BK$24,ROW()-96)="V",$F$91&lt;&gt;"")</formula>
    </cfRule>
    <cfRule type="expression" dxfId="245" priority="275" stopIfTrue="1">
      <formula>AND(INDEX($BK$3:$BK$24,ROW()-96)="C",$F$91&lt;&gt;"")</formula>
    </cfRule>
    <cfRule type="expression" dxfId="244" priority="414">
      <formula>$F97&lt;&gt;""</formula>
    </cfRule>
  </conditionalFormatting>
  <conditionalFormatting sqref="F120:I120">
    <cfRule type="expression" dxfId="243" priority="341">
      <formula>$F$120&lt;&gt;""</formula>
    </cfRule>
  </conditionalFormatting>
  <conditionalFormatting sqref="F121:I121">
    <cfRule type="expression" dxfId="242" priority="342">
      <formula>$F$120&lt;&gt;""</formula>
    </cfRule>
  </conditionalFormatting>
  <conditionalFormatting sqref="F122:I122">
    <cfRule type="expression" dxfId="241" priority="343">
      <formula>$F$120&lt;&gt;""</formula>
    </cfRule>
  </conditionalFormatting>
  <conditionalFormatting sqref="F123:I123">
    <cfRule type="expression" dxfId="240" priority="344">
      <formula>$F$120&lt;&gt;""</formula>
    </cfRule>
  </conditionalFormatting>
  <conditionalFormatting sqref="F124:I124">
    <cfRule type="expression" dxfId="239" priority="345">
      <formula>$F$120&lt;&gt;""</formula>
    </cfRule>
  </conditionalFormatting>
  <conditionalFormatting sqref="F125:I125">
    <cfRule type="expression" dxfId="238" priority="354">
      <formula>$F$120&lt;&gt;""</formula>
    </cfRule>
  </conditionalFormatting>
  <conditionalFormatting sqref="F126:I147">
    <cfRule type="expression" dxfId="237" priority="356" stopIfTrue="1">
      <formula>AND(INDEX($BK$3:$BK$24,ROW()-125)="V",$F$120&lt;&gt;"")</formula>
    </cfRule>
    <cfRule type="expression" dxfId="236" priority="355" stopIfTrue="1">
      <formula>AND(INDEX($BK$3:$BK$24,ROW()-125)="C",$F$120&lt;&gt;"")</formula>
    </cfRule>
    <cfRule type="expression" dxfId="235" priority="418">
      <formula>$F126&lt;&gt;""</formula>
    </cfRule>
  </conditionalFormatting>
  <conditionalFormatting sqref="G6">
    <cfRule type="expression" dxfId="234" priority="33" stopIfTrue="1">
      <formula>ISNUMBER(G6)</formula>
    </cfRule>
    <cfRule type="expression" dxfId="233" priority="32" stopIfTrue="1">
      <formula>AND(ISNUMBER(G6),G6&gt;=NgayQua/SoNgay*0.8)</formula>
    </cfRule>
    <cfRule type="expression" dxfId="232" priority="31" stopIfTrue="1">
      <formula>AND(ISNUMBER(G6),G6&gt;=NgayQua/SoNgay)</formula>
    </cfRule>
  </conditionalFormatting>
  <conditionalFormatting sqref="G35">
    <cfRule type="expression" dxfId="231" priority="111" stopIfTrue="1">
      <formula>AND(ISNUMBER(G35),G35&gt;=NgayQua/SoNgay)</formula>
    </cfRule>
    <cfRule type="expression" dxfId="230" priority="113" stopIfTrue="1">
      <formula>ISNUMBER(G35)</formula>
    </cfRule>
    <cfRule type="expression" dxfId="229" priority="112" stopIfTrue="1">
      <formula>AND(ISNUMBER(G35),G35&gt;=NgayQua/SoNgay*0.8)</formula>
    </cfRule>
  </conditionalFormatting>
  <conditionalFormatting sqref="G64">
    <cfRule type="expression" dxfId="228" priority="191" stopIfTrue="1">
      <formula>AND(ISNUMBER(G64),G64&gt;=NgayQua/SoNgay)</formula>
    </cfRule>
    <cfRule type="expression" dxfId="227" priority="192" stopIfTrue="1">
      <formula>AND(ISNUMBER(G64),G64&gt;=NgayQua/SoNgay*0.8)</formula>
    </cfRule>
    <cfRule type="expression" dxfId="226" priority="193" stopIfTrue="1">
      <formula>ISNUMBER(G64)</formula>
    </cfRule>
  </conditionalFormatting>
  <conditionalFormatting sqref="G93">
    <cfRule type="expression" dxfId="225" priority="273" stopIfTrue="1">
      <formula>ISNUMBER(G93)</formula>
    </cfRule>
    <cfRule type="expression" dxfId="224" priority="271" stopIfTrue="1">
      <formula>AND(ISNUMBER(G93),G93&gt;=NgayQua/SoNgay)</formula>
    </cfRule>
    <cfRule type="expression" dxfId="223" priority="272" stopIfTrue="1">
      <formula>AND(ISNUMBER(G93),G93&gt;=NgayQua/SoNgay*0.8)</formula>
    </cfRule>
  </conditionalFormatting>
  <conditionalFormatting sqref="G122">
    <cfRule type="expression" dxfId="222" priority="352" stopIfTrue="1">
      <formula>AND(ISNUMBER(G122),G122&gt;=NgayQua/SoNgay*0.8)</formula>
    </cfRule>
    <cfRule type="expression" dxfId="221" priority="351" stopIfTrue="1">
      <formula>AND(ISNUMBER(G122),G122&gt;=NgayQua/SoNgay)</formula>
    </cfRule>
    <cfRule type="expression" dxfId="220" priority="353" stopIfTrue="1">
      <formula>ISNUMBER(G122)</formula>
    </cfRule>
  </conditionalFormatting>
  <conditionalFormatting sqref="I10:I31">
    <cfRule type="expression" dxfId="219" priority="37" stopIfTrue="1">
      <formula>AND(ISNUMBER(I10),ROUND(I10,2)=0)</formula>
    </cfRule>
    <cfRule type="expression" dxfId="218" priority="38" stopIfTrue="1">
      <formula>AND(ISNUMBER(I10),I10&gt;=1)</formula>
    </cfRule>
    <cfRule type="expression" dxfId="217" priority="40" stopIfTrue="1">
      <formula>ISNUMBER(I10)</formula>
    </cfRule>
    <cfRule type="expression" dxfId="216" priority="39" stopIfTrue="1">
      <formula>AND(ISNUMBER(I10),I10&gt;=1*0.8)</formula>
    </cfRule>
  </conditionalFormatting>
  <conditionalFormatting sqref="I39:I60">
    <cfRule type="expression" dxfId="215" priority="117" stopIfTrue="1">
      <formula>AND(ISNUMBER(I39),ROUND(I39,2)=0)</formula>
    </cfRule>
    <cfRule type="expression" dxfId="214" priority="118" stopIfTrue="1">
      <formula>AND(ISNUMBER(I39),I39&gt;=1)</formula>
    </cfRule>
    <cfRule type="expression" dxfId="213" priority="119" stopIfTrue="1">
      <formula>AND(ISNUMBER(I39),I39&gt;=1*0.8)</formula>
    </cfRule>
    <cfRule type="expression" dxfId="212" priority="120" stopIfTrue="1">
      <formula>ISNUMBER(I39)</formula>
    </cfRule>
  </conditionalFormatting>
  <conditionalFormatting sqref="I68:I89">
    <cfRule type="expression" dxfId="211" priority="197" stopIfTrue="1">
      <formula>AND(ISNUMBER(I68),ROUND(I68,2)=0)</formula>
    </cfRule>
    <cfRule type="expression" dxfId="210" priority="200" stopIfTrue="1">
      <formula>ISNUMBER(I68)</formula>
    </cfRule>
    <cfRule type="expression" dxfId="209" priority="199" stopIfTrue="1">
      <formula>AND(ISNUMBER(I68),I68&gt;=1*0.8)</formula>
    </cfRule>
    <cfRule type="expression" dxfId="208" priority="198" stopIfTrue="1">
      <formula>AND(ISNUMBER(I68),I68&gt;=1)</formula>
    </cfRule>
  </conditionalFormatting>
  <conditionalFormatting sqref="I97:I118">
    <cfRule type="expression" dxfId="207" priority="280" stopIfTrue="1">
      <formula>ISNUMBER(I97)</formula>
    </cfRule>
    <cfRule type="expression" dxfId="206" priority="278" stopIfTrue="1">
      <formula>AND(ISNUMBER(I97),I97&gt;=1)</formula>
    </cfRule>
    <cfRule type="expression" dxfId="205" priority="279" stopIfTrue="1">
      <formula>AND(ISNUMBER(I97),I97&gt;=1*0.8)</formula>
    </cfRule>
    <cfRule type="expression" dxfId="204" priority="277" stopIfTrue="1">
      <formula>AND(ISNUMBER(I97),ROUND(I97,2)=0)</formula>
    </cfRule>
  </conditionalFormatting>
  <conditionalFormatting sqref="I126:I147">
    <cfRule type="expression" dxfId="203" priority="358" stopIfTrue="1">
      <formula>AND(ISNUMBER(I126),I126&gt;=1)</formula>
    </cfRule>
    <cfRule type="expression" dxfId="202" priority="359" stopIfTrue="1">
      <formula>AND(ISNUMBER(I126),I126&gt;=1*0.8)</formula>
    </cfRule>
    <cfRule type="expression" dxfId="201" priority="360" stopIfTrue="1">
      <formula>ISNUMBER(I126)</formula>
    </cfRule>
    <cfRule type="expression" dxfId="200" priority="357" stopIfTrue="1">
      <formula>AND(ISNUMBER(I126),ROUND(I126,2)=0)</formula>
    </cfRule>
  </conditionalFormatting>
  <conditionalFormatting sqref="K6">
    <cfRule type="expression" dxfId="199" priority="49" stopIfTrue="1">
      <formula>ISNUMBER(K6)</formula>
    </cfRule>
    <cfRule type="expression" dxfId="198" priority="48" stopIfTrue="1">
      <formula>AND(ISNUMBER(K6),K6&gt;=1*0.8)</formula>
    </cfRule>
    <cfRule type="expression" dxfId="197" priority="47" stopIfTrue="1">
      <formula>AND(ISNUMBER(K6),K6&gt;=1)</formula>
    </cfRule>
  </conditionalFormatting>
  <conditionalFormatting sqref="K35">
    <cfRule type="expression" dxfId="196" priority="127" stopIfTrue="1">
      <formula>AND(ISNUMBER(K35),K35&gt;=1)</formula>
    </cfRule>
    <cfRule type="expression" dxfId="195" priority="128" stopIfTrue="1">
      <formula>AND(ISNUMBER(K35),K35&gt;=1*0.8)</formula>
    </cfRule>
    <cfRule type="expression" dxfId="194" priority="129" stopIfTrue="1">
      <formula>ISNUMBER(K35)</formula>
    </cfRule>
  </conditionalFormatting>
  <conditionalFormatting sqref="K64">
    <cfRule type="expression" dxfId="193" priority="209" stopIfTrue="1">
      <formula>ISNUMBER(K64)</formula>
    </cfRule>
    <cfRule type="expression" dxfId="192" priority="207" stopIfTrue="1">
      <formula>AND(ISNUMBER(K64),K64&gt;=1)</formula>
    </cfRule>
    <cfRule type="expression" dxfId="191" priority="208" stopIfTrue="1">
      <formula>AND(ISNUMBER(K64),K64&gt;=1*0.8)</formula>
    </cfRule>
  </conditionalFormatting>
  <conditionalFormatting sqref="K93">
    <cfRule type="expression" dxfId="190" priority="287" stopIfTrue="1">
      <formula>AND(ISNUMBER(K93),K93&gt;=1)</formula>
    </cfRule>
    <cfRule type="expression" dxfId="189" priority="289" stopIfTrue="1">
      <formula>ISNUMBER(K93)</formula>
    </cfRule>
    <cfRule type="expression" dxfId="188" priority="288" stopIfTrue="1">
      <formula>AND(ISNUMBER(K93),K93&gt;=1*0.8)</formula>
    </cfRule>
  </conditionalFormatting>
  <conditionalFormatting sqref="K122">
    <cfRule type="expression" dxfId="187" priority="367" stopIfTrue="1">
      <formula>AND(ISNUMBER(K122),K122&gt;=1)</formula>
    </cfRule>
    <cfRule type="expression" dxfId="186" priority="369" stopIfTrue="1">
      <formula>ISNUMBER(K122)</formula>
    </cfRule>
    <cfRule type="expression" dxfId="185" priority="368" stopIfTrue="1">
      <formula>AND(ISNUMBER(K122),K122&gt;=1*0.8)</formula>
    </cfRule>
  </conditionalFormatting>
  <conditionalFormatting sqref="K6:L6">
    <cfRule type="expression" dxfId="184" priority="46" stopIfTrue="1">
      <formula>AND(ISNUMBER(K6),ROUND(K6,2)=0)</formula>
    </cfRule>
  </conditionalFormatting>
  <conditionalFormatting sqref="K35:L35">
    <cfRule type="expression" dxfId="183" priority="126" stopIfTrue="1">
      <formula>AND(ISNUMBER(K35),ROUND(K35,2)=0)</formula>
    </cfRule>
  </conditionalFormatting>
  <conditionalFormatting sqref="K64:L64">
    <cfRule type="expression" dxfId="182" priority="206" stopIfTrue="1">
      <formula>AND(ISNUMBER(K64),ROUND(K64,2)=0)</formula>
    </cfRule>
  </conditionalFormatting>
  <conditionalFormatting sqref="K93:L93">
    <cfRule type="expression" dxfId="181" priority="286" stopIfTrue="1">
      <formula>AND(ISNUMBER(K93),ROUND(K93,2)=0)</formula>
    </cfRule>
  </conditionalFormatting>
  <conditionalFormatting sqref="K122:L122">
    <cfRule type="expression" dxfId="180" priority="366" stopIfTrue="1">
      <formula>AND(ISNUMBER(K122),ROUND(K122,2)=0)</formula>
    </cfRule>
  </conditionalFormatting>
  <conditionalFormatting sqref="K4:N4">
    <cfRule type="expression" dxfId="179" priority="41">
      <formula>$K$4&lt;&gt;""</formula>
    </cfRule>
  </conditionalFormatting>
  <conditionalFormatting sqref="K5:N5">
    <cfRule type="expression" dxfId="178" priority="42">
      <formula>$K$4&lt;&gt;""</formula>
    </cfRule>
  </conditionalFormatting>
  <conditionalFormatting sqref="K6:N6">
    <cfRule type="expression" dxfId="177" priority="43">
      <formula>$K$4&lt;&gt;""</formula>
    </cfRule>
  </conditionalFormatting>
  <conditionalFormatting sqref="K7:N7">
    <cfRule type="expression" dxfId="176" priority="44">
      <formula>$K$4&lt;&gt;""</formula>
    </cfRule>
  </conditionalFormatting>
  <conditionalFormatting sqref="K8:N8">
    <cfRule type="expression" dxfId="175" priority="45">
      <formula>$K$4&lt;&gt;""</formula>
    </cfRule>
  </conditionalFormatting>
  <conditionalFormatting sqref="K9:N9">
    <cfRule type="expression" dxfId="174" priority="54">
      <formula>$K$4&lt;&gt;""</formula>
    </cfRule>
  </conditionalFormatting>
  <conditionalFormatting sqref="K10:N31">
    <cfRule type="expression" dxfId="173" priority="403">
      <formula>$K10&lt;&gt;""</formula>
    </cfRule>
    <cfRule type="expression" dxfId="172" priority="55" stopIfTrue="1">
      <formula>AND(INDEX($BK$3:$BK$24,ROW()-9)="C",$K$4&lt;&gt;"")</formula>
    </cfRule>
    <cfRule type="expression" dxfId="171" priority="56" stopIfTrue="1">
      <formula>AND(INDEX($BK$3:$BK$24,ROW()-9)="V",$K$4&lt;&gt;"")</formula>
    </cfRule>
  </conditionalFormatting>
  <conditionalFormatting sqref="K33:N33">
    <cfRule type="expression" dxfId="170" priority="121">
      <formula>$K$33&lt;&gt;""</formula>
    </cfRule>
  </conditionalFormatting>
  <conditionalFormatting sqref="K34:N34">
    <cfRule type="expression" dxfId="169" priority="122">
      <formula>$K$33&lt;&gt;""</formula>
    </cfRule>
  </conditionalFormatting>
  <conditionalFormatting sqref="K35:N35">
    <cfRule type="expression" dxfId="168" priority="123">
      <formula>$K$33&lt;&gt;""</formula>
    </cfRule>
  </conditionalFormatting>
  <conditionalFormatting sqref="K36:N36">
    <cfRule type="expression" dxfId="167" priority="124">
      <formula>$K$33&lt;&gt;""</formula>
    </cfRule>
  </conditionalFormatting>
  <conditionalFormatting sqref="K37:N37">
    <cfRule type="expression" dxfId="166" priority="125">
      <formula>$K$33&lt;&gt;""</formula>
    </cfRule>
  </conditionalFormatting>
  <conditionalFormatting sqref="K38:N38">
    <cfRule type="expression" dxfId="165" priority="134">
      <formula>$K$33&lt;&gt;""</formula>
    </cfRule>
  </conditionalFormatting>
  <conditionalFormatting sqref="K39:N60">
    <cfRule type="expression" dxfId="164" priority="135" stopIfTrue="1">
      <formula>AND(INDEX($BK$3:$BK$24,ROW()-38)="C",$K$33&lt;&gt;"")</formula>
    </cfRule>
    <cfRule type="expression" dxfId="163" priority="136" stopIfTrue="1">
      <formula>AND(INDEX($BK$3:$BK$24,ROW()-38)="V",$K$33&lt;&gt;"")</formula>
    </cfRule>
    <cfRule type="expression" dxfId="162" priority="407">
      <formula>$K39&lt;&gt;""</formula>
    </cfRule>
  </conditionalFormatting>
  <conditionalFormatting sqref="K62:N62">
    <cfRule type="expression" dxfId="161" priority="201">
      <formula>$K$62&lt;&gt;""</formula>
    </cfRule>
  </conditionalFormatting>
  <conditionalFormatting sqref="K63:N63">
    <cfRule type="expression" dxfId="160" priority="202">
      <formula>$K$62&lt;&gt;""</formula>
    </cfRule>
  </conditionalFormatting>
  <conditionalFormatting sqref="K64:N64">
    <cfRule type="expression" dxfId="159" priority="203">
      <formula>$K$62&lt;&gt;""</formula>
    </cfRule>
  </conditionalFormatting>
  <conditionalFormatting sqref="K65:N65">
    <cfRule type="expression" dxfId="158" priority="204">
      <formula>$K$62&lt;&gt;""</formula>
    </cfRule>
  </conditionalFormatting>
  <conditionalFormatting sqref="K66:N66">
    <cfRule type="expression" dxfId="157" priority="205">
      <formula>$K$62&lt;&gt;""</formula>
    </cfRule>
  </conditionalFormatting>
  <conditionalFormatting sqref="K67:N67">
    <cfRule type="expression" dxfId="156" priority="214">
      <formula>$K$62&lt;&gt;""</formula>
    </cfRule>
  </conditionalFormatting>
  <conditionalFormatting sqref="K68:N89">
    <cfRule type="expression" dxfId="155" priority="215" stopIfTrue="1">
      <formula>AND(INDEX($BK$3:$BK$24,ROW()-67)="C",$K$62&lt;&gt;"")</formula>
    </cfRule>
    <cfRule type="expression" dxfId="154" priority="216" stopIfTrue="1">
      <formula>AND(INDEX($BK$3:$BK$24,ROW()-67)="V",$K$62&lt;&gt;"")</formula>
    </cfRule>
    <cfRule type="expression" dxfId="153" priority="411">
      <formula>$K68&lt;&gt;""</formula>
    </cfRule>
  </conditionalFormatting>
  <conditionalFormatting sqref="K91:N91">
    <cfRule type="expression" dxfId="152" priority="281">
      <formula>$K$91&lt;&gt;""</formula>
    </cfRule>
  </conditionalFormatting>
  <conditionalFormatting sqref="K92:N92">
    <cfRule type="expression" dxfId="151" priority="282">
      <formula>$K$91&lt;&gt;""</formula>
    </cfRule>
  </conditionalFormatting>
  <conditionalFormatting sqref="K93:N93">
    <cfRule type="expression" dxfId="150" priority="283">
      <formula>$K$91&lt;&gt;""</formula>
    </cfRule>
  </conditionalFormatting>
  <conditionalFormatting sqref="K94:N94">
    <cfRule type="expression" dxfId="149" priority="284">
      <formula>$K$91&lt;&gt;""</formula>
    </cfRule>
  </conditionalFormatting>
  <conditionalFormatting sqref="K95:N95">
    <cfRule type="expression" dxfId="148" priority="285">
      <formula>$K$91&lt;&gt;""</formula>
    </cfRule>
  </conditionalFormatting>
  <conditionalFormatting sqref="K96:N96">
    <cfRule type="expression" dxfId="147" priority="294">
      <formula>$K$91&lt;&gt;""</formula>
    </cfRule>
  </conditionalFormatting>
  <conditionalFormatting sqref="K97:N118">
    <cfRule type="expression" dxfId="146" priority="295" stopIfTrue="1">
      <formula>AND(INDEX($BK$3:$BK$24,ROW()-96)="C",$K$91&lt;&gt;"")</formula>
    </cfRule>
    <cfRule type="expression" dxfId="145" priority="296" stopIfTrue="1">
      <formula>AND(INDEX($BK$3:$BK$24,ROW()-96)="V",$K$91&lt;&gt;"")</formula>
    </cfRule>
    <cfRule type="expression" dxfId="144" priority="415">
      <formula>$K97&lt;&gt;""</formula>
    </cfRule>
  </conditionalFormatting>
  <conditionalFormatting sqref="K120:N120">
    <cfRule type="expression" dxfId="143" priority="361">
      <formula>$K$120&lt;&gt;""</formula>
    </cfRule>
  </conditionalFormatting>
  <conditionalFormatting sqref="K121:N121">
    <cfRule type="expression" dxfId="142" priority="362">
      <formula>$K$120&lt;&gt;""</formula>
    </cfRule>
  </conditionalFormatting>
  <conditionalFormatting sqref="K122:N122">
    <cfRule type="expression" dxfId="141" priority="363">
      <formula>$K$120&lt;&gt;""</formula>
    </cfRule>
  </conditionalFormatting>
  <conditionalFormatting sqref="K123:N123">
    <cfRule type="expression" dxfId="140" priority="364">
      <formula>$K$120&lt;&gt;""</formula>
    </cfRule>
  </conditionalFormatting>
  <conditionalFormatting sqref="K124:N124">
    <cfRule type="expression" dxfId="139" priority="365">
      <formula>$K$120&lt;&gt;""</formula>
    </cfRule>
  </conditionalFormatting>
  <conditionalFormatting sqref="K125:N125">
    <cfRule type="expression" dxfId="138" priority="374">
      <formula>$K$120&lt;&gt;""</formula>
    </cfRule>
  </conditionalFormatting>
  <conditionalFormatting sqref="K126:N147">
    <cfRule type="expression" dxfId="137" priority="375" stopIfTrue="1">
      <formula>AND(INDEX($BK$3:$BK$24,ROW()-125)="C",$K$120&lt;&gt;"")</formula>
    </cfRule>
    <cfRule type="expression" dxfId="136" priority="419">
      <formula>$K126&lt;&gt;""</formula>
    </cfRule>
    <cfRule type="expression" dxfId="135" priority="376" stopIfTrue="1">
      <formula>AND(INDEX($BK$3:$BK$24,ROW()-125)="V",$K$120&lt;&gt;"")</formula>
    </cfRule>
  </conditionalFormatting>
  <conditionalFormatting sqref="L6">
    <cfRule type="expression" dxfId="134" priority="53" stopIfTrue="1">
      <formula>ISNUMBER(L6)</formula>
    </cfRule>
    <cfRule type="expression" dxfId="133" priority="51" stopIfTrue="1">
      <formula>AND(ISNUMBER(L6),L6&gt;=NgayQua/SoNgay)</formula>
    </cfRule>
    <cfRule type="expression" dxfId="132" priority="52" stopIfTrue="1">
      <formula>AND(ISNUMBER(L6),L6&gt;=NgayQua/SoNgay*0.8)</formula>
    </cfRule>
  </conditionalFormatting>
  <conditionalFormatting sqref="L35">
    <cfRule type="expression" dxfId="131" priority="133" stopIfTrue="1">
      <formula>ISNUMBER(L35)</formula>
    </cfRule>
    <cfRule type="expression" dxfId="130" priority="131" stopIfTrue="1">
      <formula>AND(ISNUMBER(L35),L35&gt;=NgayQua/SoNgay)</formula>
    </cfRule>
    <cfRule type="expression" dxfId="129" priority="132" stopIfTrue="1">
      <formula>AND(ISNUMBER(L35),L35&gt;=NgayQua/SoNgay*0.8)</formula>
    </cfRule>
  </conditionalFormatting>
  <conditionalFormatting sqref="L64">
    <cfRule type="expression" dxfId="128" priority="212" stopIfTrue="1">
      <formula>AND(ISNUMBER(L64),L64&gt;=NgayQua/SoNgay*0.8)</formula>
    </cfRule>
    <cfRule type="expression" dxfId="127" priority="213" stopIfTrue="1">
      <formula>ISNUMBER(L64)</formula>
    </cfRule>
    <cfRule type="expression" dxfId="126" priority="211" stopIfTrue="1">
      <formula>AND(ISNUMBER(L64),L64&gt;=NgayQua/SoNgay)</formula>
    </cfRule>
  </conditionalFormatting>
  <conditionalFormatting sqref="L93">
    <cfRule type="expression" dxfId="125" priority="293" stopIfTrue="1">
      <formula>ISNUMBER(L93)</formula>
    </cfRule>
    <cfRule type="expression" dxfId="124" priority="292" stopIfTrue="1">
      <formula>AND(ISNUMBER(L93),L93&gt;=NgayQua/SoNgay*0.8)</formula>
    </cfRule>
    <cfRule type="expression" dxfId="123" priority="291" stopIfTrue="1">
      <formula>AND(ISNUMBER(L93),L93&gt;=NgayQua/SoNgay)</formula>
    </cfRule>
  </conditionalFormatting>
  <conditionalFormatting sqref="L122">
    <cfRule type="expression" dxfId="122" priority="372" stopIfTrue="1">
      <formula>AND(ISNUMBER(L122),L122&gt;=NgayQua/SoNgay*0.8)</formula>
    </cfRule>
    <cfRule type="expression" dxfId="121" priority="371" stopIfTrue="1">
      <formula>AND(ISNUMBER(L122),L122&gt;=NgayQua/SoNgay)</formula>
    </cfRule>
    <cfRule type="expression" dxfId="120" priority="373" stopIfTrue="1">
      <formula>ISNUMBER(L122)</formula>
    </cfRule>
  </conditionalFormatting>
  <conditionalFormatting sqref="N10:N31">
    <cfRule type="expression" dxfId="119" priority="59" stopIfTrue="1">
      <formula>AND(ISNUMBER(N10),N10&gt;=1*0.8)</formula>
    </cfRule>
    <cfRule type="expression" dxfId="118" priority="60" stopIfTrue="1">
      <formula>ISNUMBER(N10)</formula>
    </cfRule>
    <cfRule type="expression" dxfId="117" priority="58" stopIfTrue="1">
      <formula>AND(ISNUMBER(N10),N10&gt;=1)</formula>
    </cfRule>
    <cfRule type="expression" dxfId="116" priority="57" stopIfTrue="1">
      <formula>AND(ISNUMBER(N10),ROUND(N10,2)=0)</formula>
    </cfRule>
  </conditionalFormatting>
  <conditionalFormatting sqref="N39:N60">
    <cfRule type="expression" dxfId="115" priority="140" stopIfTrue="1">
      <formula>ISNUMBER(N39)</formula>
    </cfRule>
    <cfRule type="expression" dxfId="114" priority="137" stopIfTrue="1">
      <formula>AND(ISNUMBER(N39),ROUND(N39,2)=0)</formula>
    </cfRule>
    <cfRule type="expression" dxfId="113" priority="138" stopIfTrue="1">
      <formula>AND(ISNUMBER(N39),N39&gt;=1)</formula>
    </cfRule>
    <cfRule type="expression" dxfId="112" priority="139" stopIfTrue="1">
      <formula>AND(ISNUMBER(N39),N39&gt;=1*0.8)</formula>
    </cfRule>
  </conditionalFormatting>
  <conditionalFormatting sqref="N68:N89">
    <cfRule type="expression" dxfId="111" priority="220" stopIfTrue="1">
      <formula>ISNUMBER(N68)</formula>
    </cfRule>
    <cfRule type="expression" dxfId="110" priority="219" stopIfTrue="1">
      <formula>AND(ISNUMBER(N68),N68&gt;=1*0.8)</formula>
    </cfRule>
    <cfRule type="expression" dxfId="109" priority="218" stopIfTrue="1">
      <formula>AND(ISNUMBER(N68),N68&gt;=1)</formula>
    </cfRule>
    <cfRule type="expression" dxfId="108" priority="217" stopIfTrue="1">
      <formula>AND(ISNUMBER(N68),ROUND(N68,2)=0)</formula>
    </cfRule>
  </conditionalFormatting>
  <conditionalFormatting sqref="N97:N118">
    <cfRule type="expression" dxfId="107" priority="297" stopIfTrue="1">
      <formula>AND(ISNUMBER(N97),ROUND(N97,2)=0)</formula>
    </cfRule>
    <cfRule type="expression" dxfId="106" priority="298" stopIfTrue="1">
      <formula>AND(ISNUMBER(N97),N97&gt;=1)</formula>
    </cfRule>
    <cfRule type="expression" dxfId="105" priority="299" stopIfTrue="1">
      <formula>AND(ISNUMBER(N97),N97&gt;=1*0.8)</formula>
    </cfRule>
    <cfRule type="expression" dxfId="104" priority="300" stopIfTrue="1">
      <formula>ISNUMBER(N97)</formula>
    </cfRule>
  </conditionalFormatting>
  <conditionalFormatting sqref="N126:N147">
    <cfRule type="expression" dxfId="103" priority="380" stopIfTrue="1">
      <formula>ISNUMBER(N126)</formula>
    </cfRule>
    <cfRule type="expression" dxfId="102" priority="379" stopIfTrue="1">
      <formula>AND(ISNUMBER(N126),N126&gt;=1*0.8)</formula>
    </cfRule>
    <cfRule type="expression" dxfId="101" priority="378" stopIfTrue="1">
      <formula>AND(ISNUMBER(N126),N126&gt;=1)</formula>
    </cfRule>
    <cfRule type="expression" dxfId="100" priority="377" stopIfTrue="1">
      <formula>AND(ISNUMBER(N126),ROUND(N126,2)=0)</formula>
    </cfRule>
  </conditionalFormatting>
  <conditionalFormatting sqref="P6">
    <cfRule type="expression" dxfId="99" priority="69" stopIfTrue="1">
      <formula>ISNUMBER(P6)</formula>
    </cfRule>
    <cfRule type="expression" dxfId="98" priority="68" stopIfTrue="1">
      <formula>AND(ISNUMBER(P6),P6&gt;=1*0.8)</formula>
    </cfRule>
    <cfRule type="expression" dxfId="97" priority="67" stopIfTrue="1">
      <formula>AND(ISNUMBER(P6),P6&gt;=1)</formula>
    </cfRule>
  </conditionalFormatting>
  <conditionalFormatting sqref="P35">
    <cfRule type="expression" dxfId="96" priority="149" stopIfTrue="1">
      <formula>ISNUMBER(P35)</formula>
    </cfRule>
    <cfRule type="expression" dxfId="95" priority="147" stopIfTrue="1">
      <formula>AND(ISNUMBER(P35),P35&gt;=1)</formula>
    </cfRule>
    <cfRule type="expression" dxfId="94" priority="148" stopIfTrue="1">
      <formula>AND(ISNUMBER(P35),P35&gt;=1*0.8)</formula>
    </cfRule>
  </conditionalFormatting>
  <conditionalFormatting sqref="P64">
    <cfRule type="expression" dxfId="93" priority="229" stopIfTrue="1">
      <formula>ISNUMBER(P64)</formula>
    </cfRule>
    <cfRule type="expression" dxfId="92" priority="228" stopIfTrue="1">
      <formula>AND(ISNUMBER(P64),P64&gt;=1*0.8)</formula>
    </cfRule>
    <cfRule type="expression" dxfId="91" priority="227" stopIfTrue="1">
      <formula>AND(ISNUMBER(P64),P64&gt;=1)</formula>
    </cfRule>
  </conditionalFormatting>
  <conditionalFormatting sqref="P93">
    <cfRule type="expression" dxfId="90" priority="309" stopIfTrue="1">
      <formula>ISNUMBER(P93)</formula>
    </cfRule>
    <cfRule type="expression" dxfId="89" priority="307" stopIfTrue="1">
      <formula>AND(ISNUMBER(P93),P93&gt;=1)</formula>
    </cfRule>
    <cfRule type="expression" dxfId="88" priority="308" stopIfTrue="1">
      <formula>AND(ISNUMBER(P93),P93&gt;=1*0.8)</formula>
    </cfRule>
  </conditionalFormatting>
  <conditionalFormatting sqref="P122">
    <cfRule type="expression" dxfId="87" priority="387" stopIfTrue="1">
      <formula>AND(ISNUMBER(P122),P122&gt;=1)</formula>
    </cfRule>
    <cfRule type="expression" dxfId="86" priority="389" stopIfTrue="1">
      <formula>ISNUMBER(P122)</formula>
    </cfRule>
    <cfRule type="expression" dxfId="85" priority="388" stopIfTrue="1">
      <formula>AND(ISNUMBER(P122),P122&gt;=1*0.8)</formula>
    </cfRule>
  </conditionalFormatting>
  <conditionalFormatting sqref="P6:Q6">
    <cfRule type="expression" dxfId="84" priority="66" stopIfTrue="1">
      <formula>AND(ISNUMBER(P6),ROUND(P6,2)=0)</formula>
    </cfRule>
  </conditionalFormatting>
  <conditionalFormatting sqref="P35:Q35">
    <cfRule type="expression" dxfId="83" priority="146" stopIfTrue="1">
      <formula>AND(ISNUMBER(P35),ROUND(P35,2)=0)</formula>
    </cfRule>
  </conditionalFormatting>
  <conditionalFormatting sqref="P64:Q64">
    <cfRule type="expression" dxfId="82" priority="226" stopIfTrue="1">
      <formula>AND(ISNUMBER(P64),ROUND(P64,2)=0)</formula>
    </cfRule>
  </conditionalFormatting>
  <conditionalFormatting sqref="P93:Q93">
    <cfRule type="expression" dxfId="81" priority="306" stopIfTrue="1">
      <formula>AND(ISNUMBER(P93),ROUND(P93,2)=0)</formula>
    </cfRule>
  </conditionalFormatting>
  <conditionalFormatting sqref="P122:Q122">
    <cfRule type="expression" dxfId="80" priority="386" stopIfTrue="1">
      <formula>AND(ISNUMBER(P122),ROUND(P122,2)=0)</formula>
    </cfRule>
  </conditionalFormatting>
  <conditionalFormatting sqref="P4:S4">
    <cfRule type="expression" dxfId="79" priority="61">
      <formula>$P$4&lt;&gt;""</formula>
    </cfRule>
  </conditionalFormatting>
  <conditionalFormatting sqref="P5:S5">
    <cfRule type="expression" dxfId="78" priority="62">
      <formula>$P$4&lt;&gt;""</formula>
    </cfRule>
  </conditionalFormatting>
  <conditionalFormatting sqref="P6:S6">
    <cfRule type="expression" dxfId="77" priority="63">
      <formula>$P$4&lt;&gt;""</formula>
    </cfRule>
  </conditionalFormatting>
  <conditionalFormatting sqref="P7:S7">
    <cfRule type="expression" dxfId="76" priority="64">
      <formula>$P$4&lt;&gt;""</formula>
    </cfRule>
  </conditionalFormatting>
  <conditionalFormatting sqref="P8:S8">
    <cfRule type="expression" dxfId="75" priority="65">
      <formula>$P$4&lt;&gt;""</formula>
    </cfRule>
  </conditionalFormatting>
  <conditionalFormatting sqref="P9:S9">
    <cfRule type="expression" dxfId="74" priority="74">
      <formula>$P$4&lt;&gt;""</formula>
    </cfRule>
  </conditionalFormatting>
  <conditionalFormatting sqref="P10:S31">
    <cfRule type="expression" dxfId="73" priority="75" stopIfTrue="1">
      <formula>AND(INDEX($BK$3:$BK$24,ROW()-9)="C",$P$4&lt;&gt;"")</formula>
    </cfRule>
    <cfRule type="expression" dxfId="72" priority="76" stopIfTrue="1">
      <formula>AND(INDEX($BK$3:$BK$24,ROW()-9)="V",$P$4&lt;&gt;"")</formula>
    </cfRule>
    <cfRule type="expression" dxfId="71" priority="404">
      <formula>$P10&lt;&gt;""</formula>
    </cfRule>
  </conditionalFormatting>
  <conditionalFormatting sqref="P33:S33">
    <cfRule type="expression" dxfId="70" priority="141">
      <formula>$P$33&lt;&gt;""</formula>
    </cfRule>
  </conditionalFormatting>
  <conditionalFormatting sqref="P34:S34">
    <cfRule type="expression" dxfId="69" priority="142">
      <formula>$P$33&lt;&gt;""</formula>
    </cfRule>
  </conditionalFormatting>
  <conditionalFormatting sqref="P35:S35">
    <cfRule type="expression" dxfId="68" priority="143">
      <formula>$P$33&lt;&gt;""</formula>
    </cfRule>
  </conditionalFormatting>
  <conditionalFormatting sqref="P36:S36">
    <cfRule type="expression" dxfId="67" priority="144">
      <formula>$P$33&lt;&gt;""</formula>
    </cfRule>
  </conditionalFormatting>
  <conditionalFormatting sqref="P37:S37">
    <cfRule type="expression" dxfId="66" priority="145">
      <formula>$P$33&lt;&gt;""</formula>
    </cfRule>
  </conditionalFormatting>
  <conditionalFormatting sqref="P38:S38">
    <cfRule type="expression" dxfId="65" priority="154">
      <formula>$P$33&lt;&gt;""</formula>
    </cfRule>
  </conditionalFormatting>
  <conditionalFormatting sqref="P39:S60">
    <cfRule type="expression" dxfId="64" priority="155" stopIfTrue="1">
      <formula>AND(INDEX($BK$3:$BK$24,ROW()-38)="C",$P$33&lt;&gt;"")</formula>
    </cfRule>
    <cfRule type="expression" dxfId="63" priority="156" stopIfTrue="1">
      <formula>AND(INDEX($BK$3:$BK$24,ROW()-38)="V",$P$33&lt;&gt;"")</formula>
    </cfRule>
    <cfRule type="expression" dxfId="62" priority="408">
      <formula>$P39&lt;&gt;""</formula>
    </cfRule>
  </conditionalFormatting>
  <conditionalFormatting sqref="P62:S62">
    <cfRule type="expression" dxfId="61" priority="221">
      <formula>$P$62&lt;&gt;""</formula>
    </cfRule>
  </conditionalFormatting>
  <conditionalFormatting sqref="P63:S63">
    <cfRule type="expression" dxfId="60" priority="222">
      <formula>$P$62&lt;&gt;""</formula>
    </cfRule>
  </conditionalFormatting>
  <conditionalFormatting sqref="P64:S64">
    <cfRule type="expression" dxfId="59" priority="223">
      <formula>$P$62&lt;&gt;""</formula>
    </cfRule>
  </conditionalFormatting>
  <conditionalFormatting sqref="P65:S65">
    <cfRule type="expression" dxfId="58" priority="224">
      <formula>$P$62&lt;&gt;""</formula>
    </cfRule>
  </conditionalFormatting>
  <conditionalFormatting sqref="P66:S66">
    <cfRule type="expression" dxfId="57" priority="225">
      <formula>$P$62&lt;&gt;""</formula>
    </cfRule>
  </conditionalFormatting>
  <conditionalFormatting sqref="P67:S67">
    <cfRule type="expression" dxfId="56" priority="234">
      <formula>$P$62&lt;&gt;""</formula>
    </cfRule>
  </conditionalFormatting>
  <conditionalFormatting sqref="P68:S89">
    <cfRule type="expression" dxfId="55" priority="235" stopIfTrue="1">
      <formula>AND(INDEX($BK$3:$BK$24,ROW()-67)="C",$P$62&lt;&gt;"")</formula>
    </cfRule>
    <cfRule type="expression" dxfId="54" priority="236" stopIfTrue="1">
      <formula>AND(INDEX($BK$3:$BK$24,ROW()-67)="V",$P$62&lt;&gt;"")</formula>
    </cfRule>
    <cfRule type="expression" dxfId="53" priority="412">
      <formula>$P68&lt;&gt;""</formula>
    </cfRule>
  </conditionalFormatting>
  <conditionalFormatting sqref="P91:S91">
    <cfRule type="expression" dxfId="52" priority="301">
      <formula>$P$91&lt;&gt;""</formula>
    </cfRule>
  </conditionalFormatting>
  <conditionalFormatting sqref="P92:S92">
    <cfRule type="expression" dxfId="51" priority="302">
      <formula>$P$91&lt;&gt;""</formula>
    </cfRule>
  </conditionalFormatting>
  <conditionalFormatting sqref="P93:S93">
    <cfRule type="expression" dxfId="50" priority="303">
      <formula>$P$91&lt;&gt;""</formula>
    </cfRule>
  </conditionalFormatting>
  <conditionalFormatting sqref="P94:S94">
    <cfRule type="expression" dxfId="49" priority="304">
      <formula>$P$91&lt;&gt;""</formula>
    </cfRule>
  </conditionalFormatting>
  <conditionalFormatting sqref="P95:S95">
    <cfRule type="expression" dxfId="48" priority="305">
      <formula>$P$91&lt;&gt;""</formula>
    </cfRule>
  </conditionalFormatting>
  <conditionalFormatting sqref="P96:S96">
    <cfRule type="expression" dxfId="47" priority="314">
      <formula>$P$91&lt;&gt;""</formula>
    </cfRule>
  </conditionalFormatting>
  <conditionalFormatting sqref="P97:S118">
    <cfRule type="expression" dxfId="46" priority="315" stopIfTrue="1">
      <formula>AND(INDEX($BK$3:$BK$24,ROW()-96)="C",$P$91&lt;&gt;"")</formula>
    </cfRule>
    <cfRule type="expression" dxfId="45" priority="316" stopIfTrue="1">
      <formula>AND(INDEX($BK$3:$BK$24,ROW()-96)="V",$P$91&lt;&gt;"")</formula>
    </cfRule>
    <cfRule type="expression" dxfId="44" priority="416">
      <formula>$P97&lt;&gt;""</formula>
    </cfRule>
  </conditionalFormatting>
  <conditionalFormatting sqref="P120:S120">
    <cfRule type="expression" dxfId="43" priority="381">
      <formula>$P$120&lt;&gt;""</formula>
    </cfRule>
  </conditionalFormatting>
  <conditionalFormatting sqref="P121:S121">
    <cfRule type="expression" dxfId="42" priority="382">
      <formula>$P$120&lt;&gt;""</formula>
    </cfRule>
  </conditionalFormatting>
  <conditionalFormatting sqref="P122:S122">
    <cfRule type="expression" dxfId="41" priority="383">
      <formula>$P$120&lt;&gt;""</formula>
    </cfRule>
  </conditionalFormatting>
  <conditionalFormatting sqref="P123:S123">
    <cfRule type="expression" dxfId="40" priority="384">
      <formula>$P$120&lt;&gt;""</formula>
    </cfRule>
  </conditionalFormatting>
  <conditionalFormatting sqref="P124:S124">
    <cfRule type="expression" dxfId="39" priority="385">
      <formula>$P$120&lt;&gt;""</formula>
    </cfRule>
  </conditionalFormatting>
  <conditionalFormatting sqref="P125:S125">
    <cfRule type="expression" dxfId="38" priority="394">
      <formula>$P$120&lt;&gt;""</formula>
    </cfRule>
  </conditionalFormatting>
  <conditionalFormatting sqref="P126:S147">
    <cfRule type="expression" dxfId="37" priority="420">
      <formula>$P126&lt;&gt;""</formula>
    </cfRule>
    <cfRule type="expression" dxfId="36" priority="396" stopIfTrue="1">
      <formula>AND(INDEX($BK$3:$BK$24,ROW()-125)="V",$P$120&lt;&gt;"")</formula>
    </cfRule>
    <cfRule type="expression" dxfId="35" priority="395" stopIfTrue="1">
      <formula>AND(INDEX($BK$3:$BK$24,ROW()-125)="C",$P$120&lt;&gt;"")</formula>
    </cfRule>
  </conditionalFormatting>
  <conditionalFormatting sqref="Q6">
    <cfRule type="expression" dxfId="34" priority="71" stopIfTrue="1">
      <formula>AND(ISNUMBER(Q6),Q6&gt;=NgayQua/SoNgay)</formula>
    </cfRule>
    <cfRule type="expression" dxfId="33" priority="72" stopIfTrue="1">
      <formula>AND(ISNUMBER(Q6),Q6&gt;=NgayQua/SoNgay*0.8)</formula>
    </cfRule>
    <cfRule type="expression" dxfId="32" priority="73" stopIfTrue="1">
      <formula>ISNUMBER(Q6)</formula>
    </cfRule>
  </conditionalFormatting>
  <conditionalFormatting sqref="Q35">
    <cfRule type="expression" dxfId="31" priority="151" stopIfTrue="1">
      <formula>AND(ISNUMBER(Q35),Q35&gt;=NgayQua/SoNgay)</formula>
    </cfRule>
    <cfRule type="expression" dxfId="30" priority="152" stopIfTrue="1">
      <formula>AND(ISNUMBER(Q35),Q35&gt;=NgayQua/SoNgay*0.8)</formula>
    </cfRule>
    <cfRule type="expression" dxfId="29" priority="153" stopIfTrue="1">
      <formula>ISNUMBER(Q35)</formula>
    </cfRule>
  </conditionalFormatting>
  <conditionalFormatting sqref="Q64">
    <cfRule type="expression" dxfId="28" priority="231" stopIfTrue="1">
      <formula>AND(ISNUMBER(Q64),Q64&gt;=NgayQua/SoNgay)</formula>
    </cfRule>
    <cfRule type="expression" dxfId="27" priority="232" stopIfTrue="1">
      <formula>AND(ISNUMBER(Q64),Q64&gt;=NgayQua/SoNgay*0.8)</formula>
    </cfRule>
    <cfRule type="expression" dxfId="26" priority="233" stopIfTrue="1">
      <formula>ISNUMBER(Q64)</formula>
    </cfRule>
  </conditionalFormatting>
  <conditionalFormatting sqref="Q93">
    <cfRule type="expression" dxfId="25" priority="313" stopIfTrue="1">
      <formula>ISNUMBER(Q93)</formula>
    </cfRule>
    <cfRule type="expression" dxfId="24" priority="312" stopIfTrue="1">
      <formula>AND(ISNUMBER(Q93),Q93&gt;=NgayQua/SoNgay*0.8)</formula>
    </cfRule>
    <cfRule type="expression" dxfId="23" priority="311" stopIfTrue="1">
      <formula>AND(ISNUMBER(Q93),Q93&gt;=NgayQua/SoNgay)</formula>
    </cfRule>
  </conditionalFormatting>
  <conditionalFormatting sqref="Q122">
    <cfRule type="expression" dxfId="22" priority="391" stopIfTrue="1">
      <formula>AND(ISNUMBER(Q122),Q122&gt;=NgayQua/SoNgay)</formula>
    </cfRule>
    <cfRule type="expression" dxfId="21" priority="393" stopIfTrue="1">
      <formula>ISNUMBER(Q122)</formula>
    </cfRule>
    <cfRule type="expression" dxfId="20" priority="392" stopIfTrue="1">
      <formula>AND(ISNUMBER(Q122),Q122&gt;=NgayQua/SoNgay*0.8)</formula>
    </cfRule>
  </conditionalFormatting>
  <conditionalFormatting sqref="S10:S31">
    <cfRule type="expression" dxfId="19" priority="78" stopIfTrue="1">
      <formula>AND(ISNUMBER(S10),S10&gt;=1)</formula>
    </cfRule>
    <cfRule type="expression" dxfId="18" priority="77" stopIfTrue="1">
      <formula>AND(ISNUMBER(S10),ROUND(S10,2)=0)</formula>
    </cfRule>
    <cfRule type="expression" dxfId="17" priority="80" stopIfTrue="1">
      <formula>ISNUMBER(S10)</formula>
    </cfRule>
    <cfRule type="expression" dxfId="16" priority="79" stopIfTrue="1">
      <formula>AND(ISNUMBER(S10),S10&gt;=1*0.8)</formula>
    </cfRule>
  </conditionalFormatting>
  <conditionalFormatting sqref="S39:S60">
    <cfRule type="expression" dxfId="15" priority="160" stopIfTrue="1">
      <formula>ISNUMBER(S39)</formula>
    </cfRule>
    <cfRule type="expression" dxfId="14" priority="158" stopIfTrue="1">
      <formula>AND(ISNUMBER(S39),S39&gt;=1)</formula>
    </cfRule>
    <cfRule type="expression" dxfId="13" priority="159" stopIfTrue="1">
      <formula>AND(ISNUMBER(S39),S39&gt;=1*0.8)</formula>
    </cfRule>
    <cfRule type="expression" dxfId="12" priority="157" stopIfTrue="1">
      <formula>AND(ISNUMBER(S39),ROUND(S39,2)=0)</formula>
    </cfRule>
  </conditionalFormatting>
  <conditionalFormatting sqref="S68:S89">
    <cfRule type="expression" dxfId="11" priority="238" stopIfTrue="1">
      <formula>AND(ISNUMBER(S68),S68&gt;=1)</formula>
    </cfRule>
    <cfRule type="expression" dxfId="10" priority="240" stopIfTrue="1">
      <formula>ISNUMBER(S68)</formula>
    </cfRule>
    <cfRule type="expression" dxfId="9" priority="237" stopIfTrue="1">
      <formula>AND(ISNUMBER(S68),ROUND(S68,2)=0)</formula>
    </cfRule>
    <cfRule type="expression" dxfId="8" priority="239" stopIfTrue="1">
      <formula>AND(ISNUMBER(S68),S68&gt;=1*0.8)</formula>
    </cfRule>
  </conditionalFormatting>
  <conditionalFormatting sqref="S97:S118">
    <cfRule type="expression" dxfId="7" priority="317" stopIfTrue="1">
      <formula>AND(ISNUMBER(S97),ROUND(S97,2)=0)</formula>
    </cfRule>
    <cfRule type="expression" dxfId="6" priority="318" stopIfTrue="1">
      <formula>AND(ISNUMBER(S97),S97&gt;=1)</formula>
    </cfRule>
    <cfRule type="expression" dxfId="5" priority="319" stopIfTrue="1">
      <formula>AND(ISNUMBER(S97),S97&gt;=1*0.8)</formula>
    </cfRule>
    <cfRule type="expression" dxfId="4" priority="320" stopIfTrue="1">
      <formula>ISNUMBER(S97)</formula>
    </cfRule>
  </conditionalFormatting>
  <conditionalFormatting sqref="S126:S147">
    <cfRule type="expression" dxfId="3" priority="397" stopIfTrue="1">
      <formula>AND(ISNUMBER(S126),ROUND(S126,2)=0)</formula>
    </cfRule>
    <cfRule type="expression" dxfId="2" priority="398" stopIfTrue="1">
      <formula>AND(ISNUMBER(S126),S126&gt;=1)</formula>
    </cfRule>
    <cfRule type="expression" dxfId="1" priority="399" stopIfTrue="1">
      <formula>AND(ISNUMBER(S126),S126&gt;=1*0.8)</formula>
    </cfRule>
    <cfRule type="expression" dxfId="0" priority="400" stopIfTrue="1">
      <formula>ISNUMBER(S126)</formula>
    </cfRule>
  </conditionalFormatting>
  <dataValidations count="1">
    <dataValidation type="list" allowBlank="1" sqref="B2">
      <formula1>Tính!$Z$31:$Z$35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Tính!$Z$31:$Z$35</xm:f>
          </x14:formula1>
          <xm:sqref>B2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J1:O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5" x14ac:dyDescent="0.3">
      <c r="J1" s="45" t="s">
        <v>98</v>
      </c>
      <c r="K1" t="str">
        <f>IF(OR(LEFT(B1,9)="DOANH THU",LEFT(B1,8)="SỐ LƯỢNG"),A1,"")</f>
        <v/>
      </c>
      <c r="L1" t="str">
        <f t="shared" ref="L1:L64" si="0">IF(A1="","",IF(ISNUMBER(--LEFT(A1,FIND(" - ",A1&amp;" - ")-1)),LEFT(A1,FIND(" - ",A1&amp;" - ")-1),TRIM(A1)))</f>
        <v/>
      </c>
      <c r="M1" t="str">
        <f t="shared" ref="M1:M64" si="1">IF(OR(K1="",K1=A1,A1=""),"",K1&amp;"|"&amp;L1)</f>
        <v/>
      </c>
      <c r="N1" t="str">
        <f t="shared" ref="N1:N64" si="2">IF(M1="","",IF(ISNUMBER(B1),B1,IFERROR(_xlfn.NUMBERVALUE(B1,".",","),0)))</f>
        <v/>
      </c>
      <c r="O1" t="str">
        <f t="shared" ref="O1:O64" si="3">IF(M1="","",IF(ISNUMBER(C1),C1,IFERROR(_xlfn.NUMBERVALUE(C1,".",","),0)))</f>
        <v/>
      </c>
    </row>
    <row r="2" spans="10:15" x14ac:dyDescent="0.3">
      <c r="J2" s="46" t="s">
        <v>99</v>
      </c>
      <c r="K2" t="str">
        <f t="shared" ref="K2:K65" si="4">IF(OR(LEFT(B2,9)="DOANH THU",LEFT(B2,8)="SỐ LƯỢNG"),A2,K1)</f>
        <v/>
      </c>
      <c r="L2" t="str">
        <f t="shared" si="0"/>
        <v/>
      </c>
      <c r="M2" t="str">
        <f t="shared" si="1"/>
        <v/>
      </c>
      <c r="N2" t="str">
        <f t="shared" si="2"/>
        <v/>
      </c>
      <c r="O2" t="str">
        <f t="shared" si="3"/>
        <v/>
      </c>
    </row>
    <row r="3" spans="10:15" x14ac:dyDescent="0.3">
      <c r="J3" s="47" t="s">
        <v>100</v>
      </c>
      <c r="K3" t="str">
        <f t="shared" si="4"/>
        <v/>
      </c>
      <c r="L3" t="str">
        <f t="shared" si="0"/>
        <v/>
      </c>
      <c r="M3" t="str">
        <f t="shared" si="1"/>
        <v/>
      </c>
      <c r="N3" t="str">
        <f t="shared" si="2"/>
        <v/>
      </c>
      <c r="O3" t="str">
        <f t="shared" si="3"/>
        <v/>
      </c>
    </row>
    <row r="4" spans="10:15" x14ac:dyDescent="0.3">
      <c r="K4" t="str">
        <f t="shared" si="4"/>
        <v/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</row>
    <row r="5" spans="10:15" x14ac:dyDescent="0.3">
      <c r="K5" t="str">
        <f t="shared" si="4"/>
        <v/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</row>
    <row r="6" spans="10:15" x14ac:dyDescent="0.3">
      <c r="K6" t="str">
        <f t="shared" si="4"/>
        <v/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</row>
    <row r="7" spans="10:15" x14ac:dyDescent="0.3">
      <c r="K7" t="str">
        <f t="shared" si="4"/>
        <v/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</row>
    <row r="8" spans="10:15" x14ac:dyDescent="0.3">
      <c r="K8" t="str">
        <f t="shared" si="4"/>
        <v/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</row>
    <row r="9" spans="10:15" x14ac:dyDescent="0.3">
      <c r="K9" t="str">
        <f t="shared" si="4"/>
        <v/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</row>
    <row r="10" spans="10:15" x14ac:dyDescent="0.3">
      <c r="K10" t="str">
        <f t="shared" si="4"/>
        <v/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</row>
    <row r="11" spans="10:15" x14ac:dyDescent="0.3">
      <c r="K11" t="str">
        <f t="shared" si="4"/>
        <v/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</row>
    <row r="12" spans="10:15" x14ac:dyDescent="0.3">
      <c r="K12" t="str">
        <f t="shared" si="4"/>
        <v/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</row>
    <row r="13" spans="10:15" x14ac:dyDescent="0.3">
      <c r="K13" t="str">
        <f t="shared" si="4"/>
        <v/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</row>
    <row r="14" spans="10:15" x14ac:dyDescent="0.3">
      <c r="K14" t="str">
        <f t="shared" si="4"/>
        <v/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</row>
    <row r="15" spans="10:15" x14ac:dyDescent="0.3">
      <c r="K15" t="str">
        <f t="shared" si="4"/>
        <v/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</row>
    <row r="16" spans="10:15" x14ac:dyDescent="0.3">
      <c r="K16" t="str">
        <f t="shared" si="4"/>
        <v/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</row>
    <row r="17" spans="11:15" x14ac:dyDescent="0.3">
      <c r="K17" t="str">
        <f t="shared" si="4"/>
        <v/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</row>
    <row r="18" spans="11:15" x14ac:dyDescent="0.3">
      <c r="K18" t="str">
        <f t="shared" si="4"/>
        <v/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</row>
    <row r="19" spans="11:15" x14ac:dyDescent="0.3">
      <c r="K19" t="str">
        <f t="shared" si="4"/>
        <v/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</row>
    <row r="20" spans="11:15" x14ac:dyDescent="0.3">
      <c r="K20" t="str">
        <f t="shared" si="4"/>
        <v/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</row>
    <row r="21" spans="11:15" x14ac:dyDescent="0.3">
      <c r="K21" t="str">
        <f t="shared" si="4"/>
        <v/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</row>
    <row r="22" spans="11:15" x14ac:dyDescent="0.3">
      <c r="K22" t="str">
        <f t="shared" si="4"/>
        <v/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</row>
    <row r="23" spans="11:15" x14ac:dyDescent="0.3">
      <c r="K23" t="str">
        <f t="shared" si="4"/>
        <v/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</row>
    <row r="24" spans="11:15" x14ac:dyDescent="0.3">
      <c r="K24" t="str">
        <f t="shared" si="4"/>
        <v/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</row>
    <row r="25" spans="11:15" x14ac:dyDescent="0.3">
      <c r="K25" t="str">
        <f t="shared" si="4"/>
        <v/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</row>
    <row r="26" spans="11:15" x14ac:dyDescent="0.3">
      <c r="K26" t="str">
        <f t="shared" si="4"/>
        <v/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</row>
    <row r="27" spans="11:15" x14ac:dyDescent="0.3">
      <c r="K27" t="str">
        <f t="shared" si="4"/>
        <v/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</row>
    <row r="28" spans="11:15" x14ac:dyDescent="0.3">
      <c r="K28" t="str">
        <f t="shared" si="4"/>
        <v/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</row>
    <row r="29" spans="11:15" x14ac:dyDescent="0.3">
      <c r="K29" t="str">
        <f t="shared" si="4"/>
        <v/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</row>
    <row r="30" spans="11:15" x14ac:dyDescent="0.3">
      <c r="K30" t="str">
        <f t="shared" si="4"/>
        <v/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</row>
    <row r="31" spans="11:15" x14ac:dyDescent="0.3">
      <c r="K31" t="str">
        <f t="shared" si="4"/>
        <v/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</row>
    <row r="32" spans="11:15" x14ac:dyDescent="0.3">
      <c r="K32" t="str">
        <f t="shared" si="4"/>
        <v/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</row>
    <row r="33" spans="11:15" x14ac:dyDescent="0.3">
      <c r="K33" t="str">
        <f t="shared" si="4"/>
        <v/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</row>
    <row r="34" spans="11:15" x14ac:dyDescent="0.3">
      <c r="K34" t="str">
        <f t="shared" si="4"/>
        <v/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</row>
    <row r="35" spans="11:15" x14ac:dyDescent="0.3">
      <c r="K35" t="str">
        <f t="shared" si="4"/>
        <v/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</row>
    <row r="36" spans="11:15" x14ac:dyDescent="0.3">
      <c r="K36" t="str">
        <f t="shared" si="4"/>
        <v/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</row>
    <row r="37" spans="11:15" x14ac:dyDescent="0.3">
      <c r="K37" t="str">
        <f t="shared" si="4"/>
        <v/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</row>
    <row r="38" spans="11:15" x14ac:dyDescent="0.3">
      <c r="K38" t="str">
        <f t="shared" si="4"/>
        <v/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</row>
    <row r="39" spans="11:15" x14ac:dyDescent="0.3">
      <c r="K39" t="str">
        <f t="shared" si="4"/>
        <v/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</row>
    <row r="40" spans="11:15" x14ac:dyDescent="0.3">
      <c r="K40" t="str">
        <f t="shared" si="4"/>
        <v/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</row>
    <row r="41" spans="11:15" x14ac:dyDescent="0.3">
      <c r="K41" t="str">
        <f t="shared" si="4"/>
        <v/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</row>
    <row r="42" spans="11:15" x14ac:dyDescent="0.3">
      <c r="K42" t="str">
        <f t="shared" si="4"/>
        <v/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</row>
    <row r="43" spans="11:15" x14ac:dyDescent="0.3">
      <c r="K43" t="str">
        <f t="shared" si="4"/>
        <v/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</row>
    <row r="44" spans="11:15" x14ac:dyDescent="0.3">
      <c r="K44" t="str">
        <f t="shared" si="4"/>
        <v/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</row>
    <row r="45" spans="11:15" x14ac:dyDescent="0.3">
      <c r="K45" t="str">
        <f t="shared" si="4"/>
        <v/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</row>
    <row r="46" spans="11:15" x14ac:dyDescent="0.3">
      <c r="K46" t="str">
        <f t="shared" si="4"/>
        <v/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</row>
    <row r="47" spans="11:15" x14ac:dyDescent="0.3">
      <c r="K47" t="str">
        <f t="shared" si="4"/>
        <v/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</row>
    <row r="48" spans="11:15" x14ac:dyDescent="0.3">
      <c r="K48" t="str">
        <f t="shared" si="4"/>
        <v/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</row>
    <row r="49" spans="11:15" x14ac:dyDescent="0.3">
      <c r="K49" t="str">
        <f t="shared" si="4"/>
        <v/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</row>
    <row r="50" spans="11:15" x14ac:dyDescent="0.3">
      <c r="K50" t="str">
        <f t="shared" si="4"/>
        <v/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</row>
    <row r="51" spans="11:15" x14ac:dyDescent="0.3">
      <c r="K51" t="str">
        <f t="shared" si="4"/>
        <v/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</row>
    <row r="52" spans="11:15" x14ac:dyDescent="0.3">
      <c r="K52" t="str">
        <f t="shared" si="4"/>
        <v/>
      </c>
      <c r="L52" t="str">
        <f t="shared" si="0"/>
        <v/>
      </c>
      <c r="M52" t="str">
        <f t="shared" si="1"/>
        <v/>
      </c>
      <c r="N52" t="str">
        <f t="shared" si="2"/>
        <v/>
      </c>
      <c r="O52" t="str">
        <f t="shared" si="3"/>
        <v/>
      </c>
    </row>
    <row r="53" spans="11:15" x14ac:dyDescent="0.3">
      <c r="K53" t="str">
        <f t="shared" si="4"/>
        <v/>
      </c>
      <c r="L53" t="str">
        <f t="shared" si="0"/>
        <v/>
      </c>
      <c r="M53" t="str">
        <f t="shared" si="1"/>
        <v/>
      </c>
      <c r="N53" t="str">
        <f t="shared" si="2"/>
        <v/>
      </c>
      <c r="O53" t="str">
        <f t="shared" si="3"/>
        <v/>
      </c>
    </row>
    <row r="54" spans="11:15" x14ac:dyDescent="0.3">
      <c r="K54" t="str">
        <f t="shared" si="4"/>
        <v/>
      </c>
      <c r="L54" t="str">
        <f t="shared" si="0"/>
        <v/>
      </c>
      <c r="M54" t="str">
        <f t="shared" si="1"/>
        <v/>
      </c>
      <c r="N54" t="str">
        <f t="shared" si="2"/>
        <v/>
      </c>
      <c r="O54" t="str">
        <f t="shared" si="3"/>
        <v/>
      </c>
    </row>
    <row r="55" spans="11:15" x14ac:dyDescent="0.3">
      <c r="K55" t="str">
        <f t="shared" si="4"/>
        <v/>
      </c>
      <c r="L55" t="str">
        <f t="shared" si="0"/>
        <v/>
      </c>
      <c r="M55" t="str">
        <f t="shared" si="1"/>
        <v/>
      </c>
      <c r="N55" t="str">
        <f t="shared" si="2"/>
        <v/>
      </c>
      <c r="O55" t="str">
        <f t="shared" si="3"/>
        <v/>
      </c>
    </row>
    <row r="56" spans="11:15" x14ac:dyDescent="0.3">
      <c r="K56" t="str">
        <f t="shared" si="4"/>
        <v/>
      </c>
      <c r="L56" t="str">
        <f t="shared" si="0"/>
        <v/>
      </c>
      <c r="M56" t="str">
        <f t="shared" si="1"/>
        <v/>
      </c>
      <c r="N56" t="str">
        <f t="shared" si="2"/>
        <v/>
      </c>
      <c r="O56" t="str">
        <f t="shared" si="3"/>
        <v/>
      </c>
    </row>
    <row r="57" spans="11:15" x14ac:dyDescent="0.3">
      <c r="K57" t="str">
        <f t="shared" si="4"/>
        <v/>
      </c>
      <c r="L57" t="str">
        <f t="shared" si="0"/>
        <v/>
      </c>
      <c r="M57" t="str">
        <f t="shared" si="1"/>
        <v/>
      </c>
      <c r="N57" t="str">
        <f t="shared" si="2"/>
        <v/>
      </c>
      <c r="O57" t="str">
        <f t="shared" si="3"/>
        <v/>
      </c>
    </row>
    <row r="58" spans="11:15" x14ac:dyDescent="0.3">
      <c r="K58" t="str">
        <f t="shared" si="4"/>
        <v/>
      </c>
      <c r="L58" t="str">
        <f t="shared" si="0"/>
        <v/>
      </c>
      <c r="M58" t="str">
        <f t="shared" si="1"/>
        <v/>
      </c>
      <c r="N58" t="str">
        <f t="shared" si="2"/>
        <v/>
      </c>
      <c r="O58" t="str">
        <f t="shared" si="3"/>
        <v/>
      </c>
    </row>
    <row r="59" spans="11:15" x14ac:dyDescent="0.3">
      <c r="K59" t="str">
        <f t="shared" si="4"/>
        <v/>
      </c>
      <c r="L59" t="str">
        <f t="shared" si="0"/>
        <v/>
      </c>
      <c r="M59" t="str">
        <f t="shared" si="1"/>
        <v/>
      </c>
      <c r="N59" t="str">
        <f t="shared" si="2"/>
        <v/>
      </c>
      <c r="O59" t="str">
        <f t="shared" si="3"/>
        <v/>
      </c>
    </row>
    <row r="60" spans="11:15" x14ac:dyDescent="0.3">
      <c r="K60" t="str">
        <f t="shared" si="4"/>
        <v/>
      </c>
      <c r="L60" t="str">
        <f t="shared" si="0"/>
        <v/>
      </c>
      <c r="M60" t="str">
        <f t="shared" si="1"/>
        <v/>
      </c>
      <c r="N60" t="str">
        <f t="shared" si="2"/>
        <v/>
      </c>
      <c r="O60" t="str">
        <f t="shared" si="3"/>
        <v/>
      </c>
    </row>
    <row r="61" spans="11:15" x14ac:dyDescent="0.3">
      <c r="K61" t="str">
        <f t="shared" si="4"/>
        <v/>
      </c>
      <c r="L61" t="str">
        <f t="shared" si="0"/>
        <v/>
      </c>
      <c r="M61" t="str">
        <f t="shared" si="1"/>
        <v/>
      </c>
      <c r="N61" t="str">
        <f t="shared" si="2"/>
        <v/>
      </c>
      <c r="O61" t="str">
        <f t="shared" si="3"/>
        <v/>
      </c>
    </row>
    <row r="62" spans="11:15" x14ac:dyDescent="0.3">
      <c r="K62" t="str">
        <f t="shared" si="4"/>
        <v/>
      </c>
      <c r="L62" t="str">
        <f t="shared" si="0"/>
        <v/>
      </c>
      <c r="M62" t="str">
        <f t="shared" si="1"/>
        <v/>
      </c>
      <c r="N62" t="str">
        <f t="shared" si="2"/>
        <v/>
      </c>
      <c r="O62" t="str">
        <f t="shared" si="3"/>
        <v/>
      </c>
    </row>
    <row r="63" spans="11:15" x14ac:dyDescent="0.3">
      <c r="K63" t="str">
        <f t="shared" si="4"/>
        <v/>
      </c>
      <c r="L63" t="str">
        <f t="shared" si="0"/>
        <v/>
      </c>
      <c r="M63" t="str">
        <f t="shared" si="1"/>
        <v/>
      </c>
      <c r="N63" t="str">
        <f t="shared" si="2"/>
        <v/>
      </c>
      <c r="O63" t="str">
        <f t="shared" si="3"/>
        <v/>
      </c>
    </row>
    <row r="64" spans="11:15" x14ac:dyDescent="0.3">
      <c r="K64" t="str">
        <f t="shared" si="4"/>
        <v/>
      </c>
      <c r="L64" t="str">
        <f t="shared" si="0"/>
        <v/>
      </c>
      <c r="M64" t="str">
        <f t="shared" si="1"/>
        <v/>
      </c>
      <c r="N64" t="str">
        <f t="shared" si="2"/>
        <v/>
      </c>
      <c r="O64" t="str">
        <f t="shared" si="3"/>
        <v/>
      </c>
    </row>
    <row r="65" spans="11:15" x14ac:dyDescent="0.3">
      <c r="K65" t="str">
        <f t="shared" si="4"/>
        <v/>
      </c>
      <c r="L65" t="str">
        <f t="shared" ref="L65:L128" si="5">IF(A65="","",IF(ISNUMBER(--LEFT(A65,FIND(" - ",A65&amp;" - ")-1)),LEFT(A65,FIND(" - ",A65&amp;" - ")-1),TRIM(A65)))</f>
        <v/>
      </c>
      <c r="M65" t="str">
        <f t="shared" ref="M65:M128" si="6">IF(OR(K65="",K65=A65,A65=""),"",K65&amp;"|"&amp;L65)</f>
        <v/>
      </c>
      <c r="N65" t="str">
        <f t="shared" ref="N65:N128" si="7">IF(M65="","",IF(ISNUMBER(B65),B65,IFERROR(_xlfn.NUMBERVALUE(B65,".",","),0)))</f>
        <v/>
      </c>
      <c r="O65" t="str">
        <f t="shared" ref="O65:O128" si="8">IF(M65="","",IF(ISNUMBER(C65),C65,IFERROR(_xlfn.NUMBERVALUE(C65,".",","),0)))</f>
        <v/>
      </c>
    </row>
    <row r="66" spans="11:15" x14ac:dyDescent="0.3">
      <c r="K66" t="str">
        <f t="shared" ref="K66:K129" si="9">IF(OR(LEFT(B66,9)="DOANH THU",LEFT(B66,8)="SỐ LƯỢNG"),A66,K65)</f>
        <v/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</row>
    <row r="67" spans="11:15" x14ac:dyDescent="0.3">
      <c r="K67" t="str">
        <f t="shared" si="9"/>
        <v/>
      </c>
      <c r="L67" t="str">
        <f t="shared" si="5"/>
        <v/>
      </c>
      <c r="M67" t="str">
        <f t="shared" si="6"/>
        <v/>
      </c>
      <c r="N67" t="str">
        <f t="shared" si="7"/>
        <v/>
      </c>
      <c r="O67" t="str">
        <f t="shared" si="8"/>
        <v/>
      </c>
    </row>
    <row r="68" spans="11:15" x14ac:dyDescent="0.3">
      <c r="K68" t="str">
        <f t="shared" si="9"/>
        <v/>
      </c>
      <c r="L68" t="str">
        <f t="shared" si="5"/>
        <v/>
      </c>
      <c r="M68" t="str">
        <f t="shared" si="6"/>
        <v/>
      </c>
      <c r="N68" t="str">
        <f t="shared" si="7"/>
        <v/>
      </c>
      <c r="O68" t="str">
        <f t="shared" si="8"/>
        <v/>
      </c>
    </row>
    <row r="69" spans="11:15" x14ac:dyDescent="0.3">
      <c r="K69" t="str">
        <f t="shared" si="9"/>
        <v/>
      </c>
      <c r="L69" t="str">
        <f t="shared" si="5"/>
        <v/>
      </c>
      <c r="M69" t="str">
        <f t="shared" si="6"/>
        <v/>
      </c>
      <c r="N69" t="str">
        <f t="shared" si="7"/>
        <v/>
      </c>
      <c r="O69" t="str">
        <f t="shared" si="8"/>
        <v/>
      </c>
    </row>
    <row r="70" spans="11:15" x14ac:dyDescent="0.3">
      <c r="K70" t="str">
        <f t="shared" si="9"/>
        <v/>
      </c>
      <c r="L70" t="str">
        <f t="shared" si="5"/>
        <v/>
      </c>
      <c r="M70" t="str">
        <f t="shared" si="6"/>
        <v/>
      </c>
      <c r="N70" t="str">
        <f t="shared" si="7"/>
        <v/>
      </c>
      <c r="O70" t="str">
        <f t="shared" si="8"/>
        <v/>
      </c>
    </row>
    <row r="71" spans="11:15" x14ac:dyDescent="0.3">
      <c r="K71" t="str">
        <f t="shared" si="9"/>
        <v/>
      </c>
      <c r="L71" t="str">
        <f t="shared" si="5"/>
        <v/>
      </c>
      <c r="M71" t="str">
        <f t="shared" si="6"/>
        <v/>
      </c>
      <c r="N71" t="str">
        <f t="shared" si="7"/>
        <v/>
      </c>
      <c r="O71" t="str">
        <f t="shared" si="8"/>
        <v/>
      </c>
    </row>
    <row r="72" spans="11:15" x14ac:dyDescent="0.3">
      <c r="K72" t="str">
        <f t="shared" si="9"/>
        <v/>
      </c>
      <c r="L72" t="str">
        <f t="shared" si="5"/>
        <v/>
      </c>
      <c r="M72" t="str">
        <f t="shared" si="6"/>
        <v/>
      </c>
      <c r="N72" t="str">
        <f t="shared" si="7"/>
        <v/>
      </c>
      <c r="O72" t="str">
        <f t="shared" si="8"/>
        <v/>
      </c>
    </row>
    <row r="73" spans="11:15" x14ac:dyDescent="0.3">
      <c r="K73" t="str">
        <f t="shared" si="9"/>
        <v/>
      </c>
      <c r="L73" t="str">
        <f t="shared" si="5"/>
        <v/>
      </c>
      <c r="M73" t="str">
        <f t="shared" si="6"/>
        <v/>
      </c>
      <c r="N73" t="str">
        <f t="shared" si="7"/>
        <v/>
      </c>
      <c r="O73" t="str">
        <f t="shared" si="8"/>
        <v/>
      </c>
    </row>
    <row r="74" spans="11:15" x14ac:dyDescent="0.3">
      <c r="K74" t="str">
        <f t="shared" si="9"/>
        <v/>
      </c>
      <c r="L74" t="str">
        <f t="shared" si="5"/>
        <v/>
      </c>
      <c r="M74" t="str">
        <f t="shared" si="6"/>
        <v/>
      </c>
      <c r="N74" t="str">
        <f t="shared" si="7"/>
        <v/>
      </c>
      <c r="O74" t="str">
        <f t="shared" si="8"/>
        <v/>
      </c>
    </row>
    <row r="75" spans="11:15" x14ac:dyDescent="0.3">
      <c r="K75" t="str">
        <f t="shared" si="9"/>
        <v/>
      </c>
      <c r="L75" t="str">
        <f t="shared" si="5"/>
        <v/>
      </c>
      <c r="M75" t="str">
        <f t="shared" si="6"/>
        <v/>
      </c>
      <c r="N75" t="str">
        <f t="shared" si="7"/>
        <v/>
      </c>
      <c r="O75" t="str">
        <f t="shared" si="8"/>
        <v/>
      </c>
    </row>
    <row r="76" spans="11:15" x14ac:dyDescent="0.3">
      <c r="K76" t="str">
        <f t="shared" si="9"/>
        <v/>
      </c>
      <c r="L76" t="str">
        <f t="shared" si="5"/>
        <v/>
      </c>
      <c r="M76" t="str">
        <f t="shared" si="6"/>
        <v/>
      </c>
      <c r="N76" t="str">
        <f t="shared" si="7"/>
        <v/>
      </c>
      <c r="O76" t="str">
        <f t="shared" si="8"/>
        <v/>
      </c>
    </row>
    <row r="77" spans="11:15" x14ac:dyDescent="0.3">
      <c r="K77" t="str">
        <f t="shared" si="9"/>
        <v/>
      </c>
      <c r="L77" t="str">
        <f t="shared" si="5"/>
        <v/>
      </c>
      <c r="M77" t="str">
        <f t="shared" si="6"/>
        <v/>
      </c>
      <c r="N77" t="str">
        <f t="shared" si="7"/>
        <v/>
      </c>
      <c r="O77" t="str">
        <f t="shared" si="8"/>
        <v/>
      </c>
    </row>
    <row r="78" spans="11:15" x14ac:dyDescent="0.3">
      <c r="K78" t="str">
        <f t="shared" si="9"/>
        <v/>
      </c>
      <c r="L78" t="str">
        <f t="shared" si="5"/>
        <v/>
      </c>
      <c r="M78" t="str">
        <f t="shared" si="6"/>
        <v/>
      </c>
      <c r="N78" t="str">
        <f t="shared" si="7"/>
        <v/>
      </c>
      <c r="O78" t="str">
        <f t="shared" si="8"/>
        <v/>
      </c>
    </row>
    <row r="79" spans="11:15" x14ac:dyDescent="0.3">
      <c r="K79" t="str">
        <f t="shared" si="9"/>
        <v/>
      </c>
      <c r="L79" t="str">
        <f t="shared" si="5"/>
        <v/>
      </c>
      <c r="M79" t="str">
        <f t="shared" si="6"/>
        <v/>
      </c>
      <c r="N79" t="str">
        <f t="shared" si="7"/>
        <v/>
      </c>
      <c r="O79" t="str">
        <f t="shared" si="8"/>
        <v/>
      </c>
    </row>
    <row r="80" spans="11:15" x14ac:dyDescent="0.3">
      <c r="K80" t="str">
        <f t="shared" si="9"/>
        <v/>
      </c>
      <c r="L80" t="str">
        <f t="shared" si="5"/>
        <v/>
      </c>
      <c r="M80" t="str">
        <f t="shared" si="6"/>
        <v/>
      </c>
      <c r="N80" t="str">
        <f t="shared" si="7"/>
        <v/>
      </c>
      <c r="O80" t="str">
        <f t="shared" si="8"/>
        <v/>
      </c>
    </row>
    <row r="81" spans="11:15" x14ac:dyDescent="0.3">
      <c r="K81" t="str">
        <f t="shared" si="9"/>
        <v/>
      </c>
      <c r="L81" t="str">
        <f t="shared" si="5"/>
        <v/>
      </c>
      <c r="M81" t="str">
        <f t="shared" si="6"/>
        <v/>
      </c>
      <c r="N81" t="str">
        <f t="shared" si="7"/>
        <v/>
      </c>
      <c r="O81" t="str">
        <f t="shared" si="8"/>
        <v/>
      </c>
    </row>
    <row r="82" spans="11:15" x14ac:dyDescent="0.3">
      <c r="K82" t="str">
        <f t="shared" si="9"/>
        <v/>
      </c>
      <c r="L82" t="str">
        <f t="shared" si="5"/>
        <v/>
      </c>
      <c r="M82" t="str">
        <f t="shared" si="6"/>
        <v/>
      </c>
      <c r="N82" t="str">
        <f t="shared" si="7"/>
        <v/>
      </c>
      <c r="O82" t="str">
        <f t="shared" si="8"/>
        <v/>
      </c>
    </row>
    <row r="83" spans="11:15" x14ac:dyDescent="0.3">
      <c r="K83" t="str">
        <f t="shared" si="9"/>
        <v/>
      </c>
      <c r="L83" t="str">
        <f t="shared" si="5"/>
        <v/>
      </c>
      <c r="M83" t="str">
        <f t="shared" si="6"/>
        <v/>
      </c>
      <c r="N83" t="str">
        <f t="shared" si="7"/>
        <v/>
      </c>
      <c r="O83" t="str">
        <f t="shared" si="8"/>
        <v/>
      </c>
    </row>
    <row r="84" spans="11:15" x14ac:dyDescent="0.3">
      <c r="K84" t="str">
        <f t="shared" si="9"/>
        <v/>
      </c>
      <c r="L84" t="str">
        <f t="shared" si="5"/>
        <v/>
      </c>
      <c r="M84" t="str">
        <f t="shared" si="6"/>
        <v/>
      </c>
      <c r="N84" t="str">
        <f t="shared" si="7"/>
        <v/>
      </c>
      <c r="O84" t="str">
        <f t="shared" si="8"/>
        <v/>
      </c>
    </row>
    <row r="85" spans="11:15" x14ac:dyDescent="0.3">
      <c r="K85" t="str">
        <f t="shared" si="9"/>
        <v/>
      </c>
      <c r="L85" t="str">
        <f t="shared" si="5"/>
        <v/>
      </c>
      <c r="M85" t="str">
        <f t="shared" si="6"/>
        <v/>
      </c>
      <c r="N85" t="str">
        <f t="shared" si="7"/>
        <v/>
      </c>
      <c r="O85" t="str">
        <f t="shared" si="8"/>
        <v/>
      </c>
    </row>
    <row r="86" spans="11:15" x14ac:dyDescent="0.3">
      <c r="K86" t="str">
        <f t="shared" si="9"/>
        <v/>
      </c>
      <c r="L86" t="str">
        <f t="shared" si="5"/>
        <v/>
      </c>
      <c r="M86" t="str">
        <f t="shared" si="6"/>
        <v/>
      </c>
      <c r="N86" t="str">
        <f t="shared" si="7"/>
        <v/>
      </c>
      <c r="O86" t="str">
        <f t="shared" si="8"/>
        <v/>
      </c>
    </row>
    <row r="87" spans="11:15" x14ac:dyDescent="0.3">
      <c r="K87" t="str">
        <f t="shared" si="9"/>
        <v/>
      </c>
      <c r="L87" t="str">
        <f t="shared" si="5"/>
        <v/>
      </c>
      <c r="M87" t="str">
        <f t="shared" si="6"/>
        <v/>
      </c>
      <c r="N87" t="str">
        <f t="shared" si="7"/>
        <v/>
      </c>
      <c r="O87" t="str">
        <f t="shared" si="8"/>
        <v/>
      </c>
    </row>
    <row r="88" spans="11:15" x14ac:dyDescent="0.3">
      <c r="K88" t="str">
        <f t="shared" si="9"/>
        <v/>
      </c>
      <c r="L88" t="str">
        <f t="shared" si="5"/>
        <v/>
      </c>
      <c r="M88" t="str">
        <f t="shared" si="6"/>
        <v/>
      </c>
      <c r="N88" t="str">
        <f t="shared" si="7"/>
        <v/>
      </c>
      <c r="O88" t="str">
        <f t="shared" si="8"/>
        <v/>
      </c>
    </row>
    <row r="89" spans="11:15" x14ac:dyDescent="0.3">
      <c r="K89" t="str">
        <f t="shared" si="9"/>
        <v/>
      </c>
      <c r="L89" t="str">
        <f t="shared" si="5"/>
        <v/>
      </c>
      <c r="M89" t="str">
        <f t="shared" si="6"/>
        <v/>
      </c>
      <c r="N89" t="str">
        <f t="shared" si="7"/>
        <v/>
      </c>
      <c r="O89" t="str">
        <f t="shared" si="8"/>
        <v/>
      </c>
    </row>
    <row r="90" spans="11:15" x14ac:dyDescent="0.3">
      <c r="K90" t="str">
        <f t="shared" si="9"/>
        <v/>
      </c>
      <c r="L90" t="str">
        <f t="shared" si="5"/>
        <v/>
      </c>
      <c r="M90" t="str">
        <f t="shared" si="6"/>
        <v/>
      </c>
      <c r="N90" t="str">
        <f t="shared" si="7"/>
        <v/>
      </c>
      <c r="O90" t="str">
        <f t="shared" si="8"/>
        <v/>
      </c>
    </row>
    <row r="91" spans="11:15" x14ac:dyDescent="0.3">
      <c r="K91" t="str">
        <f t="shared" si="9"/>
        <v/>
      </c>
      <c r="L91" t="str">
        <f t="shared" si="5"/>
        <v/>
      </c>
      <c r="M91" t="str">
        <f t="shared" si="6"/>
        <v/>
      </c>
      <c r="N91" t="str">
        <f t="shared" si="7"/>
        <v/>
      </c>
      <c r="O91" t="str">
        <f t="shared" si="8"/>
        <v/>
      </c>
    </row>
    <row r="92" spans="11:15" x14ac:dyDescent="0.3">
      <c r="K92" t="str">
        <f t="shared" si="9"/>
        <v/>
      </c>
      <c r="L92" t="str">
        <f t="shared" si="5"/>
        <v/>
      </c>
      <c r="M92" t="str">
        <f t="shared" si="6"/>
        <v/>
      </c>
      <c r="N92" t="str">
        <f t="shared" si="7"/>
        <v/>
      </c>
      <c r="O92" t="str">
        <f t="shared" si="8"/>
        <v/>
      </c>
    </row>
    <row r="93" spans="11:15" x14ac:dyDescent="0.3">
      <c r="K93" t="str">
        <f t="shared" si="9"/>
        <v/>
      </c>
      <c r="L93" t="str">
        <f t="shared" si="5"/>
        <v/>
      </c>
      <c r="M93" t="str">
        <f t="shared" si="6"/>
        <v/>
      </c>
      <c r="N93" t="str">
        <f t="shared" si="7"/>
        <v/>
      </c>
      <c r="O93" t="str">
        <f t="shared" si="8"/>
        <v/>
      </c>
    </row>
    <row r="94" spans="11:15" x14ac:dyDescent="0.3">
      <c r="K94" t="str">
        <f t="shared" si="9"/>
        <v/>
      </c>
      <c r="L94" t="str">
        <f t="shared" si="5"/>
        <v/>
      </c>
      <c r="M94" t="str">
        <f t="shared" si="6"/>
        <v/>
      </c>
      <c r="N94" t="str">
        <f t="shared" si="7"/>
        <v/>
      </c>
      <c r="O94" t="str">
        <f t="shared" si="8"/>
        <v/>
      </c>
    </row>
    <row r="95" spans="11:15" x14ac:dyDescent="0.3">
      <c r="K95" t="str">
        <f t="shared" si="9"/>
        <v/>
      </c>
      <c r="L95" t="str">
        <f t="shared" si="5"/>
        <v/>
      </c>
      <c r="M95" t="str">
        <f t="shared" si="6"/>
        <v/>
      </c>
      <c r="N95" t="str">
        <f t="shared" si="7"/>
        <v/>
      </c>
      <c r="O95" t="str">
        <f t="shared" si="8"/>
        <v/>
      </c>
    </row>
    <row r="96" spans="11:15" x14ac:dyDescent="0.3">
      <c r="K96" t="str">
        <f t="shared" si="9"/>
        <v/>
      </c>
      <c r="L96" t="str">
        <f t="shared" si="5"/>
        <v/>
      </c>
      <c r="M96" t="str">
        <f t="shared" si="6"/>
        <v/>
      </c>
      <c r="N96" t="str">
        <f t="shared" si="7"/>
        <v/>
      </c>
      <c r="O96" t="str">
        <f t="shared" si="8"/>
        <v/>
      </c>
    </row>
    <row r="97" spans="11:15" x14ac:dyDescent="0.3">
      <c r="K97" t="str">
        <f t="shared" si="9"/>
        <v/>
      </c>
      <c r="L97" t="str">
        <f t="shared" si="5"/>
        <v/>
      </c>
      <c r="M97" t="str">
        <f t="shared" si="6"/>
        <v/>
      </c>
      <c r="N97" t="str">
        <f t="shared" si="7"/>
        <v/>
      </c>
      <c r="O97" t="str">
        <f t="shared" si="8"/>
        <v/>
      </c>
    </row>
    <row r="98" spans="11:15" x14ac:dyDescent="0.3">
      <c r="K98" t="str">
        <f t="shared" si="9"/>
        <v/>
      </c>
      <c r="L98" t="str">
        <f t="shared" si="5"/>
        <v/>
      </c>
      <c r="M98" t="str">
        <f t="shared" si="6"/>
        <v/>
      </c>
      <c r="N98" t="str">
        <f t="shared" si="7"/>
        <v/>
      </c>
      <c r="O98" t="str">
        <f t="shared" si="8"/>
        <v/>
      </c>
    </row>
    <row r="99" spans="11:15" x14ac:dyDescent="0.3">
      <c r="K99" t="str">
        <f t="shared" si="9"/>
        <v/>
      </c>
      <c r="L99" t="str">
        <f t="shared" si="5"/>
        <v/>
      </c>
      <c r="M99" t="str">
        <f t="shared" si="6"/>
        <v/>
      </c>
      <c r="N99" t="str">
        <f t="shared" si="7"/>
        <v/>
      </c>
      <c r="O99" t="str">
        <f t="shared" si="8"/>
        <v/>
      </c>
    </row>
    <row r="100" spans="11:15" x14ac:dyDescent="0.3">
      <c r="K100" t="str">
        <f t="shared" si="9"/>
        <v/>
      </c>
      <c r="L100" t="str">
        <f t="shared" si="5"/>
        <v/>
      </c>
      <c r="M100" t="str">
        <f t="shared" si="6"/>
        <v/>
      </c>
      <c r="N100" t="str">
        <f t="shared" si="7"/>
        <v/>
      </c>
      <c r="O100" t="str">
        <f t="shared" si="8"/>
        <v/>
      </c>
    </row>
    <row r="101" spans="11:15" x14ac:dyDescent="0.3">
      <c r="K101" t="str">
        <f t="shared" si="9"/>
        <v/>
      </c>
      <c r="L101" t="str">
        <f t="shared" si="5"/>
        <v/>
      </c>
      <c r="M101" t="str">
        <f t="shared" si="6"/>
        <v/>
      </c>
      <c r="N101" t="str">
        <f t="shared" si="7"/>
        <v/>
      </c>
      <c r="O101" t="str">
        <f t="shared" si="8"/>
        <v/>
      </c>
    </row>
    <row r="102" spans="11:15" x14ac:dyDescent="0.3">
      <c r="K102" t="str">
        <f t="shared" si="9"/>
        <v/>
      </c>
      <c r="L102" t="str">
        <f t="shared" si="5"/>
        <v/>
      </c>
      <c r="M102" t="str">
        <f t="shared" si="6"/>
        <v/>
      </c>
      <c r="N102" t="str">
        <f t="shared" si="7"/>
        <v/>
      </c>
      <c r="O102" t="str">
        <f t="shared" si="8"/>
        <v/>
      </c>
    </row>
    <row r="103" spans="11:15" x14ac:dyDescent="0.3">
      <c r="K103" t="str">
        <f t="shared" si="9"/>
        <v/>
      </c>
      <c r="L103" t="str">
        <f t="shared" si="5"/>
        <v/>
      </c>
      <c r="M103" t="str">
        <f t="shared" si="6"/>
        <v/>
      </c>
      <c r="N103" t="str">
        <f t="shared" si="7"/>
        <v/>
      </c>
      <c r="O103" t="str">
        <f t="shared" si="8"/>
        <v/>
      </c>
    </row>
    <row r="104" spans="11:15" x14ac:dyDescent="0.3">
      <c r="K104" t="str">
        <f t="shared" si="9"/>
        <v/>
      </c>
      <c r="L104" t="str">
        <f t="shared" si="5"/>
        <v/>
      </c>
      <c r="M104" t="str">
        <f t="shared" si="6"/>
        <v/>
      </c>
      <c r="N104" t="str">
        <f t="shared" si="7"/>
        <v/>
      </c>
      <c r="O104" t="str">
        <f t="shared" si="8"/>
        <v/>
      </c>
    </row>
    <row r="105" spans="11:15" x14ac:dyDescent="0.3">
      <c r="K105" t="str">
        <f t="shared" si="9"/>
        <v/>
      </c>
      <c r="L105" t="str">
        <f t="shared" si="5"/>
        <v/>
      </c>
      <c r="M105" t="str">
        <f t="shared" si="6"/>
        <v/>
      </c>
      <c r="N105" t="str">
        <f t="shared" si="7"/>
        <v/>
      </c>
      <c r="O105" t="str">
        <f t="shared" si="8"/>
        <v/>
      </c>
    </row>
    <row r="106" spans="11:15" x14ac:dyDescent="0.3">
      <c r="K106" t="str">
        <f t="shared" si="9"/>
        <v/>
      </c>
      <c r="L106" t="str">
        <f t="shared" si="5"/>
        <v/>
      </c>
      <c r="M106" t="str">
        <f t="shared" si="6"/>
        <v/>
      </c>
      <c r="N106" t="str">
        <f t="shared" si="7"/>
        <v/>
      </c>
      <c r="O106" t="str">
        <f t="shared" si="8"/>
        <v/>
      </c>
    </row>
    <row r="107" spans="11:15" x14ac:dyDescent="0.3">
      <c r="K107" t="str">
        <f t="shared" si="9"/>
        <v/>
      </c>
      <c r="L107" t="str">
        <f t="shared" si="5"/>
        <v/>
      </c>
      <c r="M107" t="str">
        <f t="shared" si="6"/>
        <v/>
      </c>
      <c r="N107" t="str">
        <f t="shared" si="7"/>
        <v/>
      </c>
      <c r="O107" t="str">
        <f t="shared" si="8"/>
        <v/>
      </c>
    </row>
    <row r="108" spans="11:15" x14ac:dyDescent="0.3">
      <c r="K108" t="str">
        <f t="shared" si="9"/>
        <v/>
      </c>
      <c r="L108" t="str">
        <f t="shared" si="5"/>
        <v/>
      </c>
      <c r="M108" t="str">
        <f t="shared" si="6"/>
        <v/>
      </c>
      <c r="N108" t="str">
        <f t="shared" si="7"/>
        <v/>
      </c>
      <c r="O108" t="str">
        <f t="shared" si="8"/>
        <v/>
      </c>
    </row>
    <row r="109" spans="11:15" x14ac:dyDescent="0.3">
      <c r="K109" t="str">
        <f t="shared" si="9"/>
        <v/>
      </c>
      <c r="L109" t="str">
        <f t="shared" si="5"/>
        <v/>
      </c>
      <c r="M109" t="str">
        <f t="shared" si="6"/>
        <v/>
      </c>
      <c r="N109" t="str">
        <f t="shared" si="7"/>
        <v/>
      </c>
      <c r="O109" t="str">
        <f t="shared" si="8"/>
        <v/>
      </c>
    </row>
    <row r="110" spans="11:15" x14ac:dyDescent="0.3">
      <c r="K110" t="str">
        <f t="shared" si="9"/>
        <v/>
      </c>
      <c r="L110" t="str">
        <f t="shared" si="5"/>
        <v/>
      </c>
      <c r="M110" t="str">
        <f t="shared" si="6"/>
        <v/>
      </c>
      <c r="N110" t="str">
        <f t="shared" si="7"/>
        <v/>
      </c>
      <c r="O110" t="str">
        <f t="shared" si="8"/>
        <v/>
      </c>
    </row>
    <row r="111" spans="11:15" x14ac:dyDescent="0.3">
      <c r="K111" t="str">
        <f t="shared" si="9"/>
        <v/>
      </c>
      <c r="L111" t="str">
        <f t="shared" si="5"/>
        <v/>
      </c>
      <c r="M111" t="str">
        <f t="shared" si="6"/>
        <v/>
      </c>
      <c r="N111" t="str">
        <f t="shared" si="7"/>
        <v/>
      </c>
      <c r="O111" t="str">
        <f t="shared" si="8"/>
        <v/>
      </c>
    </row>
    <row r="112" spans="11:15" x14ac:dyDescent="0.3">
      <c r="K112" t="str">
        <f t="shared" si="9"/>
        <v/>
      </c>
      <c r="L112" t="str">
        <f t="shared" si="5"/>
        <v/>
      </c>
      <c r="M112" t="str">
        <f t="shared" si="6"/>
        <v/>
      </c>
      <c r="N112" t="str">
        <f t="shared" si="7"/>
        <v/>
      </c>
      <c r="O112" t="str">
        <f t="shared" si="8"/>
        <v/>
      </c>
    </row>
    <row r="113" spans="11:15" x14ac:dyDescent="0.3">
      <c r="K113" t="str">
        <f t="shared" si="9"/>
        <v/>
      </c>
      <c r="L113" t="str">
        <f t="shared" si="5"/>
        <v/>
      </c>
      <c r="M113" t="str">
        <f t="shared" si="6"/>
        <v/>
      </c>
      <c r="N113" t="str">
        <f t="shared" si="7"/>
        <v/>
      </c>
      <c r="O113" t="str">
        <f t="shared" si="8"/>
        <v/>
      </c>
    </row>
    <row r="114" spans="11:15" x14ac:dyDescent="0.3">
      <c r="K114" t="str">
        <f t="shared" si="9"/>
        <v/>
      </c>
      <c r="L114" t="str">
        <f t="shared" si="5"/>
        <v/>
      </c>
      <c r="M114" t="str">
        <f t="shared" si="6"/>
        <v/>
      </c>
      <c r="N114" t="str">
        <f t="shared" si="7"/>
        <v/>
      </c>
      <c r="O114" t="str">
        <f t="shared" si="8"/>
        <v/>
      </c>
    </row>
    <row r="115" spans="11:15" x14ac:dyDescent="0.3">
      <c r="K115" t="str">
        <f t="shared" si="9"/>
        <v/>
      </c>
      <c r="L115" t="str">
        <f t="shared" si="5"/>
        <v/>
      </c>
      <c r="M115" t="str">
        <f t="shared" si="6"/>
        <v/>
      </c>
      <c r="N115" t="str">
        <f t="shared" si="7"/>
        <v/>
      </c>
      <c r="O115" t="str">
        <f t="shared" si="8"/>
        <v/>
      </c>
    </row>
    <row r="116" spans="11:15" x14ac:dyDescent="0.3">
      <c r="K116" t="str">
        <f t="shared" si="9"/>
        <v/>
      </c>
      <c r="L116" t="str">
        <f t="shared" si="5"/>
        <v/>
      </c>
      <c r="M116" t="str">
        <f t="shared" si="6"/>
        <v/>
      </c>
      <c r="N116" t="str">
        <f t="shared" si="7"/>
        <v/>
      </c>
      <c r="O116" t="str">
        <f t="shared" si="8"/>
        <v/>
      </c>
    </row>
    <row r="117" spans="11:15" x14ac:dyDescent="0.3">
      <c r="K117" t="str">
        <f t="shared" si="9"/>
        <v/>
      </c>
      <c r="L117" t="str">
        <f t="shared" si="5"/>
        <v/>
      </c>
      <c r="M117" t="str">
        <f t="shared" si="6"/>
        <v/>
      </c>
      <c r="N117" t="str">
        <f t="shared" si="7"/>
        <v/>
      </c>
      <c r="O117" t="str">
        <f t="shared" si="8"/>
        <v/>
      </c>
    </row>
    <row r="118" spans="11:15" x14ac:dyDescent="0.3">
      <c r="K118" t="str">
        <f t="shared" si="9"/>
        <v/>
      </c>
      <c r="L118" t="str">
        <f t="shared" si="5"/>
        <v/>
      </c>
      <c r="M118" t="str">
        <f t="shared" si="6"/>
        <v/>
      </c>
      <c r="N118" t="str">
        <f t="shared" si="7"/>
        <v/>
      </c>
      <c r="O118" t="str">
        <f t="shared" si="8"/>
        <v/>
      </c>
    </row>
    <row r="119" spans="11:15" x14ac:dyDescent="0.3">
      <c r="K119" t="str">
        <f t="shared" si="9"/>
        <v/>
      </c>
      <c r="L119" t="str">
        <f t="shared" si="5"/>
        <v/>
      </c>
      <c r="M119" t="str">
        <f t="shared" si="6"/>
        <v/>
      </c>
      <c r="N119" t="str">
        <f t="shared" si="7"/>
        <v/>
      </c>
      <c r="O119" t="str">
        <f t="shared" si="8"/>
        <v/>
      </c>
    </row>
    <row r="120" spans="11:15" x14ac:dyDescent="0.3">
      <c r="K120" t="str">
        <f t="shared" si="9"/>
        <v/>
      </c>
      <c r="L120" t="str">
        <f t="shared" si="5"/>
        <v/>
      </c>
      <c r="M120" t="str">
        <f t="shared" si="6"/>
        <v/>
      </c>
      <c r="N120" t="str">
        <f t="shared" si="7"/>
        <v/>
      </c>
      <c r="O120" t="str">
        <f t="shared" si="8"/>
        <v/>
      </c>
    </row>
    <row r="121" spans="11:15" x14ac:dyDescent="0.3">
      <c r="K121" t="str">
        <f t="shared" si="9"/>
        <v/>
      </c>
      <c r="L121" t="str">
        <f t="shared" si="5"/>
        <v/>
      </c>
      <c r="M121" t="str">
        <f t="shared" si="6"/>
        <v/>
      </c>
      <c r="N121" t="str">
        <f t="shared" si="7"/>
        <v/>
      </c>
      <c r="O121" t="str">
        <f t="shared" si="8"/>
        <v/>
      </c>
    </row>
    <row r="122" spans="11:15" x14ac:dyDescent="0.3">
      <c r="K122" t="str">
        <f t="shared" si="9"/>
        <v/>
      </c>
      <c r="L122" t="str">
        <f t="shared" si="5"/>
        <v/>
      </c>
      <c r="M122" t="str">
        <f t="shared" si="6"/>
        <v/>
      </c>
      <c r="N122" t="str">
        <f t="shared" si="7"/>
        <v/>
      </c>
      <c r="O122" t="str">
        <f t="shared" si="8"/>
        <v/>
      </c>
    </row>
    <row r="123" spans="11:15" x14ac:dyDescent="0.3">
      <c r="K123" t="str">
        <f t="shared" si="9"/>
        <v/>
      </c>
      <c r="L123" t="str">
        <f t="shared" si="5"/>
        <v/>
      </c>
      <c r="M123" t="str">
        <f t="shared" si="6"/>
        <v/>
      </c>
      <c r="N123" t="str">
        <f t="shared" si="7"/>
        <v/>
      </c>
      <c r="O123" t="str">
        <f t="shared" si="8"/>
        <v/>
      </c>
    </row>
    <row r="124" spans="11:15" x14ac:dyDescent="0.3">
      <c r="K124" t="str">
        <f t="shared" si="9"/>
        <v/>
      </c>
      <c r="L124" t="str">
        <f t="shared" si="5"/>
        <v/>
      </c>
      <c r="M124" t="str">
        <f t="shared" si="6"/>
        <v/>
      </c>
      <c r="N124" t="str">
        <f t="shared" si="7"/>
        <v/>
      </c>
      <c r="O124" t="str">
        <f t="shared" si="8"/>
        <v/>
      </c>
    </row>
    <row r="125" spans="11:15" x14ac:dyDescent="0.3">
      <c r="K125" t="str">
        <f t="shared" si="9"/>
        <v/>
      </c>
      <c r="L125" t="str">
        <f t="shared" si="5"/>
        <v/>
      </c>
      <c r="M125" t="str">
        <f t="shared" si="6"/>
        <v/>
      </c>
      <c r="N125" t="str">
        <f t="shared" si="7"/>
        <v/>
      </c>
      <c r="O125" t="str">
        <f t="shared" si="8"/>
        <v/>
      </c>
    </row>
    <row r="126" spans="11:15" x14ac:dyDescent="0.3">
      <c r="K126" t="str">
        <f t="shared" si="9"/>
        <v/>
      </c>
      <c r="L126" t="str">
        <f t="shared" si="5"/>
        <v/>
      </c>
      <c r="M126" t="str">
        <f t="shared" si="6"/>
        <v/>
      </c>
      <c r="N126" t="str">
        <f t="shared" si="7"/>
        <v/>
      </c>
      <c r="O126" t="str">
        <f t="shared" si="8"/>
        <v/>
      </c>
    </row>
    <row r="127" spans="11:15" x14ac:dyDescent="0.3">
      <c r="K127" t="str">
        <f t="shared" si="9"/>
        <v/>
      </c>
      <c r="L127" t="str">
        <f t="shared" si="5"/>
        <v/>
      </c>
      <c r="M127" t="str">
        <f t="shared" si="6"/>
        <v/>
      </c>
      <c r="N127" t="str">
        <f t="shared" si="7"/>
        <v/>
      </c>
      <c r="O127" t="str">
        <f t="shared" si="8"/>
        <v/>
      </c>
    </row>
    <row r="128" spans="11:15" x14ac:dyDescent="0.3">
      <c r="K128" t="str">
        <f t="shared" si="9"/>
        <v/>
      </c>
      <c r="L128" t="str">
        <f t="shared" si="5"/>
        <v/>
      </c>
      <c r="M128" t="str">
        <f t="shared" si="6"/>
        <v/>
      </c>
      <c r="N128" t="str">
        <f t="shared" si="7"/>
        <v/>
      </c>
      <c r="O128" t="str">
        <f t="shared" si="8"/>
        <v/>
      </c>
    </row>
    <row r="129" spans="11:15" x14ac:dyDescent="0.3">
      <c r="K129" t="str">
        <f t="shared" si="9"/>
        <v/>
      </c>
      <c r="L129" t="str">
        <f t="shared" ref="L129:L192" si="10">IF(A129="","",IF(ISNUMBER(--LEFT(A129,FIND(" - ",A129&amp;" - ")-1)),LEFT(A129,FIND(" - ",A129&amp;" - ")-1),TRIM(A129)))</f>
        <v/>
      </c>
      <c r="M129" t="str">
        <f t="shared" ref="M129:M192" si="11">IF(OR(K129="",K129=A129,A129=""),"",K129&amp;"|"&amp;L129)</f>
        <v/>
      </c>
      <c r="N129" t="str">
        <f t="shared" ref="N129:N192" si="12">IF(M129="","",IF(ISNUMBER(B129),B129,IFERROR(_xlfn.NUMBERVALUE(B129,".",","),0)))</f>
        <v/>
      </c>
      <c r="O129" t="str">
        <f t="shared" ref="O129:O192" si="13">IF(M129="","",IF(ISNUMBER(C129),C129,IFERROR(_xlfn.NUMBERVALUE(C129,".",","),0)))</f>
        <v/>
      </c>
    </row>
    <row r="130" spans="11:15" x14ac:dyDescent="0.3">
      <c r="K130" t="str">
        <f t="shared" ref="K130:K193" si="14">IF(OR(LEFT(B130,9)="DOANH THU",LEFT(B130,8)="SỐ LƯỢNG"),A130,K129)</f>
        <v/>
      </c>
      <c r="L130" t="str">
        <f t="shared" si="10"/>
        <v/>
      </c>
      <c r="M130" t="str">
        <f t="shared" si="11"/>
        <v/>
      </c>
      <c r="N130" t="str">
        <f t="shared" si="12"/>
        <v/>
      </c>
      <c r="O130" t="str">
        <f t="shared" si="13"/>
        <v/>
      </c>
    </row>
    <row r="131" spans="11:15" x14ac:dyDescent="0.3">
      <c r="K131" t="str">
        <f t="shared" si="14"/>
        <v/>
      </c>
      <c r="L131" t="str">
        <f t="shared" si="10"/>
        <v/>
      </c>
      <c r="M131" t="str">
        <f t="shared" si="11"/>
        <v/>
      </c>
      <c r="N131" t="str">
        <f t="shared" si="12"/>
        <v/>
      </c>
      <c r="O131" t="str">
        <f t="shared" si="13"/>
        <v/>
      </c>
    </row>
    <row r="132" spans="11:15" x14ac:dyDescent="0.3">
      <c r="K132" t="str">
        <f t="shared" si="14"/>
        <v/>
      </c>
      <c r="L132" t="str">
        <f t="shared" si="10"/>
        <v/>
      </c>
      <c r="M132" t="str">
        <f t="shared" si="11"/>
        <v/>
      </c>
      <c r="N132" t="str">
        <f t="shared" si="12"/>
        <v/>
      </c>
      <c r="O132" t="str">
        <f t="shared" si="13"/>
        <v/>
      </c>
    </row>
    <row r="133" spans="11:15" x14ac:dyDescent="0.3">
      <c r="K133" t="str">
        <f t="shared" si="14"/>
        <v/>
      </c>
      <c r="L133" t="str">
        <f t="shared" si="10"/>
        <v/>
      </c>
      <c r="M133" t="str">
        <f t="shared" si="11"/>
        <v/>
      </c>
      <c r="N133" t="str">
        <f t="shared" si="12"/>
        <v/>
      </c>
      <c r="O133" t="str">
        <f t="shared" si="13"/>
        <v/>
      </c>
    </row>
    <row r="134" spans="11:15" x14ac:dyDescent="0.3">
      <c r="K134" t="str">
        <f t="shared" si="14"/>
        <v/>
      </c>
      <c r="L134" t="str">
        <f t="shared" si="10"/>
        <v/>
      </c>
      <c r="M134" t="str">
        <f t="shared" si="11"/>
        <v/>
      </c>
      <c r="N134" t="str">
        <f t="shared" si="12"/>
        <v/>
      </c>
      <c r="O134" t="str">
        <f t="shared" si="13"/>
        <v/>
      </c>
    </row>
    <row r="135" spans="11:15" x14ac:dyDescent="0.3">
      <c r="K135" t="str">
        <f t="shared" si="14"/>
        <v/>
      </c>
      <c r="L135" t="str">
        <f t="shared" si="10"/>
        <v/>
      </c>
      <c r="M135" t="str">
        <f t="shared" si="11"/>
        <v/>
      </c>
      <c r="N135" t="str">
        <f t="shared" si="12"/>
        <v/>
      </c>
      <c r="O135" t="str">
        <f t="shared" si="13"/>
        <v/>
      </c>
    </row>
    <row r="136" spans="11:15" x14ac:dyDescent="0.3">
      <c r="K136" t="str">
        <f t="shared" si="14"/>
        <v/>
      </c>
      <c r="L136" t="str">
        <f t="shared" si="10"/>
        <v/>
      </c>
      <c r="M136" t="str">
        <f t="shared" si="11"/>
        <v/>
      </c>
      <c r="N136" t="str">
        <f t="shared" si="12"/>
        <v/>
      </c>
      <c r="O136" t="str">
        <f t="shared" si="13"/>
        <v/>
      </c>
    </row>
    <row r="137" spans="11:15" x14ac:dyDescent="0.3">
      <c r="K137" t="str">
        <f t="shared" si="14"/>
        <v/>
      </c>
      <c r="L137" t="str">
        <f t="shared" si="10"/>
        <v/>
      </c>
      <c r="M137" t="str">
        <f t="shared" si="11"/>
        <v/>
      </c>
      <c r="N137" t="str">
        <f t="shared" si="12"/>
        <v/>
      </c>
      <c r="O137" t="str">
        <f t="shared" si="13"/>
        <v/>
      </c>
    </row>
    <row r="138" spans="11:15" x14ac:dyDescent="0.3">
      <c r="K138" t="str">
        <f t="shared" si="14"/>
        <v/>
      </c>
      <c r="L138" t="str">
        <f t="shared" si="10"/>
        <v/>
      </c>
      <c r="M138" t="str">
        <f t="shared" si="11"/>
        <v/>
      </c>
      <c r="N138" t="str">
        <f t="shared" si="12"/>
        <v/>
      </c>
      <c r="O138" t="str">
        <f t="shared" si="13"/>
        <v/>
      </c>
    </row>
    <row r="139" spans="11:15" x14ac:dyDescent="0.3">
      <c r="K139" t="str">
        <f t="shared" si="14"/>
        <v/>
      </c>
      <c r="L139" t="str">
        <f t="shared" si="10"/>
        <v/>
      </c>
      <c r="M139" t="str">
        <f t="shared" si="11"/>
        <v/>
      </c>
      <c r="N139" t="str">
        <f t="shared" si="12"/>
        <v/>
      </c>
      <c r="O139" t="str">
        <f t="shared" si="13"/>
        <v/>
      </c>
    </row>
    <row r="140" spans="11:15" x14ac:dyDescent="0.3">
      <c r="K140" t="str">
        <f t="shared" si="14"/>
        <v/>
      </c>
      <c r="L140" t="str">
        <f t="shared" si="10"/>
        <v/>
      </c>
      <c r="M140" t="str">
        <f t="shared" si="11"/>
        <v/>
      </c>
      <c r="N140" t="str">
        <f t="shared" si="12"/>
        <v/>
      </c>
      <c r="O140" t="str">
        <f t="shared" si="13"/>
        <v/>
      </c>
    </row>
    <row r="141" spans="11:15" x14ac:dyDescent="0.3">
      <c r="K141" t="str">
        <f t="shared" si="14"/>
        <v/>
      </c>
      <c r="L141" t="str">
        <f t="shared" si="10"/>
        <v/>
      </c>
      <c r="M141" t="str">
        <f t="shared" si="11"/>
        <v/>
      </c>
      <c r="N141" t="str">
        <f t="shared" si="12"/>
        <v/>
      </c>
      <c r="O141" t="str">
        <f t="shared" si="13"/>
        <v/>
      </c>
    </row>
    <row r="142" spans="11:15" x14ac:dyDescent="0.3">
      <c r="K142" t="str">
        <f t="shared" si="14"/>
        <v/>
      </c>
      <c r="L142" t="str">
        <f t="shared" si="10"/>
        <v/>
      </c>
      <c r="M142" t="str">
        <f t="shared" si="11"/>
        <v/>
      </c>
      <c r="N142" t="str">
        <f t="shared" si="12"/>
        <v/>
      </c>
      <c r="O142" t="str">
        <f t="shared" si="13"/>
        <v/>
      </c>
    </row>
    <row r="143" spans="11:15" x14ac:dyDescent="0.3">
      <c r="K143" t="str">
        <f t="shared" si="14"/>
        <v/>
      </c>
      <c r="L143" t="str">
        <f t="shared" si="10"/>
        <v/>
      </c>
      <c r="M143" t="str">
        <f t="shared" si="11"/>
        <v/>
      </c>
      <c r="N143" t="str">
        <f t="shared" si="12"/>
        <v/>
      </c>
      <c r="O143" t="str">
        <f t="shared" si="13"/>
        <v/>
      </c>
    </row>
    <row r="144" spans="11:15" x14ac:dyDescent="0.3">
      <c r="K144" t="str">
        <f t="shared" si="14"/>
        <v/>
      </c>
      <c r="L144" t="str">
        <f t="shared" si="10"/>
        <v/>
      </c>
      <c r="M144" t="str">
        <f t="shared" si="11"/>
        <v/>
      </c>
      <c r="N144" t="str">
        <f t="shared" si="12"/>
        <v/>
      </c>
      <c r="O144" t="str">
        <f t="shared" si="13"/>
        <v/>
      </c>
    </row>
    <row r="145" spans="11:15" x14ac:dyDescent="0.3">
      <c r="K145" t="str">
        <f t="shared" si="14"/>
        <v/>
      </c>
      <c r="L145" t="str">
        <f t="shared" si="10"/>
        <v/>
      </c>
      <c r="M145" t="str">
        <f t="shared" si="11"/>
        <v/>
      </c>
      <c r="N145" t="str">
        <f t="shared" si="12"/>
        <v/>
      </c>
      <c r="O145" t="str">
        <f t="shared" si="13"/>
        <v/>
      </c>
    </row>
    <row r="146" spans="11:15" x14ac:dyDescent="0.3">
      <c r="K146" t="str">
        <f t="shared" si="14"/>
        <v/>
      </c>
      <c r="L146" t="str">
        <f t="shared" si="10"/>
        <v/>
      </c>
      <c r="M146" t="str">
        <f t="shared" si="11"/>
        <v/>
      </c>
      <c r="N146" t="str">
        <f t="shared" si="12"/>
        <v/>
      </c>
      <c r="O146" t="str">
        <f t="shared" si="13"/>
        <v/>
      </c>
    </row>
    <row r="147" spans="11:15" x14ac:dyDescent="0.3">
      <c r="K147" t="str">
        <f t="shared" si="14"/>
        <v/>
      </c>
      <c r="L147" t="str">
        <f t="shared" si="10"/>
        <v/>
      </c>
      <c r="M147" t="str">
        <f t="shared" si="11"/>
        <v/>
      </c>
      <c r="N147" t="str">
        <f t="shared" si="12"/>
        <v/>
      </c>
      <c r="O147" t="str">
        <f t="shared" si="13"/>
        <v/>
      </c>
    </row>
    <row r="148" spans="11:15" x14ac:dyDescent="0.3">
      <c r="K148" t="str">
        <f t="shared" si="14"/>
        <v/>
      </c>
      <c r="L148" t="str">
        <f t="shared" si="10"/>
        <v/>
      </c>
      <c r="M148" t="str">
        <f t="shared" si="11"/>
        <v/>
      </c>
      <c r="N148" t="str">
        <f t="shared" si="12"/>
        <v/>
      </c>
      <c r="O148" t="str">
        <f t="shared" si="13"/>
        <v/>
      </c>
    </row>
    <row r="149" spans="11:15" x14ac:dyDescent="0.3">
      <c r="K149" t="str">
        <f t="shared" si="14"/>
        <v/>
      </c>
      <c r="L149" t="str">
        <f t="shared" si="10"/>
        <v/>
      </c>
      <c r="M149" t="str">
        <f t="shared" si="11"/>
        <v/>
      </c>
      <c r="N149" t="str">
        <f t="shared" si="12"/>
        <v/>
      </c>
      <c r="O149" t="str">
        <f t="shared" si="13"/>
        <v/>
      </c>
    </row>
    <row r="150" spans="11:15" x14ac:dyDescent="0.3">
      <c r="K150" t="str">
        <f t="shared" si="14"/>
        <v/>
      </c>
      <c r="L150" t="str">
        <f t="shared" si="10"/>
        <v/>
      </c>
      <c r="M150" t="str">
        <f t="shared" si="11"/>
        <v/>
      </c>
      <c r="N150" t="str">
        <f t="shared" si="12"/>
        <v/>
      </c>
      <c r="O150" t="str">
        <f t="shared" si="13"/>
        <v/>
      </c>
    </row>
    <row r="151" spans="11:15" x14ac:dyDescent="0.3">
      <c r="K151" t="str">
        <f t="shared" si="14"/>
        <v/>
      </c>
      <c r="L151" t="str">
        <f t="shared" si="10"/>
        <v/>
      </c>
      <c r="M151" t="str">
        <f t="shared" si="11"/>
        <v/>
      </c>
      <c r="N151" t="str">
        <f t="shared" si="12"/>
        <v/>
      </c>
      <c r="O151" t="str">
        <f t="shared" si="13"/>
        <v/>
      </c>
    </row>
    <row r="152" spans="11:15" x14ac:dyDescent="0.3">
      <c r="K152" t="str">
        <f t="shared" si="14"/>
        <v/>
      </c>
      <c r="L152" t="str">
        <f t="shared" si="10"/>
        <v/>
      </c>
      <c r="M152" t="str">
        <f t="shared" si="11"/>
        <v/>
      </c>
      <c r="N152" t="str">
        <f t="shared" si="12"/>
        <v/>
      </c>
      <c r="O152" t="str">
        <f t="shared" si="13"/>
        <v/>
      </c>
    </row>
    <row r="153" spans="11:15" x14ac:dyDescent="0.3">
      <c r="K153" t="str">
        <f t="shared" si="14"/>
        <v/>
      </c>
      <c r="L153" t="str">
        <f t="shared" si="10"/>
        <v/>
      </c>
      <c r="M153" t="str">
        <f t="shared" si="11"/>
        <v/>
      </c>
      <c r="N153" t="str">
        <f t="shared" si="12"/>
        <v/>
      </c>
      <c r="O153" t="str">
        <f t="shared" si="13"/>
        <v/>
      </c>
    </row>
    <row r="154" spans="11:15" x14ac:dyDescent="0.3">
      <c r="K154" t="str">
        <f t="shared" si="14"/>
        <v/>
      </c>
      <c r="L154" t="str">
        <f t="shared" si="10"/>
        <v/>
      </c>
      <c r="M154" t="str">
        <f t="shared" si="11"/>
        <v/>
      </c>
      <c r="N154" t="str">
        <f t="shared" si="12"/>
        <v/>
      </c>
      <c r="O154" t="str">
        <f t="shared" si="13"/>
        <v/>
      </c>
    </row>
    <row r="155" spans="11:15" x14ac:dyDescent="0.3">
      <c r="K155" t="str">
        <f t="shared" si="14"/>
        <v/>
      </c>
      <c r="L155" t="str">
        <f t="shared" si="10"/>
        <v/>
      </c>
      <c r="M155" t="str">
        <f t="shared" si="11"/>
        <v/>
      </c>
      <c r="N155" t="str">
        <f t="shared" si="12"/>
        <v/>
      </c>
      <c r="O155" t="str">
        <f t="shared" si="13"/>
        <v/>
      </c>
    </row>
    <row r="156" spans="11:15" x14ac:dyDescent="0.3">
      <c r="K156" t="str">
        <f t="shared" si="14"/>
        <v/>
      </c>
      <c r="L156" t="str">
        <f t="shared" si="10"/>
        <v/>
      </c>
      <c r="M156" t="str">
        <f t="shared" si="11"/>
        <v/>
      </c>
      <c r="N156" t="str">
        <f t="shared" si="12"/>
        <v/>
      </c>
      <c r="O156" t="str">
        <f t="shared" si="13"/>
        <v/>
      </c>
    </row>
    <row r="157" spans="11:15" x14ac:dyDescent="0.3">
      <c r="K157" t="str">
        <f t="shared" si="14"/>
        <v/>
      </c>
      <c r="L157" t="str">
        <f t="shared" si="10"/>
        <v/>
      </c>
      <c r="M157" t="str">
        <f t="shared" si="11"/>
        <v/>
      </c>
      <c r="N157" t="str">
        <f t="shared" si="12"/>
        <v/>
      </c>
      <c r="O157" t="str">
        <f t="shared" si="13"/>
        <v/>
      </c>
    </row>
    <row r="158" spans="11:15" x14ac:dyDescent="0.3">
      <c r="K158" t="str">
        <f t="shared" si="14"/>
        <v/>
      </c>
      <c r="L158" t="str">
        <f t="shared" si="10"/>
        <v/>
      </c>
      <c r="M158" t="str">
        <f t="shared" si="11"/>
        <v/>
      </c>
      <c r="N158" t="str">
        <f t="shared" si="12"/>
        <v/>
      </c>
      <c r="O158" t="str">
        <f t="shared" si="13"/>
        <v/>
      </c>
    </row>
    <row r="159" spans="11:15" x14ac:dyDescent="0.3">
      <c r="K159" t="str">
        <f t="shared" si="14"/>
        <v/>
      </c>
      <c r="L159" t="str">
        <f t="shared" si="10"/>
        <v/>
      </c>
      <c r="M159" t="str">
        <f t="shared" si="11"/>
        <v/>
      </c>
      <c r="N159" t="str">
        <f t="shared" si="12"/>
        <v/>
      </c>
      <c r="O159" t="str">
        <f t="shared" si="13"/>
        <v/>
      </c>
    </row>
    <row r="160" spans="11:15" x14ac:dyDescent="0.3">
      <c r="K160" t="str">
        <f t="shared" si="14"/>
        <v/>
      </c>
      <c r="L160" t="str">
        <f t="shared" si="10"/>
        <v/>
      </c>
      <c r="M160" t="str">
        <f t="shared" si="11"/>
        <v/>
      </c>
      <c r="N160" t="str">
        <f t="shared" si="12"/>
        <v/>
      </c>
      <c r="O160" t="str">
        <f t="shared" si="13"/>
        <v/>
      </c>
    </row>
    <row r="161" spans="11:15" x14ac:dyDescent="0.3">
      <c r="K161" t="str">
        <f t="shared" si="14"/>
        <v/>
      </c>
      <c r="L161" t="str">
        <f t="shared" si="10"/>
        <v/>
      </c>
      <c r="M161" t="str">
        <f t="shared" si="11"/>
        <v/>
      </c>
      <c r="N161" t="str">
        <f t="shared" si="12"/>
        <v/>
      </c>
      <c r="O161" t="str">
        <f t="shared" si="13"/>
        <v/>
      </c>
    </row>
    <row r="162" spans="11:15" x14ac:dyDescent="0.3">
      <c r="K162" t="str">
        <f t="shared" si="14"/>
        <v/>
      </c>
      <c r="L162" t="str">
        <f t="shared" si="10"/>
        <v/>
      </c>
      <c r="M162" t="str">
        <f t="shared" si="11"/>
        <v/>
      </c>
      <c r="N162" t="str">
        <f t="shared" si="12"/>
        <v/>
      </c>
      <c r="O162" t="str">
        <f t="shared" si="13"/>
        <v/>
      </c>
    </row>
    <row r="163" spans="11:15" x14ac:dyDescent="0.3">
      <c r="K163" t="str">
        <f t="shared" si="14"/>
        <v/>
      </c>
      <c r="L163" t="str">
        <f t="shared" si="10"/>
        <v/>
      </c>
      <c r="M163" t="str">
        <f t="shared" si="11"/>
        <v/>
      </c>
      <c r="N163" t="str">
        <f t="shared" si="12"/>
        <v/>
      </c>
      <c r="O163" t="str">
        <f t="shared" si="13"/>
        <v/>
      </c>
    </row>
    <row r="164" spans="11:15" x14ac:dyDescent="0.3">
      <c r="K164" t="str">
        <f t="shared" si="14"/>
        <v/>
      </c>
      <c r="L164" t="str">
        <f t="shared" si="10"/>
        <v/>
      </c>
      <c r="M164" t="str">
        <f t="shared" si="11"/>
        <v/>
      </c>
      <c r="N164" t="str">
        <f t="shared" si="12"/>
        <v/>
      </c>
      <c r="O164" t="str">
        <f t="shared" si="13"/>
        <v/>
      </c>
    </row>
    <row r="165" spans="11:15" x14ac:dyDescent="0.3">
      <c r="K165" t="str">
        <f t="shared" si="14"/>
        <v/>
      </c>
      <c r="L165" t="str">
        <f t="shared" si="10"/>
        <v/>
      </c>
      <c r="M165" t="str">
        <f t="shared" si="11"/>
        <v/>
      </c>
      <c r="N165" t="str">
        <f t="shared" si="12"/>
        <v/>
      </c>
      <c r="O165" t="str">
        <f t="shared" si="13"/>
        <v/>
      </c>
    </row>
    <row r="166" spans="11:15" x14ac:dyDescent="0.3">
      <c r="K166" t="str">
        <f t="shared" si="14"/>
        <v/>
      </c>
      <c r="L166" t="str">
        <f t="shared" si="10"/>
        <v/>
      </c>
      <c r="M166" t="str">
        <f t="shared" si="11"/>
        <v/>
      </c>
      <c r="N166" t="str">
        <f t="shared" si="12"/>
        <v/>
      </c>
      <c r="O166" t="str">
        <f t="shared" si="13"/>
        <v/>
      </c>
    </row>
    <row r="167" spans="11:15" x14ac:dyDescent="0.3">
      <c r="K167" t="str">
        <f t="shared" si="14"/>
        <v/>
      </c>
      <c r="L167" t="str">
        <f t="shared" si="10"/>
        <v/>
      </c>
      <c r="M167" t="str">
        <f t="shared" si="11"/>
        <v/>
      </c>
      <c r="N167" t="str">
        <f t="shared" si="12"/>
        <v/>
      </c>
      <c r="O167" t="str">
        <f t="shared" si="13"/>
        <v/>
      </c>
    </row>
    <row r="168" spans="11:15" x14ac:dyDescent="0.3">
      <c r="K168" t="str">
        <f t="shared" si="14"/>
        <v/>
      </c>
      <c r="L168" t="str">
        <f t="shared" si="10"/>
        <v/>
      </c>
      <c r="M168" t="str">
        <f t="shared" si="11"/>
        <v/>
      </c>
      <c r="N168" t="str">
        <f t="shared" si="12"/>
        <v/>
      </c>
      <c r="O168" t="str">
        <f t="shared" si="13"/>
        <v/>
      </c>
    </row>
    <row r="169" spans="11:15" x14ac:dyDescent="0.3">
      <c r="K169" t="str">
        <f t="shared" si="14"/>
        <v/>
      </c>
      <c r="L169" t="str">
        <f t="shared" si="10"/>
        <v/>
      </c>
      <c r="M169" t="str">
        <f t="shared" si="11"/>
        <v/>
      </c>
      <c r="N169" t="str">
        <f t="shared" si="12"/>
        <v/>
      </c>
      <c r="O169" t="str">
        <f t="shared" si="13"/>
        <v/>
      </c>
    </row>
    <row r="170" spans="11:15" x14ac:dyDescent="0.3">
      <c r="K170" t="str">
        <f t="shared" si="14"/>
        <v/>
      </c>
      <c r="L170" t="str">
        <f t="shared" si="10"/>
        <v/>
      </c>
      <c r="M170" t="str">
        <f t="shared" si="11"/>
        <v/>
      </c>
      <c r="N170" t="str">
        <f t="shared" si="12"/>
        <v/>
      </c>
      <c r="O170" t="str">
        <f t="shared" si="13"/>
        <v/>
      </c>
    </row>
    <row r="171" spans="11:15" x14ac:dyDescent="0.3">
      <c r="K171" t="str">
        <f t="shared" si="14"/>
        <v/>
      </c>
      <c r="L171" t="str">
        <f t="shared" si="10"/>
        <v/>
      </c>
      <c r="M171" t="str">
        <f t="shared" si="11"/>
        <v/>
      </c>
      <c r="N171" t="str">
        <f t="shared" si="12"/>
        <v/>
      </c>
      <c r="O171" t="str">
        <f t="shared" si="13"/>
        <v/>
      </c>
    </row>
    <row r="172" spans="11:15" x14ac:dyDescent="0.3">
      <c r="K172" t="str">
        <f t="shared" si="14"/>
        <v/>
      </c>
      <c r="L172" t="str">
        <f t="shared" si="10"/>
        <v/>
      </c>
      <c r="M172" t="str">
        <f t="shared" si="11"/>
        <v/>
      </c>
      <c r="N172" t="str">
        <f t="shared" si="12"/>
        <v/>
      </c>
      <c r="O172" t="str">
        <f t="shared" si="13"/>
        <v/>
      </c>
    </row>
    <row r="173" spans="11:15" x14ac:dyDescent="0.3">
      <c r="K173" t="str">
        <f t="shared" si="14"/>
        <v/>
      </c>
      <c r="L173" t="str">
        <f t="shared" si="10"/>
        <v/>
      </c>
      <c r="M173" t="str">
        <f t="shared" si="11"/>
        <v/>
      </c>
      <c r="N173" t="str">
        <f t="shared" si="12"/>
        <v/>
      </c>
      <c r="O173" t="str">
        <f t="shared" si="13"/>
        <v/>
      </c>
    </row>
    <row r="174" spans="11:15" x14ac:dyDescent="0.3">
      <c r="K174" t="str">
        <f t="shared" si="14"/>
        <v/>
      </c>
      <c r="L174" t="str">
        <f t="shared" si="10"/>
        <v/>
      </c>
      <c r="M174" t="str">
        <f t="shared" si="11"/>
        <v/>
      </c>
      <c r="N174" t="str">
        <f t="shared" si="12"/>
        <v/>
      </c>
      <c r="O174" t="str">
        <f t="shared" si="13"/>
        <v/>
      </c>
    </row>
    <row r="175" spans="11:15" x14ac:dyDescent="0.3">
      <c r="K175" t="str">
        <f t="shared" si="14"/>
        <v/>
      </c>
      <c r="L175" t="str">
        <f t="shared" si="10"/>
        <v/>
      </c>
      <c r="M175" t="str">
        <f t="shared" si="11"/>
        <v/>
      </c>
      <c r="N175" t="str">
        <f t="shared" si="12"/>
        <v/>
      </c>
      <c r="O175" t="str">
        <f t="shared" si="13"/>
        <v/>
      </c>
    </row>
    <row r="176" spans="11:15" x14ac:dyDescent="0.3">
      <c r="K176" t="str">
        <f t="shared" si="14"/>
        <v/>
      </c>
      <c r="L176" t="str">
        <f t="shared" si="10"/>
        <v/>
      </c>
      <c r="M176" t="str">
        <f t="shared" si="11"/>
        <v/>
      </c>
      <c r="N176" t="str">
        <f t="shared" si="12"/>
        <v/>
      </c>
      <c r="O176" t="str">
        <f t="shared" si="13"/>
        <v/>
      </c>
    </row>
    <row r="177" spans="11:15" x14ac:dyDescent="0.3">
      <c r="K177" t="str">
        <f t="shared" si="14"/>
        <v/>
      </c>
      <c r="L177" t="str">
        <f t="shared" si="10"/>
        <v/>
      </c>
      <c r="M177" t="str">
        <f t="shared" si="11"/>
        <v/>
      </c>
      <c r="N177" t="str">
        <f t="shared" si="12"/>
        <v/>
      </c>
      <c r="O177" t="str">
        <f t="shared" si="13"/>
        <v/>
      </c>
    </row>
    <row r="178" spans="11:15" x14ac:dyDescent="0.3">
      <c r="K178" t="str">
        <f t="shared" si="14"/>
        <v/>
      </c>
      <c r="L178" t="str">
        <f t="shared" si="10"/>
        <v/>
      </c>
      <c r="M178" t="str">
        <f t="shared" si="11"/>
        <v/>
      </c>
      <c r="N178" t="str">
        <f t="shared" si="12"/>
        <v/>
      </c>
      <c r="O178" t="str">
        <f t="shared" si="13"/>
        <v/>
      </c>
    </row>
    <row r="179" spans="11:15" x14ac:dyDescent="0.3">
      <c r="K179" t="str">
        <f t="shared" si="14"/>
        <v/>
      </c>
      <c r="L179" t="str">
        <f t="shared" si="10"/>
        <v/>
      </c>
      <c r="M179" t="str">
        <f t="shared" si="11"/>
        <v/>
      </c>
      <c r="N179" t="str">
        <f t="shared" si="12"/>
        <v/>
      </c>
      <c r="O179" t="str">
        <f t="shared" si="13"/>
        <v/>
      </c>
    </row>
    <row r="180" spans="11:15" x14ac:dyDescent="0.3">
      <c r="K180" t="str">
        <f t="shared" si="14"/>
        <v/>
      </c>
      <c r="L180" t="str">
        <f t="shared" si="10"/>
        <v/>
      </c>
      <c r="M180" t="str">
        <f t="shared" si="11"/>
        <v/>
      </c>
      <c r="N180" t="str">
        <f t="shared" si="12"/>
        <v/>
      </c>
      <c r="O180" t="str">
        <f t="shared" si="13"/>
        <v/>
      </c>
    </row>
    <row r="181" spans="11:15" x14ac:dyDescent="0.3">
      <c r="K181" t="str">
        <f t="shared" si="14"/>
        <v/>
      </c>
      <c r="L181" t="str">
        <f t="shared" si="10"/>
        <v/>
      </c>
      <c r="M181" t="str">
        <f t="shared" si="11"/>
        <v/>
      </c>
      <c r="N181" t="str">
        <f t="shared" si="12"/>
        <v/>
      </c>
      <c r="O181" t="str">
        <f t="shared" si="13"/>
        <v/>
      </c>
    </row>
    <row r="182" spans="11:15" x14ac:dyDescent="0.3">
      <c r="K182" t="str">
        <f t="shared" si="14"/>
        <v/>
      </c>
      <c r="L182" t="str">
        <f t="shared" si="10"/>
        <v/>
      </c>
      <c r="M182" t="str">
        <f t="shared" si="11"/>
        <v/>
      </c>
      <c r="N182" t="str">
        <f t="shared" si="12"/>
        <v/>
      </c>
      <c r="O182" t="str">
        <f t="shared" si="13"/>
        <v/>
      </c>
    </row>
    <row r="183" spans="11:15" x14ac:dyDescent="0.3">
      <c r="K183" t="str">
        <f t="shared" si="14"/>
        <v/>
      </c>
      <c r="L183" t="str">
        <f t="shared" si="10"/>
        <v/>
      </c>
      <c r="M183" t="str">
        <f t="shared" si="11"/>
        <v/>
      </c>
      <c r="N183" t="str">
        <f t="shared" si="12"/>
        <v/>
      </c>
      <c r="O183" t="str">
        <f t="shared" si="13"/>
        <v/>
      </c>
    </row>
    <row r="184" spans="11:15" x14ac:dyDescent="0.3">
      <c r="K184" t="str">
        <f t="shared" si="14"/>
        <v/>
      </c>
      <c r="L184" t="str">
        <f t="shared" si="10"/>
        <v/>
      </c>
      <c r="M184" t="str">
        <f t="shared" si="11"/>
        <v/>
      </c>
      <c r="N184" t="str">
        <f t="shared" si="12"/>
        <v/>
      </c>
      <c r="O184" t="str">
        <f t="shared" si="13"/>
        <v/>
      </c>
    </row>
    <row r="185" spans="11:15" x14ac:dyDescent="0.3">
      <c r="K185" t="str">
        <f t="shared" si="14"/>
        <v/>
      </c>
      <c r="L185" t="str">
        <f t="shared" si="10"/>
        <v/>
      </c>
      <c r="M185" t="str">
        <f t="shared" si="11"/>
        <v/>
      </c>
      <c r="N185" t="str">
        <f t="shared" si="12"/>
        <v/>
      </c>
      <c r="O185" t="str">
        <f t="shared" si="13"/>
        <v/>
      </c>
    </row>
    <row r="186" spans="11:15" x14ac:dyDescent="0.3">
      <c r="K186" t="str">
        <f t="shared" si="14"/>
        <v/>
      </c>
      <c r="L186" t="str">
        <f t="shared" si="10"/>
        <v/>
      </c>
      <c r="M186" t="str">
        <f t="shared" si="11"/>
        <v/>
      </c>
      <c r="N186" t="str">
        <f t="shared" si="12"/>
        <v/>
      </c>
      <c r="O186" t="str">
        <f t="shared" si="13"/>
        <v/>
      </c>
    </row>
    <row r="187" spans="11:15" x14ac:dyDescent="0.3">
      <c r="K187" t="str">
        <f t="shared" si="14"/>
        <v/>
      </c>
      <c r="L187" t="str">
        <f t="shared" si="10"/>
        <v/>
      </c>
      <c r="M187" t="str">
        <f t="shared" si="11"/>
        <v/>
      </c>
      <c r="N187" t="str">
        <f t="shared" si="12"/>
        <v/>
      </c>
      <c r="O187" t="str">
        <f t="shared" si="13"/>
        <v/>
      </c>
    </row>
    <row r="188" spans="11:15" x14ac:dyDescent="0.3">
      <c r="K188" t="str">
        <f t="shared" si="14"/>
        <v/>
      </c>
      <c r="L188" t="str">
        <f t="shared" si="10"/>
        <v/>
      </c>
      <c r="M188" t="str">
        <f t="shared" si="11"/>
        <v/>
      </c>
      <c r="N188" t="str">
        <f t="shared" si="12"/>
        <v/>
      </c>
      <c r="O188" t="str">
        <f t="shared" si="13"/>
        <v/>
      </c>
    </row>
    <row r="189" spans="11:15" x14ac:dyDescent="0.3">
      <c r="K189" t="str">
        <f t="shared" si="14"/>
        <v/>
      </c>
      <c r="L189" t="str">
        <f t="shared" si="10"/>
        <v/>
      </c>
      <c r="M189" t="str">
        <f t="shared" si="11"/>
        <v/>
      </c>
      <c r="N189" t="str">
        <f t="shared" si="12"/>
        <v/>
      </c>
      <c r="O189" t="str">
        <f t="shared" si="13"/>
        <v/>
      </c>
    </row>
    <row r="190" spans="11:15" x14ac:dyDescent="0.3">
      <c r="K190" t="str">
        <f t="shared" si="14"/>
        <v/>
      </c>
      <c r="L190" t="str">
        <f t="shared" si="10"/>
        <v/>
      </c>
      <c r="M190" t="str">
        <f t="shared" si="11"/>
        <v/>
      </c>
      <c r="N190" t="str">
        <f t="shared" si="12"/>
        <v/>
      </c>
      <c r="O190" t="str">
        <f t="shared" si="13"/>
        <v/>
      </c>
    </row>
    <row r="191" spans="11:15" x14ac:dyDescent="0.3">
      <c r="K191" t="str">
        <f t="shared" si="14"/>
        <v/>
      </c>
      <c r="L191" t="str">
        <f t="shared" si="10"/>
        <v/>
      </c>
      <c r="M191" t="str">
        <f t="shared" si="11"/>
        <v/>
      </c>
      <c r="N191" t="str">
        <f t="shared" si="12"/>
        <v/>
      </c>
      <c r="O191" t="str">
        <f t="shared" si="13"/>
        <v/>
      </c>
    </row>
    <row r="192" spans="11:15" x14ac:dyDescent="0.3">
      <c r="K192" t="str">
        <f t="shared" si="14"/>
        <v/>
      </c>
      <c r="L192" t="str">
        <f t="shared" si="10"/>
        <v/>
      </c>
      <c r="M192" t="str">
        <f t="shared" si="11"/>
        <v/>
      </c>
      <c r="N192" t="str">
        <f t="shared" si="12"/>
        <v/>
      </c>
      <c r="O192" t="str">
        <f t="shared" si="13"/>
        <v/>
      </c>
    </row>
    <row r="193" spans="11:15" x14ac:dyDescent="0.3">
      <c r="K193" t="str">
        <f t="shared" si="14"/>
        <v/>
      </c>
      <c r="L193" t="str">
        <f t="shared" ref="L193:L256" si="15">IF(A193="","",IF(ISNUMBER(--LEFT(A193,FIND(" - ",A193&amp;" - ")-1)),LEFT(A193,FIND(" - ",A193&amp;" - ")-1),TRIM(A193)))</f>
        <v/>
      </c>
      <c r="M193" t="str">
        <f t="shared" ref="M193:M256" si="16">IF(OR(K193="",K193=A193,A193=""),"",K193&amp;"|"&amp;L193)</f>
        <v/>
      </c>
      <c r="N193" t="str">
        <f t="shared" ref="N193:N256" si="17">IF(M193="","",IF(ISNUMBER(B193),B193,IFERROR(_xlfn.NUMBERVALUE(B193,".",","),0)))</f>
        <v/>
      </c>
      <c r="O193" t="str">
        <f t="shared" ref="O193:O256" si="18">IF(M193="","",IF(ISNUMBER(C193),C193,IFERROR(_xlfn.NUMBERVALUE(C193,".",","),0)))</f>
        <v/>
      </c>
    </row>
    <row r="194" spans="11:15" x14ac:dyDescent="0.3">
      <c r="K194" t="str">
        <f t="shared" ref="K194:K257" si="19">IF(OR(LEFT(B194,9)="DOANH THU",LEFT(B194,8)="SỐ LƯỢNG"),A194,K193)</f>
        <v/>
      </c>
      <c r="L194" t="str">
        <f t="shared" si="15"/>
        <v/>
      </c>
      <c r="M194" t="str">
        <f t="shared" si="16"/>
        <v/>
      </c>
      <c r="N194" t="str">
        <f t="shared" si="17"/>
        <v/>
      </c>
      <c r="O194" t="str">
        <f t="shared" si="18"/>
        <v/>
      </c>
    </row>
    <row r="195" spans="11:15" x14ac:dyDescent="0.3">
      <c r="K195" t="str">
        <f t="shared" si="19"/>
        <v/>
      </c>
      <c r="L195" t="str">
        <f t="shared" si="15"/>
        <v/>
      </c>
      <c r="M195" t="str">
        <f t="shared" si="16"/>
        <v/>
      </c>
      <c r="N195" t="str">
        <f t="shared" si="17"/>
        <v/>
      </c>
      <c r="O195" t="str">
        <f t="shared" si="18"/>
        <v/>
      </c>
    </row>
    <row r="196" spans="11:15" x14ac:dyDescent="0.3">
      <c r="K196" t="str">
        <f t="shared" si="19"/>
        <v/>
      </c>
      <c r="L196" t="str">
        <f t="shared" si="15"/>
        <v/>
      </c>
      <c r="M196" t="str">
        <f t="shared" si="16"/>
        <v/>
      </c>
      <c r="N196" t="str">
        <f t="shared" si="17"/>
        <v/>
      </c>
      <c r="O196" t="str">
        <f t="shared" si="18"/>
        <v/>
      </c>
    </row>
    <row r="197" spans="11:15" x14ac:dyDescent="0.3">
      <c r="K197" t="str">
        <f t="shared" si="19"/>
        <v/>
      </c>
      <c r="L197" t="str">
        <f t="shared" si="15"/>
        <v/>
      </c>
      <c r="M197" t="str">
        <f t="shared" si="16"/>
        <v/>
      </c>
      <c r="N197" t="str">
        <f t="shared" si="17"/>
        <v/>
      </c>
      <c r="O197" t="str">
        <f t="shared" si="18"/>
        <v/>
      </c>
    </row>
    <row r="198" spans="11:15" x14ac:dyDescent="0.3">
      <c r="K198" t="str">
        <f t="shared" si="19"/>
        <v/>
      </c>
      <c r="L198" t="str">
        <f t="shared" si="15"/>
        <v/>
      </c>
      <c r="M198" t="str">
        <f t="shared" si="16"/>
        <v/>
      </c>
      <c r="N198" t="str">
        <f t="shared" si="17"/>
        <v/>
      </c>
      <c r="O198" t="str">
        <f t="shared" si="18"/>
        <v/>
      </c>
    </row>
    <row r="199" spans="11:15" x14ac:dyDescent="0.3">
      <c r="K199" t="str">
        <f t="shared" si="19"/>
        <v/>
      </c>
      <c r="L199" t="str">
        <f t="shared" si="15"/>
        <v/>
      </c>
      <c r="M199" t="str">
        <f t="shared" si="16"/>
        <v/>
      </c>
      <c r="N199" t="str">
        <f t="shared" si="17"/>
        <v/>
      </c>
      <c r="O199" t="str">
        <f t="shared" si="18"/>
        <v/>
      </c>
    </row>
    <row r="200" spans="11:15" x14ac:dyDescent="0.3">
      <c r="K200" t="str">
        <f t="shared" si="19"/>
        <v/>
      </c>
      <c r="L200" t="str">
        <f t="shared" si="15"/>
        <v/>
      </c>
      <c r="M200" t="str">
        <f t="shared" si="16"/>
        <v/>
      </c>
      <c r="N200" t="str">
        <f t="shared" si="17"/>
        <v/>
      </c>
      <c r="O200" t="str">
        <f t="shared" si="18"/>
        <v/>
      </c>
    </row>
    <row r="201" spans="11:15" x14ac:dyDescent="0.3">
      <c r="K201" t="str">
        <f t="shared" si="19"/>
        <v/>
      </c>
      <c r="L201" t="str">
        <f t="shared" si="15"/>
        <v/>
      </c>
      <c r="M201" t="str">
        <f t="shared" si="16"/>
        <v/>
      </c>
      <c r="N201" t="str">
        <f t="shared" si="17"/>
        <v/>
      </c>
      <c r="O201" t="str">
        <f t="shared" si="18"/>
        <v/>
      </c>
    </row>
    <row r="202" spans="11:15" x14ac:dyDescent="0.3">
      <c r="K202" t="str">
        <f t="shared" si="19"/>
        <v/>
      </c>
      <c r="L202" t="str">
        <f t="shared" si="15"/>
        <v/>
      </c>
      <c r="M202" t="str">
        <f t="shared" si="16"/>
        <v/>
      </c>
      <c r="N202" t="str">
        <f t="shared" si="17"/>
        <v/>
      </c>
      <c r="O202" t="str">
        <f t="shared" si="18"/>
        <v/>
      </c>
    </row>
    <row r="203" spans="11:15" x14ac:dyDescent="0.3">
      <c r="K203" t="str">
        <f t="shared" si="19"/>
        <v/>
      </c>
      <c r="L203" t="str">
        <f t="shared" si="15"/>
        <v/>
      </c>
      <c r="M203" t="str">
        <f t="shared" si="16"/>
        <v/>
      </c>
      <c r="N203" t="str">
        <f t="shared" si="17"/>
        <v/>
      </c>
      <c r="O203" t="str">
        <f t="shared" si="18"/>
        <v/>
      </c>
    </row>
    <row r="204" spans="11:15" x14ac:dyDescent="0.3">
      <c r="K204" t="str">
        <f t="shared" si="19"/>
        <v/>
      </c>
      <c r="L204" t="str">
        <f t="shared" si="15"/>
        <v/>
      </c>
      <c r="M204" t="str">
        <f t="shared" si="16"/>
        <v/>
      </c>
      <c r="N204" t="str">
        <f t="shared" si="17"/>
        <v/>
      </c>
      <c r="O204" t="str">
        <f t="shared" si="18"/>
        <v/>
      </c>
    </row>
    <row r="205" spans="11:15" x14ac:dyDescent="0.3">
      <c r="K205" t="str">
        <f t="shared" si="19"/>
        <v/>
      </c>
      <c r="L205" t="str">
        <f t="shared" si="15"/>
        <v/>
      </c>
      <c r="M205" t="str">
        <f t="shared" si="16"/>
        <v/>
      </c>
      <c r="N205" t="str">
        <f t="shared" si="17"/>
        <v/>
      </c>
      <c r="O205" t="str">
        <f t="shared" si="18"/>
        <v/>
      </c>
    </row>
    <row r="206" spans="11:15" x14ac:dyDescent="0.3">
      <c r="K206" t="str">
        <f t="shared" si="19"/>
        <v/>
      </c>
      <c r="L206" t="str">
        <f t="shared" si="15"/>
        <v/>
      </c>
      <c r="M206" t="str">
        <f t="shared" si="16"/>
        <v/>
      </c>
      <c r="N206" t="str">
        <f t="shared" si="17"/>
        <v/>
      </c>
      <c r="O206" t="str">
        <f t="shared" si="18"/>
        <v/>
      </c>
    </row>
    <row r="207" spans="11:15" x14ac:dyDescent="0.3">
      <c r="K207" t="str">
        <f t="shared" si="19"/>
        <v/>
      </c>
      <c r="L207" t="str">
        <f t="shared" si="15"/>
        <v/>
      </c>
      <c r="M207" t="str">
        <f t="shared" si="16"/>
        <v/>
      </c>
      <c r="N207" t="str">
        <f t="shared" si="17"/>
        <v/>
      </c>
      <c r="O207" t="str">
        <f t="shared" si="18"/>
        <v/>
      </c>
    </row>
    <row r="208" spans="11:15" x14ac:dyDescent="0.3">
      <c r="K208" t="str">
        <f t="shared" si="19"/>
        <v/>
      </c>
      <c r="L208" t="str">
        <f t="shared" si="15"/>
        <v/>
      </c>
      <c r="M208" t="str">
        <f t="shared" si="16"/>
        <v/>
      </c>
      <c r="N208" t="str">
        <f t="shared" si="17"/>
        <v/>
      </c>
      <c r="O208" t="str">
        <f t="shared" si="18"/>
        <v/>
      </c>
    </row>
    <row r="209" spans="11:15" x14ac:dyDescent="0.3">
      <c r="K209" t="str">
        <f t="shared" si="19"/>
        <v/>
      </c>
      <c r="L209" t="str">
        <f t="shared" si="15"/>
        <v/>
      </c>
      <c r="M209" t="str">
        <f t="shared" si="16"/>
        <v/>
      </c>
      <c r="N209" t="str">
        <f t="shared" si="17"/>
        <v/>
      </c>
      <c r="O209" t="str">
        <f t="shared" si="18"/>
        <v/>
      </c>
    </row>
    <row r="210" spans="11:15" x14ac:dyDescent="0.3">
      <c r="K210" t="str">
        <f t="shared" si="19"/>
        <v/>
      </c>
      <c r="L210" t="str">
        <f t="shared" si="15"/>
        <v/>
      </c>
      <c r="M210" t="str">
        <f t="shared" si="16"/>
        <v/>
      </c>
      <c r="N210" t="str">
        <f t="shared" si="17"/>
        <v/>
      </c>
      <c r="O210" t="str">
        <f t="shared" si="18"/>
        <v/>
      </c>
    </row>
    <row r="211" spans="11:15" x14ac:dyDescent="0.3">
      <c r="K211" t="str">
        <f t="shared" si="19"/>
        <v/>
      </c>
      <c r="L211" t="str">
        <f t="shared" si="15"/>
        <v/>
      </c>
      <c r="M211" t="str">
        <f t="shared" si="16"/>
        <v/>
      </c>
      <c r="N211" t="str">
        <f t="shared" si="17"/>
        <v/>
      </c>
      <c r="O211" t="str">
        <f t="shared" si="18"/>
        <v/>
      </c>
    </row>
    <row r="212" spans="11:15" x14ac:dyDescent="0.3">
      <c r="K212" t="str">
        <f t="shared" si="19"/>
        <v/>
      </c>
      <c r="L212" t="str">
        <f t="shared" si="15"/>
        <v/>
      </c>
      <c r="M212" t="str">
        <f t="shared" si="16"/>
        <v/>
      </c>
      <c r="N212" t="str">
        <f t="shared" si="17"/>
        <v/>
      </c>
      <c r="O212" t="str">
        <f t="shared" si="18"/>
        <v/>
      </c>
    </row>
    <row r="213" spans="11:15" x14ac:dyDescent="0.3">
      <c r="K213" t="str">
        <f t="shared" si="19"/>
        <v/>
      </c>
      <c r="L213" t="str">
        <f t="shared" si="15"/>
        <v/>
      </c>
      <c r="M213" t="str">
        <f t="shared" si="16"/>
        <v/>
      </c>
      <c r="N213" t="str">
        <f t="shared" si="17"/>
        <v/>
      </c>
      <c r="O213" t="str">
        <f t="shared" si="18"/>
        <v/>
      </c>
    </row>
    <row r="214" spans="11:15" x14ac:dyDescent="0.3">
      <c r="K214" t="str">
        <f t="shared" si="19"/>
        <v/>
      </c>
      <c r="L214" t="str">
        <f t="shared" si="15"/>
        <v/>
      </c>
      <c r="M214" t="str">
        <f t="shared" si="16"/>
        <v/>
      </c>
      <c r="N214" t="str">
        <f t="shared" si="17"/>
        <v/>
      </c>
      <c r="O214" t="str">
        <f t="shared" si="18"/>
        <v/>
      </c>
    </row>
    <row r="215" spans="11:15" x14ac:dyDescent="0.3">
      <c r="K215" t="str">
        <f t="shared" si="19"/>
        <v/>
      </c>
      <c r="L215" t="str">
        <f t="shared" si="15"/>
        <v/>
      </c>
      <c r="M215" t="str">
        <f t="shared" si="16"/>
        <v/>
      </c>
      <c r="N215" t="str">
        <f t="shared" si="17"/>
        <v/>
      </c>
      <c r="O215" t="str">
        <f t="shared" si="18"/>
        <v/>
      </c>
    </row>
    <row r="216" spans="11:15" x14ac:dyDescent="0.3">
      <c r="K216" t="str">
        <f t="shared" si="19"/>
        <v/>
      </c>
      <c r="L216" t="str">
        <f t="shared" si="15"/>
        <v/>
      </c>
      <c r="M216" t="str">
        <f t="shared" si="16"/>
        <v/>
      </c>
      <c r="N216" t="str">
        <f t="shared" si="17"/>
        <v/>
      </c>
      <c r="O216" t="str">
        <f t="shared" si="18"/>
        <v/>
      </c>
    </row>
    <row r="217" spans="11:15" x14ac:dyDescent="0.3">
      <c r="K217" t="str">
        <f t="shared" si="19"/>
        <v/>
      </c>
      <c r="L217" t="str">
        <f t="shared" si="15"/>
        <v/>
      </c>
      <c r="M217" t="str">
        <f t="shared" si="16"/>
        <v/>
      </c>
      <c r="N217" t="str">
        <f t="shared" si="17"/>
        <v/>
      </c>
      <c r="O217" t="str">
        <f t="shared" si="18"/>
        <v/>
      </c>
    </row>
    <row r="218" spans="11:15" x14ac:dyDescent="0.3">
      <c r="K218" t="str">
        <f t="shared" si="19"/>
        <v/>
      </c>
      <c r="L218" t="str">
        <f t="shared" si="15"/>
        <v/>
      </c>
      <c r="M218" t="str">
        <f t="shared" si="16"/>
        <v/>
      </c>
      <c r="N218" t="str">
        <f t="shared" si="17"/>
        <v/>
      </c>
      <c r="O218" t="str">
        <f t="shared" si="18"/>
        <v/>
      </c>
    </row>
    <row r="219" spans="11:15" x14ac:dyDescent="0.3">
      <c r="K219" t="str">
        <f t="shared" si="19"/>
        <v/>
      </c>
      <c r="L219" t="str">
        <f t="shared" si="15"/>
        <v/>
      </c>
      <c r="M219" t="str">
        <f t="shared" si="16"/>
        <v/>
      </c>
      <c r="N219" t="str">
        <f t="shared" si="17"/>
        <v/>
      </c>
      <c r="O219" t="str">
        <f t="shared" si="18"/>
        <v/>
      </c>
    </row>
    <row r="220" spans="11:15" x14ac:dyDescent="0.3">
      <c r="K220" t="str">
        <f t="shared" si="19"/>
        <v/>
      </c>
      <c r="L220" t="str">
        <f t="shared" si="15"/>
        <v/>
      </c>
      <c r="M220" t="str">
        <f t="shared" si="16"/>
        <v/>
      </c>
      <c r="N220" t="str">
        <f t="shared" si="17"/>
        <v/>
      </c>
      <c r="O220" t="str">
        <f t="shared" si="18"/>
        <v/>
      </c>
    </row>
    <row r="221" spans="11:15" x14ac:dyDescent="0.3">
      <c r="K221" t="str">
        <f t="shared" si="19"/>
        <v/>
      </c>
      <c r="L221" t="str">
        <f t="shared" si="15"/>
        <v/>
      </c>
      <c r="M221" t="str">
        <f t="shared" si="16"/>
        <v/>
      </c>
      <c r="N221" t="str">
        <f t="shared" si="17"/>
        <v/>
      </c>
      <c r="O221" t="str">
        <f t="shared" si="18"/>
        <v/>
      </c>
    </row>
    <row r="222" spans="11:15" x14ac:dyDescent="0.3">
      <c r="K222" t="str">
        <f t="shared" si="19"/>
        <v/>
      </c>
      <c r="L222" t="str">
        <f t="shared" si="15"/>
        <v/>
      </c>
      <c r="M222" t="str">
        <f t="shared" si="16"/>
        <v/>
      </c>
      <c r="N222" t="str">
        <f t="shared" si="17"/>
        <v/>
      </c>
      <c r="O222" t="str">
        <f t="shared" si="18"/>
        <v/>
      </c>
    </row>
    <row r="223" spans="11:15" x14ac:dyDescent="0.3">
      <c r="K223" t="str">
        <f t="shared" si="19"/>
        <v/>
      </c>
      <c r="L223" t="str">
        <f t="shared" si="15"/>
        <v/>
      </c>
      <c r="M223" t="str">
        <f t="shared" si="16"/>
        <v/>
      </c>
      <c r="N223" t="str">
        <f t="shared" si="17"/>
        <v/>
      </c>
      <c r="O223" t="str">
        <f t="shared" si="18"/>
        <v/>
      </c>
    </row>
    <row r="224" spans="11:15" x14ac:dyDescent="0.3">
      <c r="K224" t="str">
        <f t="shared" si="19"/>
        <v/>
      </c>
      <c r="L224" t="str">
        <f t="shared" si="15"/>
        <v/>
      </c>
      <c r="M224" t="str">
        <f t="shared" si="16"/>
        <v/>
      </c>
      <c r="N224" t="str">
        <f t="shared" si="17"/>
        <v/>
      </c>
      <c r="O224" t="str">
        <f t="shared" si="18"/>
        <v/>
      </c>
    </row>
    <row r="225" spans="11:15" x14ac:dyDescent="0.3">
      <c r="K225" t="str">
        <f t="shared" si="19"/>
        <v/>
      </c>
      <c r="L225" t="str">
        <f t="shared" si="15"/>
        <v/>
      </c>
      <c r="M225" t="str">
        <f t="shared" si="16"/>
        <v/>
      </c>
      <c r="N225" t="str">
        <f t="shared" si="17"/>
        <v/>
      </c>
      <c r="O225" t="str">
        <f t="shared" si="18"/>
        <v/>
      </c>
    </row>
    <row r="226" spans="11:15" x14ac:dyDescent="0.3">
      <c r="K226" t="str">
        <f t="shared" si="19"/>
        <v/>
      </c>
      <c r="L226" t="str">
        <f t="shared" si="15"/>
        <v/>
      </c>
      <c r="M226" t="str">
        <f t="shared" si="16"/>
        <v/>
      </c>
      <c r="N226" t="str">
        <f t="shared" si="17"/>
        <v/>
      </c>
      <c r="O226" t="str">
        <f t="shared" si="18"/>
        <v/>
      </c>
    </row>
    <row r="227" spans="11:15" x14ac:dyDescent="0.3">
      <c r="K227" t="str">
        <f t="shared" si="19"/>
        <v/>
      </c>
      <c r="L227" t="str">
        <f t="shared" si="15"/>
        <v/>
      </c>
      <c r="M227" t="str">
        <f t="shared" si="16"/>
        <v/>
      </c>
      <c r="N227" t="str">
        <f t="shared" si="17"/>
        <v/>
      </c>
      <c r="O227" t="str">
        <f t="shared" si="18"/>
        <v/>
      </c>
    </row>
    <row r="228" spans="11:15" x14ac:dyDescent="0.3">
      <c r="K228" t="str">
        <f t="shared" si="19"/>
        <v/>
      </c>
      <c r="L228" t="str">
        <f t="shared" si="15"/>
        <v/>
      </c>
      <c r="M228" t="str">
        <f t="shared" si="16"/>
        <v/>
      </c>
      <c r="N228" t="str">
        <f t="shared" si="17"/>
        <v/>
      </c>
      <c r="O228" t="str">
        <f t="shared" si="18"/>
        <v/>
      </c>
    </row>
    <row r="229" spans="11:15" x14ac:dyDescent="0.3">
      <c r="K229" t="str">
        <f t="shared" si="19"/>
        <v/>
      </c>
      <c r="L229" t="str">
        <f t="shared" si="15"/>
        <v/>
      </c>
      <c r="M229" t="str">
        <f t="shared" si="16"/>
        <v/>
      </c>
      <c r="N229" t="str">
        <f t="shared" si="17"/>
        <v/>
      </c>
      <c r="O229" t="str">
        <f t="shared" si="18"/>
        <v/>
      </c>
    </row>
    <row r="230" spans="11:15" x14ac:dyDescent="0.3">
      <c r="K230" t="str">
        <f t="shared" si="19"/>
        <v/>
      </c>
      <c r="L230" t="str">
        <f t="shared" si="15"/>
        <v/>
      </c>
      <c r="M230" t="str">
        <f t="shared" si="16"/>
        <v/>
      </c>
      <c r="N230" t="str">
        <f t="shared" si="17"/>
        <v/>
      </c>
      <c r="O230" t="str">
        <f t="shared" si="18"/>
        <v/>
      </c>
    </row>
    <row r="231" spans="11:15" x14ac:dyDescent="0.3">
      <c r="K231" t="str">
        <f t="shared" si="19"/>
        <v/>
      </c>
      <c r="L231" t="str">
        <f t="shared" si="15"/>
        <v/>
      </c>
      <c r="M231" t="str">
        <f t="shared" si="16"/>
        <v/>
      </c>
      <c r="N231" t="str">
        <f t="shared" si="17"/>
        <v/>
      </c>
      <c r="O231" t="str">
        <f t="shared" si="18"/>
        <v/>
      </c>
    </row>
    <row r="232" spans="11:15" x14ac:dyDescent="0.3">
      <c r="K232" t="str">
        <f t="shared" si="19"/>
        <v/>
      </c>
      <c r="L232" t="str">
        <f t="shared" si="15"/>
        <v/>
      </c>
      <c r="M232" t="str">
        <f t="shared" si="16"/>
        <v/>
      </c>
      <c r="N232" t="str">
        <f t="shared" si="17"/>
        <v/>
      </c>
      <c r="O232" t="str">
        <f t="shared" si="18"/>
        <v/>
      </c>
    </row>
    <row r="233" spans="11:15" x14ac:dyDescent="0.3">
      <c r="K233" t="str">
        <f t="shared" si="19"/>
        <v/>
      </c>
      <c r="L233" t="str">
        <f t="shared" si="15"/>
        <v/>
      </c>
      <c r="M233" t="str">
        <f t="shared" si="16"/>
        <v/>
      </c>
      <c r="N233" t="str">
        <f t="shared" si="17"/>
        <v/>
      </c>
      <c r="O233" t="str">
        <f t="shared" si="18"/>
        <v/>
      </c>
    </row>
    <row r="234" spans="11:15" x14ac:dyDescent="0.3">
      <c r="K234" t="str">
        <f t="shared" si="19"/>
        <v/>
      </c>
      <c r="L234" t="str">
        <f t="shared" si="15"/>
        <v/>
      </c>
      <c r="M234" t="str">
        <f t="shared" si="16"/>
        <v/>
      </c>
      <c r="N234" t="str">
        <f t="shared" si="17"/>
        <v/>
      </c>
      <c r="O234" t="str">
        <f t="shared" si="18"/>
        <v/>
      </c>
    </row>
    <row r="235" spans="11:15" x14ac:dyDescent="0.3">
      <c r="K235" t="str">
        <f t="shared" si="19"/>
        <v/>
      </c>
      <c r="L235" t="str">
        <f t="shared" si="15"/>
        <v/>
      </c>
      <c r="M235" t="str">
        <f t="shared" si="16"/>
        <v/>
      </c>
      <c r="N235" t="str">
        <f t="shared" si="17"/>
        <v/>
      </c>
      <c r="O235" t="str">
        <f t="shared" si="18"/>
        <v/>
      </c>
    </row>
    <row r="236" spans="11:15" x14ac:dyDescent="0.3">
      <c r="K236" t="str">
        <f t="shared" si="19"/>
        <v/>
      </c>
      <c r="L236" t="str">
        <f t="shared" si="15"/>
        <v/>
      </c>
      <c r="M236" t="str">
        <f t="shared" si="16"/>
        <v/>
      </c>
      <c r="N236" t="str">
        <f t="shared" si="17"/>
        <v/>
      </c>
      <c r="O236" t="str">
        <f t="shared" si="18"/>
        <v/>
      </c>
    </row>
    <row r="237" spans="11:15" x14ac:dyDescent="0.3">
      <c r="K237" t="str">
        <f t="shared" si="19"/>
        <v/>
      </c>
      <c r="L237" t="str">
        <f t="shared" si="15"/>
        <v/>
      </c>
      <c r="M237" t="str">
        <f t="shared" si="16"/>
        <v/>
      </c>
      <c r="N237" t="str">
        <f t="shared" si="17"/>
        <v/>
      </c>
      <c r="O237" t="str">
        <f t="shared" si="18"/>
        <v/>
      </c>
    </row>
    <row r="238" spans="11:15" x14ac:dyDescent="0.3">
      <c r="K238" t="str">
        <f t="shared" si="19"/>
        <v/>
      </c>
      <c r="L238" t="str">
        <f t="shared" si="15"/>
        <v/>
      </c>
      <c r="M238" t="str">
        <f t="shared" si="16"/>
        <v/>
      </c>
      <c r="N238" t="str">
        <f t="shared" si="17"/>
        <v/>
      </c>
      <c r="O238" t="str">
        <f t="shared" si="18"/>
        <v/>
      </c>
    </row>
    <row r="239" spans="11:15" x14ac:dyDescent="0.3">
      <c r="K239" t="str">
        <f t="shared" si="19"/>
        <v/>
      </c>
      <c r="L239" t="str">
        <f t="shared" si="15"/>
        <v/>
      </c>
      <c r="M239" t="str">
        <f t="shared" si="16"/>
        <v/>
      </c>
      <c r="N239" t="str">
        <f t="shared" si="17"/>
        <v/>
      </c>
      <c r="O239" t="str">
        <f t="shared" si="18"/>
        <v/>
      </c>
    </row>
    <row r="240" spans="11:15" x14ac:dyDescent="0.3">
      <c r="K240" t="str">
        <f t="shared" si="19"/>
        <v/>
      </c>
      <c r="L240" t="str">
        <f t="shared" si="15"/>
        <v/>
      </c>
      <c r="M240" t="str">
        <f t="shared" si="16"/>
        <v/>
      </c>
      <c r="N240" t="str">
        <f t="shared" si="17"/>
        <v/>
      </c>
      <c r="O240" t="str">
        <f t="shared" si="18"/>
        <v/>
      </c>
    </row>
    <row r="241" spans="11:15" x14ac:dyDescent="0.3">
      <c r="K241" t="str">
        <f t="shared" si="19"/>
        <v/>
      </c>
      <c r="L241" t="str">
        <f t="shared" si="15"/>
        <v/>
      </c>
      <c r="M241" t="str">
        <f t="shared" si="16"/>
        <v/>
      </c>
      <c r="N241" t="str">
        <f t="shared" si="17"/>
        <v/>
      </c>
      <c r="O241" t="str">
        <f t="shared" si="18"/>
        <v/>
      </c>
    </row>
    <row r="242" spans="11:15" x14ac:dyDescent="0.3">
      <c r="K242" t="str">
        <f t="shared" si="19"/>
        <v/>
      </c>
      <c r="L242" t="str">
        <f t="shared" si="15"/>
        <v/>
      </c>
      <c r="M242" t="str">
        <f t="shared" si="16"/>
        <v/>
      </c>
      <c r="N242" t="str">
        <f t="shared" si="17"/>
        <v/>
      </c>
      <c r="O242" t="str">
        <f t="shared" si="18"/>
        <v/>
      </c>
    </row>
    <row r="243" spans="11:15" x14ac:dyDescent="0.3">
      <c r="K243" t="str">
        <f t="shared" si="19"/>
        <v/>
      </c>
      <c r="L243" t="str">
        <f t="shared" si="15"/>
        <v/>
      </c>
      <c r="M243" t="str">
        <f t="shared" si="16"/>
        <v/>
      </c>
      <c r="N243" t="str">
        <f t="shared" si="17"/>
        <v/>
      </c>
      <c r="O243" t="str">
        <f t="shared" si="18"/>
        <v/>
      </c>
    </row>
    <row r="244" spans="11:15" x14ac:dyDescent="0.3">
      <c r="K244" t="str">
        <f t="shared" si="19"/>
        <v/>
      </c>
      <c r="L244" t="str">
        <f t="shared" si="15"/>
        <v/>
      </c>
      <c r="M244" t="str">
        <f t="shared" si="16"/>
        <v/>
      </c>
      <c r="N244" t="str">
        <f t="shared" si="17"/>
        <v/>
      </c>
      <c r="O244" t="str">
        <f t="shared" si="18"/>
        <v/>
      </c>
    </row>
    <row r="245" spans="11:15" x14ac:dyDescent="0.3">
      <c r="K245" t="str">
        <f t="shared" si="19"/>
        <v/>
      </c>
      <c r="L245" t="str">
        <f t="shared" si="15"/>
        <v/>
      </c>
      <c r="M245" t="str">
        <f t="shared" si="16"/>
        <v/>
      </c>
      <c r="N245" t="str">
        <f t="shared" si="17"/>
        <v/>
      </c>
      <c r="O245" t="str">
        <f t="shared" si="18"/>
        <v/>
      </c>
    </row>
    <row r="246" spans="11:15" x14ac:dyDescent="0.3">
      <c r="K246" t="str">
        <f t="shared" si="19"/>
        <v/>
      </c>
      <c r="L246" t="str">
        <f t="shared" si="15"/>
        <v/>
      </c>
      <c r="M246" t="str">
        <f t="shared" si="16"/>
        <v/>
      </c>
      <c r="N246" t="str">
        <f t="shared" si="17"/>
        <v/>
      </c>
      <c r="O246" t="str">
        <f t="shared" si="18"/>
        <v/>
      </c>
    </row>
    <row r="247" spans="11:15" x14ac:dyDescent="0.3">
      <c r="K247" t="str">
        <f t="shared" si="19"/>
        <v/>
      </c>
      <c r="L247" t="str">
        <f t="shared" si="15"/>
        <v/>
      </c>
      <c r="M247" t="str">
        <f t="shared" si="16"/>
        <v/>
      </c>
      <c r="N247" t="str">
        <f t="shared" si="17"/>
        <v/>
      </c>
      <c r="O247" t="str">
        <f t="shared" si="18"/>
        <v/>
      </c>
    </row>
    <row r="248" spans="11:15" x14ac:dyDescent="0.3">
      <c r="K248" t="str">
        <f t="shared" si="19"/>
        <v/>
      </c>
      <c r="L248" t="str">
        <f t="shared" si="15"/>
        <v/>
      </c>
      <c r="M248" t="str">
        <f t="shared" si="16"/>
        <v/>
      </c>
      <c r="N248" t="str">
        <f t="shared" si="17"/>
        <v/>
      </c>
      <c r="O248" t="str">
        <f t="shared" si="18"/>
        <v/>
      </c>
    </row>
    <row r="249" spans="11:15" x14ac:dyDescent="0.3">
      <c r="K249" t="str">
        <f t="shared" si="19"/>
        <v/>
      </c>
      <c r="L249" t="str">
        <f t="shared" si="15"/>
        <v/>
      </c>
      <c r="M249" t="str">
        <f t="shared" si="16"/>
        <v/>
      </c>
      <c r="N249" t="str">
        <f t="shared" si="17"/>
        <v/>
      </c>
      <c r="O249" t="str">
        <f t="shared" si="18"/>
        <v/>
      </c>
    </row>
    <row r="250" spans="11:15" x14ac:dyDescent="0.3">
      <c r="K250" t="str">
        <f t="shared" si="19"/>
        <v/>
      </c>
      <c r="L250" t="str">
        <f t="shared" si="15"/>
        <v/>
      </c>
      <c r="M250" t="str">
        <f t="shared" si="16"/>
        <v/>
      </c>
      <c r="N250" t="str">
        <f t="shared" si="17"/>
        <v/>
      </c>
      <c r="O250" t="str">
        <f t="shared" si="18"/>
        <v/>
      </c>
    </row>
    <row r="251" spans="11:15" x14ac:dyDescent="0.3">
      <c r="K251" t="str">
        <f t="shared" si="19"/>
        <v/>
      </c>
      <c r="L251" t="str">
        <f t="shared" si="15"/>
        <v/>
      </c>
      <c r="M251" t="str">
        <f t="shared" si="16"/>
        <v/>
      </c>
      <c r="N251" t="str">
        <f t="shared" si="17"/>
        <v/>
      </c>
      <c r="O251" t="str">
        <f t="shared" si="18"/>
        <v/>
      </c>
    </row>
    <row r="252" spans="11:15" x14ac:dyDescent="0.3">
      <c r="K252" t="str">
        <f t="shared" si="19"/>
        <v/>
      </c>
      <c r="L252" t="str">
        <f t="shared" si="15"/>
        <v/>
      </c>
      <c r="M252" t="str">
        <f t="shared" si="16"/>
        <v/>
      </c>
      <c r="N252" t="str">
        <f t="shared" si="17"/>
        <v/>
      </c>
      <c r="O252" t="str">
        <f t="shared" si="18"/>
        <v/>
      </c>
    </row>
    <row r="253" spans="11:15" x14ac:dyDescent="0.3">
      <c r="K253" t="str">
        <f t="shared" si="19"/>
        <v/>
      </c>
      <c r="L253" t="str">
        <f t="shared" si="15"/>
        <v/>
      </c>
      <c r="M253" t="str">
        <f t="shared" si="16"/>
        <v/>
      </c>
      <c r="N253" t="str">
        <f t="shared" si="17"/>
        <v/>
      </c>
      <c r="O253" t="str">
        <f t="shared" si="18"/>
        <v/>
      </c>
    </row>
    <row r="254" spans="11:15" x14ac:dyDescent="0.3">
      <c r="K254" t="str">
        <f t="shared" si="19"/>
        <v/>
      </c>
      <c r="L254" t="str">
        <f t="shared" si="15"/>
        <v/>
      </c>
      <c r="M254" t="str">
        <f t="shared" si="16"/>
        <v/>
      </c>
      <c r="N254" t="str">
        <f t="shared" si="17"/>
        <v/>
      </c>
      <c r="O254" t="str">
        <f t="shared" si="18"/>
        <v/>
      </c>
    </row>
    <row r="255" spans="11:15" x14ac:dyDescent="0.3">
      <c r="K255" t="str">
        <f t="shared" si="19"/>
        <v/>
      </c>
      <c r="L255" t="str">
        <f t="shared" si="15"/>
        <v/>
      </c>
      <c r="M255" t="str">
        <f t="shared" si="16"/>
        <v/>
      </c>
      <c r="N255" t="str">
        <f t="shared" si="17"/>
        <v/>
      </c>
      <c r="O255" t="str">
        <f t="shared" si="18"/>
        <v/>
      </c>
    </row>
    <row r="256" spans="11:15" x14ac:dyDescent="0.3">
      <c r="K256" t="str">
        <f t="shared" si="19"/>
        <v/>
      </c>
      <c r="L256" t="str">
        <f t="shared" si="15"/>
        <v/>
      </c>
      <c r="M256" t="str">
        <f t="shared" si="16"/>
        <v/>
      </c>
      <c r="N256" t="str">
        <f t="shared" si="17"/>
        <v/>
      </c>
      <c r="O256" t="str">
        <f t="shared" si="18"/>
        <v/>
      </c>
    </row>
    <row r="257" spans="11:15" x14ac:dyDescent="0.3">
      <c r="K257" t="str">
        <f t="shared" si="19"/>
        <v/>
      </c>
      <c r="L257" t="str">
        <f t="shared" ref="L257:L320" si="20">IF(A257="","",IF(ISNUMBER(--LEFT(A257,FIND(" - ",A257&amp;" - ")-1)),LEFT(A257,FIND(" - ",A257&amp;" - ")-1),TRIM(A257)))</f>
        <v/>
      </c>
      <c r="M257" t="str">
        <f t="shared" ref="M257:M320" si="21">IF(OR(K257="",K257=A257,A257=""),"",K257&amp;"|"&amp;L257)</f>
        <v/>
      </c>
      <c r="N257" t="str">
        <f t="shared" ref="N257:N320" si="22">IF(M257="","",IF(ISNUMBER(B257),B257,IFERROR(_xlfn.NUMBERVALUE(B257,".",","),0)))</f>
        <v/>
      </c>
      <c r="O257" t="str">
        <f t="shared" ref="O257:O320" si="23">IF(M257="","",IF(ISNUMBER(C257),C257,IFERROR(_xlfn.NUMBERVALUE(C257,".",","),0)))</f>
        <v/>
      </c>
    </row>
    <row r="258" spans="11:15" x14ac:dyDescent="0.3">
      <c r="K258" t="str">
        <f t="shared" ref="K258:K321" si="24">IF(OR(LEFT(B258,9)="DOANH THU",LEFT(B258,8)="SỐ LƯỢNG"),A258,K257)</f>
        <v/>
      </c>
      <c r="L258" t="str">
        <f t="shared" si="20"/>
        <v/>
      </c>
      <c r="M258" t="str">
        <f t="shared" si="21"/>
        <v/>
      </c>
      <c r="N258" t="str">
        <f t="shared" si="22"/>
        <v/>
      </c>
      <c r="O258" t="str">
        <f t="shared" si="23"/>
        <v/>
      </c>
    </row>
    <row r="259" spans="11:15" x14ac:dyDescent="0.3">
      <c r="K259" t="str">
        <f t="shared" si="24"/>
        <v/>
      </c>
      <c r="L259" t="str">
        <f t="shared" si="20"/>
        <v/>
      </c>
      <c r="M259" t="str">
        <f t="shared" si="21"/>
        <v/>
      </c>
      <c r="N259" t="str">
        <f t="shared" si="22"/>
        <v/>
      </c>
      <c r="O259" t="str">
        <f t="shared" si="23"/>
        <v/>
      </c>
    </row>
    <row r="260" spans="11:15" x14ac:dyDescent="0.3">
      <c r="K260" t="str">
        <f t="shared" si="24"/>
        <v/>
      </c>
      <c r="L260" t="str">
        <f t="shared" si="20"/>
        <v/>
      </c>
      <c r="M260" t="str">
        <f t="shared" si="21"/>
        <v/>
      </c>
      <c r="N260" t="str">
        <f t="shared" si="22"/>
        <v/>
      </c>
      <c r="O260" t="str">
        <f t="shared" si="23"/>
        <v/>
      </c>
    </row>
    <row r="261" spans="11:15" x14ac:dyDescent="0.3">
      <c r="K261" t="str">
        <f t="shared" si="24"/>
        <v/>
      </c>
      <c r="L261" t="str">
        <f t="shared" si="20"/>
        <v/>
      </c>
      <c r="M261" t="str">
        <f t="shared" si="21"/>
        <v/>
      </c>
      <c r="N261" t="str">
        <f t="shared" si="22"/>
        <v/>
      </c>
      <c r="O261" t="str">
        <f t="shared" si="23"/>
        <v/>
      </c>
    </row>
    <row r="262" spans="11:15" x14ac:dyDescent="0.3">
      <c r="K262" t="str">
        <f t="shared" si="24"/>
        <v/>
      </c>
      <c r="L262" t="str">
        <f t="shared" si="20"/>
        <v/>
      </c>
      <c r="M262" t="str">
        <f t="shared" si="21"/>
        <v/>
      </c>
      <c r="N262" t="str">
        <f t="shared" si="22"/>
        <v/>
      </c>
      <c r="O262" t="str">
        <f t="shared" si="23"/>
        <v/>
      </c>
    </row>
    <row r="263" spans="11:15" x14ac:dyDescent="0.3">
      <c r="K263" t="str">
        <f t="shared" si="24"/>
        <v/>
      </c>
      <c r="L263" t="str">
        <f t="shared" si="20"/>
        <v/>
      </c>
      <c r="M263" t="str">
        <f t="shared" si="21"/>
        <v/>
      </c>
      <c r="N263" t="str">
        <f t="shared" si="22"/>
        <v/>
      </c>
      <c r="O263" t="str">
        <f t="shared" si="23"/>
        <v/>
      </c>
    </row>
    <row r="264" spans="11:15" x14ac:dyDescent="0.3">
      <c r="K264" t="str">
        <f t="shared" si="24"/>
        <v/>
      </c>
      <c r="L264" t="str">
        <f t="shared" si="20"/>
        <v/>
      </c>
      <c r="M264" t="str">
        <f t="shared" si="21"/>
        <v/>
      </c>
      <c r="N264" t="str">
        <f t="shared" si="22"/>
        <v/>
      </c>
      <c r="O264" t="str">
        <f t="shared" si="23"/>
        <v/>
      </c>
    </row>
    <row r="265" spans="11:15" x14ac:dyDescent="0.3">
      <c r="K265" t="str">
        <f t="shared" si="24"/>
        <v/>
      </c>
      <c r="L265" t="str">
        <f t="shared" si="20"/>
        <v/>
      </c>
      <c r="M265" t="str">
        <f t="shared" si="21"/>
        <v/>
      </c>
      <c r="N265" t="str">
        <f t="shared" si="22"/>
        <v/>
      </c>
      <c r="O265" t="str">
        <f t="shared" si="23"/>
        <v/>
      </c>
    </row>
    <row r="266" spans="11:15" x14ac:dyDescent="0.3">
      <c r="K266" t="str">
        <f t="shared" si="24"/>
        <v/>
      </c>
      <c r="L266" t="str">
        <f t="shared" si="20"/>
        <v/>
      </c>
      <c r="M266" t="str">
        <f t="shared" si="21"/>
        <v/>
      </c>
      <c r="N266" t="str">
        <f t="shared" si="22"/>
        <v/>
      </c>
      <c r="O266" t="str">
        <f t="shared" si="23"/>
        <v/>
      </c>
    </row>
    <row r="267" spans="11:15" x14ac:dyDescent="0.3">
      <c r="K267" t="str">
        <f t="shared" si="24"/>
        <v/>
      </c>
      <c r="L267" t="str">
        <f t="shared" si="20"/>
        <v/>
      </c>
      <c r="M267" t="str">
        <f t="shared" si="21"/>
        <v/>
      </c>
      <c r="N267" t="str">
        <f t="shared" si="22"/>
        <v/>
      </c>
      <c r="O267" t="str">
        <f t="shared" si="23"/>
        <v/>
      </c>
    </row>
    <row r="268" spans="11:15" x14ac:dyDescent="0.3">
      <c r="K268" t="str">
        <f t="shared" si="24"/>
        <v/>
      </c>
      <c r="L268" t="str">
        <f t="shared" si="20"/>
        <v/>
      </c>
      <c r="M268" t="str">
        <f t="shared" si="21"/>
        <v/>
      </c>
      <c r="N268" t="str">
        <f t="shared" si="22"/>
        <v/>
      </c>
      <c r="O268" t="str">
        <f t="shared" si="23"/>
        <v/>
      </c>
    </row>
    <row r="269" spans="11:15" x14ac:dyDescent="0.3">
      <c r="K269" t="str">
        <f t="shared" si="24"/>
        <v/>
      </c>
      <c r="L269" t="str">
        <f t="shared" si="20"/>
        <v/>
      </c>
      <c r="M269" t="str">
        <f t="shared" si="21"/>
        <v/>
      </c>
      <c r="N269" t="str">
        <f t="shared" si="22"/>
        <v/>
      </c>
      <c r="O269" t="str">
        <f t="shared" si="23"/>
        <v/>
      </c>
    </row>
    <row r="270" spans="11:15" x14ac:dyDescent="0.3">
      <c r="K270" t="str">
        <f t="shared" si="24"/>
        <v/>
      </c>
      <c r="L270" t="str">
        <f t="shared" si="20"/>
        <v/>
      </c>
      <c r="M270" t="str">
        <f t="shared" si="21"/>
        <v/>
      </c>
      <c r="N270" t="str">
        <f t="shared" si="22"/>
        <v/>
      </c>
      <c r="O270" t="str">
        <f t="shared" si="23"/>
        <v/>
      </c>
    </row>
    <row r="271" spans="11:15" x14ac:dyDescent="0.3">
      <c r="K271" t="str">
        <f t="shared" si="24"/>
        <v/>
      </c>
      <c r="L271" t="str">
        <f t="shared" si="20"/>
        <v/>
      </c>
      <c r="M271" t="str">
        <f t="shared" si="21"/>
        <v/>
      </c>
      <c r="N271" t="str">
        <f t="shared" si="22"/>
        <v/>
      </c>
      <c r="O271" t="str">
        <f t="shared" si="23"/>
        <v/>
      </c>
    </row>
    <row r="272" spans="11:15" x14ac:dyDescent="0.3">
      <c r="K272" t="str">
        <f t="shared" si="24"/>
        <v/>
      </c>
      <c r="L272" t="str">
        <f t="shared" si="20"/>
        <v/>
      </c>
      <c r="M272" t="str">
        <f t="shared" si="21"/>
        <v/>
      </c>
      <c r="N272" t="str">
        <f t="shared" si="22"/>
        <v/>
      </c>
      <c r="O272" t="str">
        <f t="shared" si="23"/>
        <v/>
      </c>
    </row>
    <row r="273" spans="11:15" x14ac:dyDescent="0.3">
      <c r="K273" t="str">
        <f t="shared" si="24"/>
        <v/>
      </c>
      <c r="L273" t="str">
        <f t="shared" si="20"/>
        <v/>
      </c>
      <c r="M273" t="str">
        <f t="shared" si="21"/>
        <v/>
      </c>
      <c r="N273" t="str">
        <f t="shared" si="22"/>
        <v/>
      </c>
      <c r="O273" t="str">
        <f t="shared" si="23"/>
        <v/>
      </c>
    </row>
    <row r="274" spans="11:15" x14ac:dyDescent="0.3">
      <c r="K274" t="str">
        <f t="shared" si="24"/>
        <v/>
      </c>
      <c r="L274" t="str">
        <f t="shared" si="20"/>
        <v/>
      </c>
      <c r="M274" t="str">
        <f t="shared" si="21"/>
        <v/>
      </c>
      <c r="N274" t="str">
        <f t="shared" si="22"/>
        <v/>
      </c>
      <c r="O274" t="str">
        <f t="shared" si="23"/>
        <v/>
      </c>
    </row>
    <row r="275" spans="11:15" x14ac:dyDescent="0.3">
      <c r="K275" t="str">
        <f t="shared" si="24"/>
        <v/>
      </c>
      <c r="L275" t="str">
        <f t="shared" si="20"/>
        <v/>
      </c>
      <c r="M275" t="str">
        <f t="shared" si="21"/>
        <v/>
      </c>
      <c r="N275" t="str">
        <f t="shared" si="22"/>
        <v/>
      </c>
      <c r="O275" t="str">
        <f t="shared" si="23"/>
        <v/>
      </c>
    </row>
    <row r="276" spans="11:15" x14ac:dyDescent="0.3">
      <c r="K276" t="str">
        <f t="shared" si="24"/>
        <v/>
      </c>
      <c r="L276" t="str">
        <f t="shared" si="20"/>
        <v/>
      </c>
      <c r="M276" t="str">
        <f t="shared" si="21"/>
        <v/>
      </c>
      <c r="N276" t="str">
        <f t="shared" si="22"/>
        <v/>
      </c>
      <c r="O276" t="str">
        <f t="shared" si="23"/>
        <v/>
      </c>
    </row>
    <row r="277" spans="11:15" x14ac:dyDescent="0.3">
      <c r="K277" t="str">
        <f t="shared" si="24"/>
        <v/>
      </c>
      <c r="L277" t="str">
        <f t="shared" si="20"/>
        <v/>
      </c>
      <c r="M277" t="str">
        <f t="shared" si="21"/>
        <v/>
      </c>
      <c r="N277" t="str">
        <f t="shared" si="22"/>
        <v/>
      </c>
      <c r="O277" t="str">
        <f t="shared" si="23"/>
        <v/>
      </c>
    </row>
    <row r="278" spans="11:15" x14ac:dyDescent="0.3">
      <c r="K278" t="str">
        <f t="shared" si="24"/>
        <v/>
      </c>
      <c r="L278" t="str">
        <f t="shared" si="20"/>
        <v/>
      </c>
      <c r="M278" t="str">
        <f t="shared" si="21"/>
        <v/>
      </c>
      <c r="N278" t="str">
        <f t="shared" si="22"/>
        <v/>
      </c>
      <c r="O278" t="str">
        <f t="shared" si="23"/>
        <v/>
      </c>
    </row>
    <row r="279" spans="11:15" x14ac:dyDescent="0.3">
      <c r="K279" t="str">
        <f t="shared" si="24"/>
        <v/>
      </c>
      <c r="L279" t="str">
        <f t="shared" si="20"/>
        <v/>
      </c>
      <c r="M279" t="str">
        <f t="shared" si="21"/>
        <v/>
      </c>
      <c r="N279" t="str">
        <f t="shared" si="22"/>
        <v/>
      </c>
      <c r="O279" t="str">
        <f t="shared" si="23"/>
        <v/>
      </c>
    </row>
    <row r="280" spans="11:15" x14ac:dyDescent="0.3">
      <c r="K280" t="str">
        <f t="shared" si="24"/>
        <v/>
      </c>
      <c r="L280" t="str">
        <f t="shared" si="20"/>
        <v/>
      </c>
      <c r="M280" t="str">
        <f t="shared" si="21"/>
        <v/>
      </c>
      <c r="N280" t="str">
        <f t="shared" si="22"/>
        <v/>
      </c>
      <c r="O280" t="str">
        <f t="shared" si="23"/>
        <v/>
      </c>
    </row>
    <row r="281" spans="11:15" x14ac:dyDescent="0.3">
      <c r="K281" t="str">
        <f t="shared" si="24"/>
        <v/>
      </c>
      <c r="L281" t="str">
        <f t="shared" si="20"/>
        <v/>
      </c>
      <c r="M281" t="str">
        <f t="shared" si="21"/>
        <v/>
      </c>
      <c r="N281" t="str">
        <f t="shared" si="22"/>
        <v/>
      </c>
      <c r="O281" t="str">
        <f t="shared" si="23"/>
        <v/>
      </c>
    </row>
    <row r="282" spans="11:15" x14ac:dyDescent="0.3">
      <c r="K282" t="str">
        <f t="shared" si="24"/>
        <v/>
      </c>
      <c r="L282" t="str">
        <f t="shared" si="20"/>
        <v/>
      </c>
      <c r="M282" t="str">
        <f t="shared" si="21"/>
        <v/>
      </c>
      <c r="N282" t="str">
        <f t="shared" si="22"/>
        <v/>
      </c>
      <c r="O282" t="str">
        <f t="shared" si="23"/>
        <v/>
      </c>
    </row>
    <row r="283" spans="11:15" x14ac:dyDescent="0.3">
      <c r="K283" t="str">
        <f t="shared" si="24"/>
        <v/>
      </c>
      <c r="L283" t="str">
        <f t="shared" si="20"/>
        <v/>
      </c>
      <c r="M283" t="str">
        <f t="shared" si="21"/>
        <v/>
      </c>
      <c r="N283" t="str">
        <f t="shared" si="22"/>
        <v/>
      </c>
      <c r="O283" t="str">
        <f t="shared" si="23"/>
        <v/>
      </c>
    </row>
    <row r="284" spans="11:15" x14ac:dyDescent="0.3">
      <c r="K284" t="str">
        <f t="shared" si="24"/>
        <v/>
      </c>
      <c r="L284" t="str">
        <f t="shared" si="20"/>
        <v/>
      </c>
      <c r="M284" t="str">
        <f t="shared" si="21"/>
        <v/>
      </c>
      <c r="N284" t="str">
        <f t="shared" si="22"/>
        <v/>
      </c>
      <c r="O284" t="str">
        <f t="shared" si="23"/>
        <v/>
      </c>
    </row>
    <row r="285" spans="11:15" x14ac:dyDescent="0.3">
      <c r="K285" t="str">
        <f t="shared" si="24"/>
        <v/>
      </c>
      <c r="L285" t="str">
        <f t="shared" si="20"/>
        <v/>
      </c>
      <c r="M285" t="str">
        <f t="shared" si="21"/>
        <v/>
      </c>
      <c r="N285" t="str">
        <f t="shared" si="22"/>
        <v/>
      </c>
      <c r="O285" t="str">
        <f t="shared" si="23"/>
        <v/>
      </c>
    </row>
    <row r="286" spans="11:15" x14ac:dyDescent="0.3">
      <c r="K286" t="str">
        <f t="shared" si="24"/>
        <v/>
      </c>
      <c r="L286" t="str">
        <f t="shared" si="20"/>
        <v/>
      </c>
      <c r="M286" t="str">
        <f t="shared" si="21"/>
        <v/>
      </c>
      <c r="N286" t="str">
        <f t="shared" si="22"/>
        <v/>
      </c>
      <c r="O286" t="str">
        <f t="shared" si="23"/>
        <v/>
      </c>
    </row>
    <row r="287" spans="11:15" x14ac:dyDescent="0.3">
      <c r="K287" t="str">
        <f t="shared" si="24"/>
        <v/>
      </c>
      <c r="L287" t="str">
        <f t="shared" si="20"/>
        <v/>
      </c>
      <c r="M287" t="str">
        <f t="shared" si="21"/>
        <v/>
      </c>
      <c r="N287" t="str">
        <f t="shared" si="22"/>
        <v/>
      </c>
      <c r="O287" t="str">
        <f t="shared" si="23"/>
        <v/>
      </c>
    </row>
    <row r="288" spans="11:15" x14ac:dyDescent="0.3">
      <c r="K288" t="str">
        <f t="shared" si="24"/>
        <v/>
      </c>
      <c r="L288" t="str">
        <f t="shared" si="20"/>
        <v/>
      </c>
      <c r="M288" t="str">
        <f t="shared" si="21"/>
        <v/>
      </c>
      <c r="N288" t="str">
        <f t="shared" si="22"/>
        <v/>
      </c>
      <c r="O288" t="str">
        <f t="shared" si="23"/>
        <v/>
      </c>
    </row>
    <row r="289" spans="11:15" x14ac:dyDescent="0.3">
      <c r="K289" t="str">
        <f t="shared" si="24"/>
        <v/>
      </c>
      <c r="L289" t="str">
        <f t="shared" si="20"/>
        <v/>
      </c>
      <c r="M289" t="str">
        <f t="shared" si="21"/>
        <v/>
      </c>
      <c r="N289" t="str">
        <f t="shared" si="22"/>
        <v/>
      </c>
      <c r="O289" t="str">
        <f t="shared" si="23"/>
        <v/>
      </c>
    </row>
    <row r="290" spans="11:15" x14ac:dyDescent="0.3">
      <c r="K290" t="str">
        <f t="shared" si="24"/>
        <v/>
      </c>
      <c r="L290" t="str">
        <f t="shared" si="20"/>
        <v/>
      </c>
      <c r="M290" t="str">
        <f t="shared" si="21"/>
        <v/>
      </c>
      <c r="N290" t="str">
        <f t="shared" si="22"/>
        <v/>
      </c>
      <c r="O290" t="str">
        <f t="shared" si="23"/>
        <v/>
      </c>
    </row>
    <row r="291" spans="11:15" x14ac:dyDescent="0.3">
      <c r="K291" t="str">
        <f t="shared" si="24"/>
        <v/>
      </c>
      <c r="L291" t="str">
        <f t="shared" si="20"/>
        <v/>
      </c>
      <c r="M291" t="str">
        <f t="shared" si="21"/>
        <v/>
      </c>
      <c r="N291" t="str">
        <f t="shared" si="22"/>
        <v/>
      </c>
      <c r="O291" t="str">
        <f t="shared" si="23"/>
        <v/>
      </c>
    </row>
    <row r="292" spans="11:15" x14ac:dyDescent="0.3">
      <c r="K292" t="str">
        <f t="shared" si="24"/>
        <v/>
      </c>
      <c r="L292" t="str">
        <f t="shared" si="20"/>
        <v/>
      </c>
      <c r="M292" t="str">
        <f t="shared" si="21"/>
        <v/>
      </c>
      <c r="N292" t="str">
        <f t="shared" si="22"/>
        <v/>
      </c>
      <c r="O292" t="str">
        <f t="shared" si="23"/>
        <v/>
      </c>
    </row>
    <row r="293" spans="11:15" x14ac:dyDescent="0.3">
      <c r="K293" t="str">
        <f t="shared" si="24"/>
        <v/>
      </c>
      <c r="L293" t="str">
        <f t="shared" si="20"/>
        <v/>
      </c>
      <c r="M293" t="str">
        <f t="shared" si="21"/>
        <v/>
      </c>
      <c r="N293" t="str">
        <f t="shared" si="22"/>
        <v/>
      </c>
      <c r="O293" t="str">
        <f t="shared" si="23"/>
        <v/>
      </c>
    </row>
    <row r="294" spans="11:15" x14ac:dyDescent="0.3">
      <c r="K294" t="str">
        <f t="shared" si="24"/>
        <v/>
      </c>
      <c r="L294" t="str">
        <f t="shared" si="20"/>
        <v/>
      </c>
      <c r="M294" t="str">
        <f t="shared" si="21"/>
        <v/>
      </c>
      <c r="N294" t="str">
        <f t="shared" si="22"/>
        <v/>
      </c>
      <c r="O294" t="str">
        <f t="shared" si="23"/>
        <v/>
      </c>
    </row>
    <row r="295" spans="11:15" x14ac:dyDescent="0.3">
      <c r="K295" t="str">
        <f t="shared" si="24"/>
        <v/>
      </c>
      <c r="L295" t="str">
        <f t="shared" si="20"/>
        <v/>
      </c>
      <c r="M295" t="str">
        <f t="shared" si="21"/>
        <v/>
      </c>
      <c r="N295" t="str">
        <f t="shared" si="22"/>
        <v/>
      </c>
      <c r="O295" t="str">
        <f t="shared" si="23"/>
        <v/>
      </c>
    </row>
    <row r="296" spans="11:15" x14ac:dyDescent="0.3">
      <c r="K296" t="str">
        <f t="shared" si="24"/>
        <v/>
      </c>
      <c r="L296" t="str">
        <f t="shared" si="20"/>
        <v/>
      </c>
      <c r="M296" t="str">
        <f t="shared" si="21"/>
        <v/>
      </c>
      <c r="N296" t="str">
        <f t="shared" si="22"/>
        <v/>
      </c>
      <c r="O296" t="str">
        <f t="shared" si="23"/>
        <v/>
      </c>
    </row>
    <row r="297" spans="11:15" x14ac:dyDescent="0.3">
      <c r="K297" t="str">
        <f t="shared" si="24"/>
        <v/>
      </c>
      <c r="L297" t="str">
        <f t="shared" si="20"/>
        <v/>
      </c>
      <c r="M297" t="str">
        <f t="shared" si="21"/>
        <v/>
      </c>
      <c r="N297" t="str">
        <f t="shared" si="22"/>
        <v/>
      </c>
      <c r="O297" t="str">
        <f t="shared" si="23"/>
        <v/>
      </c>
    </row>
    <row r="298" spans="11:15" x14ac:dyDescent="0.3">
      <c r="K298" t="str">
        <f t="shared" si="24"/>
        <v/>
      </c>
      <c r="L298" t="str">
        <f t="shared" si="20"/>
        <v/>
      </c>
      <c r="M298" t="str">
        <f t="shared" si="21"/>
        <v/>
      </c>
      <c r="N298" t="str">
        <f t="shared" si="22"/>
        <v/>
      </c>
      <c r="O298" t="str">
        <f t="shared" si="23"/>
        <v/>
      </c>
    </row>
    <row r="299" spans="11:15" x14ac:dyDescent="0.3">
      <c r="K299" t="str">
        <f t="shared" si="24"/>
        <v/>
      </c>
      <c r="L299" t="str">
        <f t="shared" si="20"/>
        <v/>
      </c>
      <c r="M299" t="str">
        <f t="shared" si="21"/>
        <v/>
      </c>
      <c r="N299" t="str">
        <f t="shared" si="22"/>
        <v/>
      </c>
      <c r="O299" t="str">
        <f t="shared" si="23"/>
        <v/>
      </c>
    </row>
    <row r="300" spans="11:15" x14ac:dyDescent="0.3">
      <c r="K300" t="str">
        <f t="shared" si="24"/>
        <v/>
      </c>
      <c r="L300" t="str">
        <f t="shared" si="20"/>
        <v/>
      </c>
      <c r="M300" t="str">
        <f t="shared" si="21"/>
        <v/>
      </c>
      <c r="N300" t="str">
        <f t="shared" si="22"/>
        <v/>
      </c>
      <c r="O300" t="str">
        <f t="shared" si="23"/>
        <v/>
      </c>
    </row>
    <row r="301" spans="11:15" x14ac:dyDescent="0.3">
      <c r="K301" t="str">
        <f t="shared" si="24"/>
        <v/>
      </c>
      <c r="L301" t="str">
        <f t="shared" si="20"/>
        <v/>
      </c>
      <c r="M301" t="str">
        <f t="shared" si="21"/>
        <v/>
      </c>
      <c r="N301" t="str">
        <f t="shared" si="22"/>
        <v/>
      </c>
      <c r="O301" t="str">
        <f t="shared" si="23"/>
        <v/>
      </c>
    </row>
    <row r="302" spans="11:15" x14ac:dyDescent="0.3">
      <c r="K302" t="str">
        <f t="shared" si="24"/>
        <v/>
      </c>
      <c r="L302" t="str">
        <f t="shared" si="20"/>
        <v/>
      </c>
      <c r="M302" t="str">
        <f t="shared" si="21"/>
        <v/>
      </c>
      <c r="N302" t="str">
        <f t="shared" si="22"/>
        <v/>
      </c>
      <c r="O302" t="str">
        <f t="shared" si="23"/>
        <v/>
      </c>
    </row>
    <row r="303" spans="11:15" x14ac:dyDescent="0.3">
      <c r="K303" t="str">
        <f t="shared" si="24"/>
        <v/>
      </c>
      <c r="L303" t="str">
        <f t="shared" si="20"/>
        <v/>
      </c>
      <c r="M303" t="str">
        <f t="shared" si="21"/>
        <v/>
      </c>
      <c r="N303" t="str">
        <f t="shared" si="22"/>
        <v/>
      </c>
      <c r="O303" t="str">
        <f t="shared" si="23"/>
        <v/>
      </c>
    </row>
    <row r="304" spans="11:15" x14ac:dyDescent="0.3">
      <c r="K304" t="str">
        <f t="shared" si="24"/>
        <v/>
      </c>
      <c r="L304" t="str">
        <f t="shared" si="20"/>
        <v/>
      </c>
      <c r="M304" t="str">
        <f t="shared" si="21"/>
        <v/>
      </c>
      <c r="N304" t="str">
        <f t="shared" si="22"/>
        <v/>
      </c>
      <c r="O304" t="str">
        <f t="shared" si="23"/>
        <v/>
      </c>
    </row>
    <row r="305" spans="11:15" x14ac:dyDescent="0.3">
      <c r="K305" t="str">
        <f t="shared" si="24"/>
        <v/>
      </c>
      <c r="L305" t="str">
        <f t="shared" si="20"/>
        <v/>
      </c>
      <c r="M305" t="str">
        <f t="shared" si="21"/>
        <v/>
      </c>
      <c r="N305" t="str">
        <f t="shared" si="22"/>
        <v/>
      </c>
      <c r="O305" t="str">
        <f t="shared" si="23"/>
        <v/>
      </c>
    </row>
    <row r="306" spans="11:15" x14ac:dyDescent="0.3">
      <c r="K306" t="str">
        <f t="shared" si="24"/>
        <v/>
      </c>
      <c r="L306" t="str">
        <f t="shared" si="20"/>
        <v/>
      </c>
      <c r="M306" t="str">
        <f t="shared" si="21"/>
        <v/>
      </c>
      <c r="N306" t="str">
        <f t="shared" si="22"/>
        <v/>
      </c>
      <c r="O306" t="str">
        <f t="shared" si="23"/>
        <v/>
      </c>
    </row>
    <row r="307" spans="11:15" x14ac:dyDescent="0.3">
      <c r="K307" t="str">
        <f t="shared" si="24"/>
        <v/>
      </c>
      <c r="L307" t="str">
        <f t="shared" si="20"/>
        <v/>
      </c>
      <c r="M307" t="str">
        <f t="shared" si="21"/>
        <v/>
      </c>
      <c r="N307" t="str">
        <f t="shared" si="22"/>
        <v/>
      </c>
      <c r="O307" t="str">
        <f t="shared" si="23"/>
        <v/>
      </c>
    </row>
    <row r="308" spans="11:15" x14ac:dyDescent="0.3">
      <c r="K308" t="str">
        <f t="shared" si="24"/>
        <v/>
      </c>
      <c r="L308" t="str">
        <f t="shared" si="20"/>
        <v/>
      </c>
      <c r="M308" t="str">
        <f t="shared" si="21"/>
        <v/>
      </c>
      <c r="N308" t="str">
        <f t="shared" si="22"/>
        <v/>
      </c>
      <c r="O308" t="str">
        <f t="shared" si="23"/>
        <v/>
      </c>
    </row>
    <row r="309" spans="11:15" x14ac:dyDescent="0.3">
      <c r="K309" t="str">
        <f t="shared" si="24"/>
        <v/>
      </c>
      <c r="L309" t="str">
        <f t="shared" si="20"/>
        <v/>
      </c>
      <c r="M309" t="str">
        <f t="shared" si="21"/>
        <v/>
      </c>
      <c r="N309" t="str">
        <f t="shared" si="22"/>
        <v/>
      </c>
      <c r="O309" t="str">
        <f t="shared" si="23"/>
        <v/>
      </c>
    </row>
    <row r="310" spans="11:15" x14ac:dyDescent="0.3">
      <c r="K310" t="str">
        <f t="shared" si="24"/>
        <v/>
      </c>
      <c r="L310" t="str">
        <f t="shared" si="20"/>
        <v/>
      </c>
      <c r="M310" t="str">
        <f t="shared" si="21"/>
        <v/>
      </c>
      <c r="N310" t="str">
        <f t="shared" si="22"/>
        <v/>
      </c>
      <c r="O310" t="str">
        <f t="shared" si="23"/>
        <v/>
      </c>
    </row>
    <row r="311" spans="11:15" x14ac:dyDescent="0.3">
      <c r="K311" t="str">
        <f t="shared" si="24"/>
        <v/>
      </c>
      <c r="L311" t="str">
        <f t="shared" si="20"/>
        <v/>
      </c>
      <c r="M311" t="str">
        <f t="shared" si="21"/>
        <v/>
      </c>
      <c r="N311" t="str">
        <f t="shared" si="22"/>
        <v/>
      </c>
      <c r="O311" t="str">
        <f t="shared" si="23"/>
        <v/>
      </c>
    </row>
    <row r="312" spans="11:15" x14ac:dyDescent="0.3">
      <c r="K312" t="str">
        <f t="shared" si="24"/>
        <v/>
      </c>
      <c r="L312" t="str">
        <f t="shared" si="20"/>
        <v/>
      </c>
      <c r="M312" t="str">
        <f t="shared" si="21"/>
        <v/>
      </c>
      <c r="N312" t="str">
        <f t="shared" si="22"/>
        <v/>
      </c>
      <c r="O312" t="str">
        <f t="shared" si="23"/>
        <v/>
      </c>
    </row>
    <row r="313" spans="11:15" x14ac:dyDescent="0.3">
      <c r="K313" t="str">
        <f t="shared" si="24"/>
        <v/>
      </c>
      <c r="L313" t="str">
        <f t="shared" si="20"/>
        <v/>
      </c>
      <c r="M313" t="str">
        <f t="shared" si="21"/>
        <v/>
      </c>
      <c r="N313" t="str">
        <f t="shared" si="22"/>
        <v/>
      </c>
      <c r="O313" t="str">
        <f t="shared" si="23"/>
        <v/>
      </c>
    </row>
    <row r="314" spans="11:15" x14ac:dyDescent="0.3">
      <c r="K314" t="str">
        <f t="shared" si="24"/>
        <v/>
      </c>
      <c r="L314" t="str">
        <f t="shared" si="20"/>
        <v/>
      </c>
      <c r="M314" t="str">
        <f t="shared" si="21"/>
        <v/>
      </c>
      <c r="N314" t="str">
        <f t="shared" si="22"/>
        <v/>
      </c>
      <c r="O314" t="str">
        <f t="shared" si="23"/>
        <v/>
      </c>
    </row>
    <row r="315" spans="11:15" x14ac:dyDescent="0.3">
      <c r="K315" t="str">
        <f t="shared" si="24"/>
        <v/>
      </c>
      <c r="L315" t="str">
        <f t="shared" si="20"/>
        <v/>
      </c>
      <c r="M315" t="str">
        <f t="shared" si="21"/>
        <v/>
      </c>
      <c r="N315" t="str">
        <f t="shared" si="22"/>
        <v/>
      </c>
      <c r="O315" t="str">
        <f t="shared" si="23"/>
        <v/>
      </c>
    </row>
    <row r="316" spans="11:15" x14ac:dyDescent="0.3">
      <c r="K316" t="str">
        <f t="shared" si="24"/>
        <v/>
      </c>
      <c r="L316" t="str">
        <f t="shared" si="20"/>
        <v/>
      </c>
      <c r="M316" t="str">
        <f t="shared" si="21"/>
        <v/>
      </c>
      <c r="N316" t="str">
        <f t="shared" si="22"/>
        <v/>
      </c>
      <c r="O316" t="str">
        <f t="shared" si="23"/>
        <v/>
      </c>
    </row>
    <row r="317" spans="11:15" x14ac:dyDescent="0.3">
      <c r="K317" t="str">
        <f t="shared" si="24"/>
        <v/>
      </c>
      <c r="L317" t="str">
        <f t="shared" si="20"/>
        <v/>
      </c>
      <c r="M317" t="str">
        <f t="shared" si="21"/>
        <v/>
      </c>
      <c r="N317" t="str">
        <f t="shared" si="22"/>
        <v/>
      </c>
      <c r="O317" t="str">
        <f t="shared" si="23"/>
        <v/>
      </c>
    </row>
    <row r="318" spans="11:15" x14ac:dyDescent="0.3">
      <c r="K318" t="str">
        <f t="shared" si="24"/>
        <v/>
      </c>
      <c r="L318" t="str">
        <f t="shared" si="20"/>
        <v/>
      </c>
      <c r="M318" t="str">
        <f t="shared" si="21"/>
        <v/>
      </c>
      <c r="N318" t="str">
        <f t="shared" si="22"/>
        <v/>
      </c>
      <c r="O318" t="str">
        <f t="shared" si="23"/>
        <v/>
      </c>
    </row>
    <row r="319" spans="11:15" x14ac:dyDescent="0.3">
      <c r="K319" t="str">
        <f t="shared" si="24"/>
        <v/>
      </c>
      <c r="L319" t="str">
        <f t="shared" si="20"/>
        <v/>
      </c>
      <c r="M319" t="str">
        <f t="shared" si="21"/>
        <v/>
      </c>
      <c r="N319" t="str">
        <f t="shared" si="22"/>
        <v/>
      </c>
      <c r="O319" t="str">
        <f t="shared" si="23"/>
        <v/>
      </c>
    </row>
    <row r="320" spans="11:15" x14ac:dyDescent="0.3">
      <c r="K320" t="str">
        <f t="shared" si="24"/>
        <v/>
      </c>
      <c r="L320" t="str">
        <f t="shared" si="20"/>
        <v/>
      </c>
      <c r="M320" t="str">
        <f t="shared" si="21"/>
        <v/>
      </c>
      <c r="N320" t="str">
        <f t="shared" si="22"/>
        <v/>
      </c>
      <c r="O320" t="str">
        <f t="shared" si="23"/>
        <v/>
      </c>
    </row>
    <row r="321" spans="11:15" x14ac:dyDescent="0.3">
      <c r="K321" t="str">
        <f t="shared" si="24"/>
        <v/>
      </c>
      <c r="L321" t="str">
        <f t="shared" ref="L321:L384" si="25">IF(A321="","",IF(ISNUMBER(--LEFT(A321,FIND(" - ",A321&amp;" - ")-1)),LEFT(A321,FIND(" - ",A321&amp;" - ")-1),TRIM(A321)))</f>
        <v/>
      </c>
      <c r="M321" t="str">
        <f t="shared" ref="M321:M384" si="26">IF(OR(K321="",K321=A321,A321=""),"",K321&amp;"|"&amp;L321)</f>
        <v/>
      </c>
      <c r="N321" t="str">
        <f t="shared" ref="N321:N384" si="27">IF(M321="","",IF(ISNUMBER(B321),B321,IFERROR(_xlfn.NUMBERVALUE(B321,".",","),0)))</f>
        <v/>
      </c>
      <c r="O321" t="str">
        <f t="shared" ref="O321:O384" si="28">IF(M321="","",IF(ISNUMBER(C321),C321,IFERROR(_xlfn.NUMBERVALUE(C321,".",","),0)))</f>
        <v/>
      </c>
    </row>
    <row r="322" spans="11:15" x14ac:dyDescent="0.3">
      <c r="K322" t="str">
        <f t="shared" ref="K322:K385" si="29">IF(OR(LEFT(B322,9)="DOANH THU",LEFT(B322,8)="SỐ LƯỢNG"),A322,K321)</f>
        <v/>
      </c>
      <c r="L322" t="str">
        <f t="shared" si="25"/>
        <v/>
      </c>
      <c r="M322" t="str">
        <f t="shared" si="26"/>
        <v/>
      </c>
      <c r="N322" t="str">
        <f t="shared" si="27"/>
        <v/>
      </c>
      <c r="O322" t="str">
        <f t="shared" si="28"/>
        <v/>
      </c>
    </row>
    <row r="323" spans="11:15" x14ac:dyDescent="0.3">
      <c r="K323" t="str">
        <f t="shared" si="29"/>
        <v/>
      </c>
      <c r="L323" t="str">
        <f t="shared" si="25"/>
        <v/>
      </c>
      <c r="M323" t="str">
        <f t="shared" si="26"/>
        <v/>
      </c>
      <c r="N323" t="str">
        <f t="shared" si="27"/>
        <v/>
      </c>
      <c r="O323" t="str">
        <f t="shared" si="28"/>
        <v/>
      </c>
    </row>
    <row r="324" spans="11:15" x14ac:dyDescent="0.3">
      <c r="K324" t="str">
        <f t="shared" si="29"/>
        <v/>
      </c>
      <c r="L324" t="str">
        <f t="shared" si="25"/>
        <v/>
      </c>
      <c r="M324" t="str">
        <f t="shared" si="26"/>
        <v/>
      </c>
      <c r="N324" t="str">
        <f t="shared" si="27"/>
        <v/>
      </c>
      <c r="O324" t="str">
        <f t="shared" si="28"/>
        <v/>
      </c>
    </row>
    <row r="325" spans="11:15" x14ac:dyDescent="0.3">
      <c r="K325" t="str">
        <f t="shared" si="29"/>
        <v/>
      </c>
      <c r="L325" t="str">
        <f t="shared" si="25"/>
        <v/>
      </c>
      <c r="M325" t="str">
        <f t="shared" si="26"/>
        <v/>
      </c>
      <c r="N325" t="str">
        <f t="shared" si="27"/>
        <v/>
      </c>
      <c r="O325" t="str">
        <f t="shared" si="28"/>
        <v/>
      </c>
    </row>
    <row r="326" spans="11:15" x14ac:dyDescent="0.3">
      <c r="K326" t="str">
        <f t="shared" si="29"/>
        <v/>
      </c>
      <c r="L326" t="str">
        <f t="shared" si="25"/>
        <v/>
      </c>
      <c r="M326" t="str">
        <f t="shared" si="26"/>
        <v/>
      </c>
      <c r="N326" t="str">
        <f t="shared" si="27"/>
        <v/>
      </c>
      <c r="O326" t="str">
        <f t="shared" si="28"/>
        <v/>
      </c>
    </row>
    <row r="327" spans="11:15" x14ac:dyDescent="0.3">
      <c r="K327" t="str">
        <f t="shared" si="29"/>
        <v/>
      </c>
      <c r="L327" t="str">
        <f t="shared" si="25"/>
        <v/>
      </c>
      <c r="M327" t="str">
        <f t="shared" si="26"/>
        <v/>
      </c>
      <c r="N327" t="str">
        <f t="shared" si="27"/>
        <v/>
      </c>
      <c r="O327" t="str">
        <f t="shared" si="28"/>
        <v/>
      </c>
    </row>
    <row r="328" spans="11:15" x14ac:dyDescent="0.3">
      <c r="K328" t="str">
        <f t="shared" si="29"/>
        <v/>
      </c>
      <c r="L328" t="str">
        <f t="shared" si="25"/>
        <v/>
      </c>
      <c r="M328" t="str">
        <f t="shared" si="26"/>
        <v/>
      </c>
      <c r="N328" t="str">
        <f t="shared" si="27"/>
        <v/>
      </c>
      <c r="O328" t="str">
        <f t="shared" si="28"/>
        <v/>
      </c>
    </row>
    <row r="329" spans="11:15" x14ac:dyDescent="0.3">
      <c r="K329" t="str">
        <f t="shared" si="29"/>
        <v/>
      </c>
      <c r="L329" t="str">
        <f t="shared" si="25"/>
        <v/>
      </c>
      <c r="M329" t="str">
        <f t="shared" si="26"/>
        <v/>
      </c>
      <c r="N329" t="str">
        <f t="shared" si="27"/>
        <v/>
      </c>
      <c r="O329" t="str">
        <f t="shared" si="28"/>
        <v/>
      </c>
    </row>
    <row r="330" spans="11:15" x14ac:dyDescent="0.3">
      <c r="K330" t="str">
        <f t="shared" si="29"/>
        <v/>
      </c>
      <c r="L330" t="str">
        <f t="shared" si="25"/>
        <v/>
      </c>
      <c r="M330" t="str">
        <f t="shared" si="26"/>
        <v/>
      </c>
      <c r="N330" t="str">
        <f t="shared" si="27"/>
        <v/>
      </c>
      <c r="O330" t="str">
        <f t="shared" si="28"/>
        <v/>
      </c>
    </row>
    <row r="331" spans="11:15" x14ac:dyDescent="0.3">
      <c r="K331" t="str">
        <f t="shared" si="29"/>
        <v/>
      </c>
      <c r="L331" t="str">
        <f t="shared" si="25"/>
        <v/>
      </c>
      <c r="M331" t="str">
        <f t="shared" si="26"/>
        <v/>
      </c>
      <c r="N331" t="str">
        <f t="shared" si="27"/>
        <v/>
      </c>
      <c r="O331" t="str">
        <f t="shared" si="28"/>
        <v/>
      </c>
    </row>
    <row r="332" spans="11:15" x14ac:dyDescent="0.3">
      <c r="K332" t="str">
        <f t="shared" si="29"/>
        <v/>
      </c>
      <c r="L332" t="str">
        <f t="shared" si="25"/>
        <v/>
      </c>
      <c r="M332" t="str">
        <f t="shared" si="26"/>
        <v/>
      </c>
      <c r="N332" t="str">
        <f t="shared" si="27"/>
        <v/>
      </c>
      <c r="O332" t="str">
        <f t="shared" si="28"/>
        <v/>
      </c>
    </row>
    <row r="333" spans="11:15" x14ac:dyDescent="0.3">
      <c r="K333" t="str">
        <f t="shared" si="29"/>
        <v/>
      </c>
      <c r="L333" t="str">
        <f t="shared" si="25"/>
        <v/>
      </c>
      <c r="M333" t="str">
        <f t="shared" si="26"/>
        <v/>
      </c>
      <c r="N333" t="str">
        <f t="shared" si="27"/>
        <v/>
      </c>
      <c r="O333" t="str">
        <f t="shared" si="28"/>
        <v/>
      </c>
    </row>
    <row r="334" spans="11:15" x14ac:dyDescent="0.3">
      <c r="K334" t="str">
        <f t="shared" si="29"/>
        <v/>
      </c>
      <c r="L334" t="str">
        <f t="shared" si="25"/>
        <v/>
      </c>
      <c r="M334" t="str">
        <f t="shared" si="26"/>
        <v/>
      </c>
      <c r="N334" t="str">
        <f t="shared" si="27"/>
        <v/>
      </c>
      <c r="O334" t="str">
        <f t="shared" si="28"/>
        <v/>
      </c>
    </row>
    <row r="335" spans="11:15" x14ac:dyDescent="0.3">
      <c r="K335" t="str">
        <f t="shared" si="29"/>
        <v/>
      </c>
      <c r="L335" t="str">
        <f t="shared" si="25"/>
        <v/>
      </c>
      <c r="M335" t="str">
        <f t="shared" si="26"/>
        <v/>
      </c>
      <c r="N335" t="str">
        <f t="shared" si="27"/>
        <v/>
      </c>
      <c r="O335" t="str">
        <f t="shared" si="28"/>
        <v/>
      </c>
    </row>
    <row r="336" spans="11:15" x14ac:dyDescent="0.3">
      <c r="K336" t="str">
        <f t="shared" si="29"/>
        <v/>
      </c>
      <c r="L336" t="str">
        <f t="shared" si="25"/>
        <v/>
      </c>
      <c r="M336" t="str">
        <f t="shared" si="26"/>
        <v/>
      </c>
      <c r="N336" t="str">
        <f t="shared" si="27"/>
        <v/>
      </c>
      <c r="O336" t="str">
        <f t="shared" si="28"/>
        <v/>
      </c>
    </row>
    <row r="337" spans="11:15" x14ac:dyDescent="0.3">
      <c r="K337" t="str">
        <f t="shared" si="29"/>
        <v/>
      </c>
      <c r="L337" t="str">
        <f t="shared" si="25"/>
        <v/>
      </c>
      <c r="M337" t="str">
        <f t="shared" si="26"/>
        <v/>
      </c>
      <c r="N337" t="str">
        <f t="shared" si="27"/>
        <v/>
      </c>
      <c r="O337" t="str">
        <f t="shared" si="28"/>
        <v/>
      </c>
    </row>
    <row r="338" spans="11:15" x14ac:dyDescent="0.3">
      <c r="K338" t="str">
        <f t="shared" si="29"/>
        <v/>
      </c>
      <c r="L338" t="str">
        <f t="shared" si="25"/>
        <v/>
      </c>
      <c r="M338" t="str">
        <f t="shared" si="26"/>
        <v/>
      </c>
      <c r="N338" t="str">
        <f t="shared" si="27"/>
        <v/>
      </c>
      <c r="O338" t="str">
        <f t="shared" si="28"/>
        <v/>
      </c>
    </row>
    <row r="339" spans="11:15" x14ac:dyDescent="0.3">
      <c r="K339" t="str">
        <f t="shared" si="29"/>
        <v/>
      </c>
      <c r="L339" t="str">
        <f t="shared" si="25"/>
        <v/>
      </c>
      <c r="M339" t="str">
        <f t="shared" si="26"/>
        <v/>
      </c>
      <c r="N339" t="str">
        <f t="shared" si="27"/>
        <v/>
      </c>
      <c r="O339" t="str">
        <f t="shared" si="28"/>
        <v/>
      </c>
    </row>
    <row r="340" spans="11:15" x14ac:dyDescent="0.3">
      <c r="K340" t="str">
        <f t="shared" si="29"/>
        <v/>
      </c>
      <c r="L340" t="str">
        <f t="shared" si="25"/>
        <v/>
      </c>
      <c r="M340" t="str">
        <f t="shared" si="26"/>
        <v/>
      </c>
      <c r="N340" t="str">
        <f t="shared" si="27"/>
        <v/>
      </c>
      <c r="O340" t="str">
        <f t="shared" si="28"/>
        <v/>
      </c>
    </row>
    <row r="341" spans="11:15" x14ac:dyDescent="0.3">
      <c r="K341" t="str">
        <f t="shared" si="29"/>
        <v/>
      </c>
      <c r="L341" t="str">
        <f t="shared" si="25"/>
        <v/>
      </c>
      <c r="M341" t="str">
        <f t="shared" si="26"/>
        <v/>
      </c>
      <c r="N341" t="str">
        <f t="shared" si="27"/>
        <v/>
      </c>
      <c r="O341" t="str">
        <f t="shared" si="28"/>
        <v/>
      </c>
    </row>
    <row r="342" spans="11:15" x14ac:dyDescent="0.3">
      <c r="K342" t="str">
        <f t="shared" si="29"/>
        <v/>
      </c>
      <c r="L342" t="str">
        <f t="shared" si="25"/>
        <v/>
      </c>
      <c r="M342" t="str">
        <f t="shared" si="26"/>
        <v/>
      </c>
      <c r="N342" t="str">
        <f t="shared" si="27"/>
        <v/>
      </c>
      <c r="O342" t="str">
        <f t="shared" si="28"/>
        <v/>
      </c>
    </row>
    <row r="343" spans="11:15" x14ac:dyDescent="0.3">
      <c r="K343" t="str">
        <f t="shared" si="29"/>
        <v/>
      </c>
      <c r="L343" t="str">
        <f t="shared" si="25"/>
        <v/>
      </c>
      <c r="M343" t="str">
        <f t="shared" si="26"/>
        <v/>
      </c>
      <c r="N343" t="str">
        <f t="shared" si="27"/>
        <v/>
      </c>
      <c r="O343" t="str">
        <f t="shared" si="28"/>
        <v/>
      </c>
    </row>
    <row r="344" spans="11:15" x14ac:dyDescent="0.3">
      <c r="K344" t="str">
        <f t="shared" si="29"/>
        <v/>
      </c>
      <c r="L344" t="str">
        <f t="shared" si="25"/>
        <v/>
      </c>
      <c r="M344" t="str">
        <f t="shared" si="26"/>
        <v/>
      </c>
      <c r="N344" t="str">
        <f t="shared" si="27"/>
        <v/>
      </c>
      <c r="O344" t="str">
        <f t="shared" si="28"/>
        <v/>
      </c>
    </row>
    <row r="345" spans="11:15" x14ac:dyDescent="0.3">
      <c r="K345" t="str">
        <f t="shared" si="29"/>
        <v/>
      </c>
      <c r="L345" t="str">
        <f t="shared" si="25"/>
        <v/>
      </c>
      <c r="M345" t="str">
        <f t="shared" si="26"/>
        <v/>
      </c>
      <c r="N345" t="str">
        <f t="shared" si="27"/>
        <v/>
      </c>
      <c r="O345" t="str">
        <f t="shared" si="28"/>
        <v/>
      </c>
    </row>
    <row r="346" spans="11:15" x14ac:dyDescent="0.3">
      <c r="K346" t="str">
        <f t="shared" si="29"/>
        <v/>
      </c>
      <c r="L346" t="str">
        <f t="shared" si="25"/>
        <v/>
      </c>
      <c r="M346" t="str">
        <f t="shared" si="26"/>
        <v/>
      </c>
      <c r="N346" t="str">
        <f t="shared" si="27"/>
        <v/>
      </c>
      <c r="O346" t="str">
        <f t="shared" si="28"/>
        <v/>
      </c>
    </row>
    <row r="347" spans="11:15" x14ac:dyDescent="0.3">
      <c r="K347" t="str">
        <f t="shared" si="29"/>
        <v/>
      </c>
      <c r="L347" t="str">
        <f t="shared" si="25"/>
        <v/>
      </c>
      <c r="M347" t="str">
        <f t="shared" si="26"/>
        <v/>
      </c>
      <c r="N347" t="str">
        <f t="shared" si="27"/>
        <v/>
      </c>
      <c r="O347" t="str">
        <f t="shared" si="28"/>
        <v/>
      </c>
    </row>
    <row r="348" spans="11:15" x14ac:dyDescent="0.3">
      <c r="K348" t="str">
        <f t="shared" si="29"/>
        <v/>
      </c>
      <c r="L348" t="str">
        <f t="shared" si="25"/>
        <v/>
      </c>
      <c r="M348" t="str">
        <f t="shared" si="26"/>
        <v/>
      </c>
      <c r="N348" t="str">
        <f t="shared" si="27"/>
        <v/>
      </c>
      <c r="O348" t="str">
        <f t="shared" si="28"/>
        <v/>
      </c>
    </row>
    <row r="349" spans="11:15" x14ac:dyDescent="0.3">
      <c r="K349" t="str">
        <f t="shared" si="29"/>
        <v/>
      </c>
      <c r="L349" t="str">
        <f t="shared" si="25"/>
        <v/>
      </c>
      <c r="M349" t="str">
        <f t="shared" si="26"/>
        <v/>
      </c>
      <c r="N349" t="str">
        <f t="shared" si="27"/>
        <v/>
      </c>
      <c r="O349" t="str">
        <f t="shared" si="28"/>
        <v/>
      </c>
    </row>
    <row r="350" spans="11:15" x14ac:dyDescent="0.3">
      <c r="K350" t="str">
        <f t="shared" si="29"/>
        <v/>
      </c>
      <c r="L350" t="str">
        <f t="shared" si="25"/>
        <v/>
      </c>
      <c r="M350" t="str">
        <f t="shared" si="26"/>
        <v/>
      </c>
      <c r="N350" t="str">
        <f t="shared" si="27"/>
        <v/>
      </c>
      <c r="O350" t="str">
        <f t="shared" si="28"/>
        <v/>
      </c>
    </row>
    <row r="351" spans="11:15" x14ac:dyDescent="0.3">
      <c r="K351" t="str">
        <f t="shared" si="29"/>
        <v/>
      </c>
      <c r="L351" t="str">
        <f t="shared" si="25"/>
        <v/>
      </c>
      <c r="M351" t="str">
        <f t="shared" si="26"/>
        <v/>
      </c>
      <c r="N351" t="str">
        <f t="shared" si="27"/>
        <v/>
      </c>
      <c r="O351" t="str">
        <f t="shared" si="28"/>
        <v/>
      </c>
    </row>
    <row r="352" spans="11:15" x14ac:dyDescent="0.3">
      <c r="K352" t="str">
        <f t="shared" si="29"/>
        <v/>
      </c>
      <c r="L352" t="str">
        <f t="shared" si="25"/>
        <v/>
      </c>
      <c r="M352" t="str">
        <f t="shared" si="26"/>
        <v/>
      </c>
      <c r="N352" t="str">
        <f t="shared" si="27"/>
        <v/>
      </c>
      <c r="O352" t="str">
        <f t="shared" si="28"/>
        <v/>
      </c>
    </row>
    <row r="353" spans="11:15" x14ac:dyDescent="0.3">
      <c r="K353" t="str">
        <f t="shared" si="29"/>
        <v/>
      </c>
      <c r="L353" t="str">
        <f t="shared" si="25"/>
        <v/>
      </c>
      <c r="M353" t="str">
        <f t="shared" si="26"/>
        <v/>
      </c>
      <c r="N353" t="str">
        <f t="shared" si="27"/>
        <v/>
      </c>
      <c r="O353" t="str">
        <f t="shared" si="28"/>
        <v/>
      </c>
    </row>
    <row r="354" spans="11:15" x14ac:dyDescent="0.3">
      <c r="K354" t="str">
        <f t="shared" si="29"/>
        <v/>
      </c>
      <c r="L354" t="str">
        <f t="shared" si="25"/>
        <v/>
      </c>
      <c r="M354" t="str">
        <f t="shared" si="26"/>
        <v/>
      </c>
      <c r="N354" t="str">
        <f t="shared" si="27"/>
        <v/>
      </c>
      <c r="O354" t="str">
        <f t="shared" si="28"/>
        <v/>
      </c>
    </row>
    <row r="355" spans="11:15" x14ac:dyDescent="0.3">
      <c r="K355" t="str">
        <f t="shared" si="29"/>
        <v/>
      </c>
      <c r="L355" t="str">
        <f t="shared" si="25"/>
        <v/>
      </c>
      <c r="M355" t="str">
        <f t="shared" si="26"/>
        <v/>
      </c>
      <c r="N355" t="str">
        <f t="shared" si="27"/>
        <v/>
      </c>
      <c r="O355" t="str">
        <f t="shared" si="28"/>
        <v/>
      </c>
    </row>
    <row r="356" spans="11:15" x14ac:dyDescent="0.3">
      <c r="K356" t="str">
        <f t="shared" si="29"/>
        <v/>
      </c>
      <c r="L356" t="str">
        <f t="shared" si="25"/>
        <v/>
      </c>
      <c r="M356" t="str">
        <f t="shared" si="26"/>
        <v/>
      </c>
      <c r="N356" t="str">
        <f t="shared" si="27"/>
        <v/>
      </c>
      <c r="O356" t="str">
        <f t="shared" si="28"/>
        <v/>
      </c>
    </row>
    <row r="357" spans="11:15" x14ac:dyDescent="0.3">
      <c r="K357" t="str">
        <f t="shared" si="29"/>
        <v/>
      </c>
      <c r="L357" t="str">
        <f t="shared" si="25"/>
        <v/>
      </c>
      <c r="M357" t="str">
        <f t="shared" si="26"/>
        <v/>
      </c>
      <c r="N357" t="str">
        <f t="shared" si="27"/>
        <v/>
      </c>
      <c r="O357" t="str">
        <f t="shared" si="28"/>
        <v/>
      </c>
    </row>
    <row r="358" spans="11:15" x14ac:dyDescent="0.3">
      <c r="K358" t="str">
        <f t="shared" si="29"/>
        <v/>
      </c>
      <c r="L358" t="str">
        <f t="shared" si="25"/>
        <v/>
      </c>
      <c r="M358" t="str">
        <f t="shared" si="26"/>
        <v/>
      </c>
      <c r="N358" t="str">
        <f t="shared" si="27"/>
        <v/>
      </c>
      <c r="O358" t="str">
        <f t="shared" si="28"/>
        <v/>
      </c>
    </row>
    <row r="359" spans="11:15" x14ac:dyDescent="0.3">
      <c r="K359" t="str">
        <f t="shared" si="29"/>
        <v/>
      </c>
      <c r="L359" t="str">
        <f t="shared" si="25"/>
        <v/>
      </c>
      <c r="M359" t="str">
        <f t="shared" si="26"/>
        <v/>
      </c>
      <c r="N359" t="str">
        <f t="shared" si="27"/>
        <v/>
      </c>
      <c r="O359" t="str">
        <f t="shared" si="28"/>
        <v/>
      </c>
    </row>
    <row r="360" spans="11:15" x14ac:dyDescent="0.3">
      <c r="K360" t="str">
        <f t="shared" si="29"/>
        <v/>
      </c>
      <c r="L360" t="str">
        <f t="shared" si="25"/>
        <v/>
      </c>
      <c r="M360" t="str">
        <f t="shared" si="26"/>
        <v/>
      </c>
      <c r="N360" t="str">
        <f t="shared" si="27"/>
        <v/>
      </c>
      <c r="O360" t="str">
        <f t="shared" si="28"/>
        <v/>
      </c>
    </row>
    <row r="361" spans="11:15" x14ac:dyDescent="0.3">
      <c r="K361" t="str">
        <f t="shared" si="29"/>
        <v/>
      </c>
      <c r="L361" t="str">
        <f t="shared" si="25"/>
        <v/>
      </c>
      <c r="M361" t="str">
        <f t="shared" si="26"/>
        <v/>
      </c>
      <c r="N361" t="str">
        <f t="shared" si="27"/>
        <v/>
      </c>
      <c r="O361" t="str">
        <f t="shared" si="28"/>
        <v/>
      </c>
    </row>
    <row r="362" spans="11:15" x14ac:dyDescent="0.3">
      <c r="K362" t="str">
        <f t="shared" si="29"/>
        <v/>
      </c>
      <c r="L362" t="str">
        <f t="shared" si="25"/>
        <v/>
      </c>
      <c r="M362" t="str">
        <f t="shared" si="26"/>
        <v/>
      </c>
      <c r="N362" t="str">
        <f t="shared" si="27"/>
        <v/>
      </c>
      <c r="O362" t="str">
        <f t="shared" si="28"/>
        <v/>
      </c>
    </row>
    <row r="363" spans="11:15" x14ac:dyDescent="0.3">
      <c r="K363" t="str">
        <f t="shared" si="29"/>
        <v/>
      </c>
      <c r="L363" t="str">
        <f t="shared" si="25"/>
        <v/>
      </c>
      <c r="M363" t="str">
        <f t="shared" si="26"/>
        <v/>
      </c>
      <c r="N363" t="str">
        <f t="shared" si="27"/>
        <v/>
      </c>
      <c r="O363" t="str">
        <f t="shared" si="28"/>
        <v/>
      </c>
    </row>
    <row r="364" spans="11:15" x14ac:dyDescent="0.3">
      <c r="K364" t="str">
        <f t="shared" si="29"/>
        <v/>
      </c>
      <c r="L364" t="str">
        <f t="shared" si="25"/>
        <v/>
      </c>
      <c r="M364" t="str">
        <f t="shared" si="26"/>
        <v/>
      </c>
      <c r="N364" t="str">
        <f t="shared" si="27"/>
        <v/>
      </c>
      <c r="O364" t="str">
        <f t="shared" si="28"/>
        <v/>
      </c>
    </row>
    <row r="365" spans="11:15" x14ac:dyDescent="0.3">
      <c r="K365" t="str">
        <f t="shared" si="29"/>
        <v/>
      </c>
      <c r="L365" t="str">
        <f t="shared" si="25"/>
        <v/>
      </c>
      <c r="M365" t="str">
        <f t="shared" si="26"/>
        <v/>
      </c>
      <c r="N365" t="str">
        <f t="shared" si="27"/>
        <v/>
      </c>
      <c r="O365" t="str">
        <f t="shared" si="28"/>
        <v/>
      </c>
    </row>
    <row r="366" spans="11:15" x14ac:dyDescent="0.3">
      <c r="K366" t="str">
        <f t="shared" si="29"/>
        <v/>
      </c>
      <c r="L366" t="str">
        <f t="shared" si="25"/>
        <v/>
      </c>
      <c r="M366" t="str">
        <f t="shared" si="26"/>
        <v/>
      </c>
      <c r="N366" t="str">
        <f t="shared" si="27"/>
        <v/>
      </c>
      <c r="O366" t="str">
        <f t="shared" si="28"/>
        <v/>
      </c>
    </row>
    <row r="367" spans="11:15" x14ac:dyDescent="0.3">
      <c r="K367" t="str">
        <f t="shared" si="29"/>
        <v/>
      </c>
      <c r="L367" t="str">
        <f t="shared" si="25"/>
        <v/>
      </c>
      <c r="M367" t="str">
        <f t="shared" si="26"/>
        <v/>
      </c>
      <c r="N367" t="str">
        <f t="shared" si="27"/>
        <v/>
      </c>
      <c r="O367" t="str">
        <f t="shared" si="28"/>
        <v/>
      </c>
    </row>
    <row r="368" spans="11:15" x14ac:dyDescent="0.3">
      <c r="K368" t="str">
        <f t="shared" si="29"/>
        <v/>
      </c>
      <c r="L368" t="str">
        <f t="shared" si="25"/>
        <v/>
      </c>
      <c r="M368" t="str">
        <f t="shared" si="26"/>
        <v/>
      </c>
      <c r="N368" t="str">
        <f t="shared" si="27"/>
        <v/>
      </c>
      <c r="O368" t="str">
        <f t="shared" si="28"/>
        <v/>
      </c>
    </row>
    <row r="369" spans="11:15" x14ac:dyDescent="0.3">
      <c r="K369" t="str">
        <f t="shared" si="29"/>
        <v/>
      </c>
      <c r="L369" t="str">
        <f t="shared" si="25"/>
        <v/>
      </c>
      <c r="M369" t="str">
        <f t="shared" si="26"/>
        <v/>
      </c>
      <c r="N369" t="str">
        <f t="shared" si="27"/>
        <v/>
      </c>
      <c r="O369" t="str">
        <f t="shared" si="28"/>
        <v/>
      </c>
    </row>
    <row r="370" spans="11:15" x14ac:dyDescent="0.3">
      <c r="K370" t="str">
        <f t="shared" si="29"/>
        <v/>
      </c>
      <c r="L370" t="str">
        <f t="shared" si="25"/>
        <v/>
      </c>
      <c r="M370" t="str">
        <f t="shared" si="26"/>
        <v/>
      </c>
      <c r="N370" t="str">
        <f t="shared" si="27"/>
        <v/>
      </c>
      <c r="O370" t="str">
        <f t="shared" si="28"/>
        <v/>
      </c>
    </row>
    <row r="371" spans="11:15" x14ac:dyDescent="0.3">
      <c r="K371" t="str">
        <f t="shared" si="29"/>
        <v/>
      </c>
      <c r="L371" t="str">
        <f t="shared" si="25"/>
        <v/>
      </c>
      <c r="M371" t="str">
        <f t="shared" si="26"/>
        <v/>
      </c>
      <c r="N371" t="str">
        <f t="shared" si="27"/>
        <v/>
      </c>
      <c r="O371" t="str">
        <f t="shared" si="28"/>
        <v/>
      </c>
    </row>
    <row r="372" spans="11:15" x14ac:dyDescent="0.3">
      <c r="K372" t="str">
        <f t="shared" si="29"/>
        <v/>
      </c>
      <c r="L372" t="str">
        <f t="shared" si="25"/>
        <v/>
      </c>
      <c r="M372" t="str">
        <f t="shared" si="26"/>
        <v/>
      </c>
      <c r="N372" t="str">
        <f t="shared" si="27"/>
        <v/>
      </c>
      <c r="O372" t="str">
        <f t="shared" si="28"/>
        <v/>
      </c>
    </row>
    <row r="373" spans="11:15" x14ac:dyDescent="0.3">
      <c r="K373" t="str">
        <f t="shared" si="29"/>
        <v/>
      </c>
      <c r="L373" t="str">
        <f t="shared" si="25"/>
        <v/>
      </c>
      <c r="M373" t="str">
        <f t="shared" si="26"/>
        <v/>
      </c>
      <c r="N373" t="str">
        <f t="shared" si="27"/>
        <v/>
      </c>
      <c r="O373" t="str">
        <f t="shared" si="28"/>
        <v/>
      </c>
    </row>
    <row r="374" spans="11:15" x14ac:dyDescent="0.3">
      <c r="K374" t="str">
        <f t="shared" si="29"/>
        <v/>
      </c>
      <c r="L374" t="str">
        <f t="shared" si="25"/>
        <v/>
      </c>
      <c r="M374" t="str">
        <f t="shared" si="26"/>
        <v/>
      </c>
      <c r="N374" t="str">
        <f t="shared" si="27"/>
        <v/>
      </c>
      <c r="O374" t="str">
        <f t="shared" si="28"/>
        <v/>
      </c>
    </row>
    <row r="375" spans="11:15" x14ac:dyDescent="0.3">
      <c r="K375" t="str">
        <f t="shared" si="29"/>
        <v/>
      </c>
      <c r="L375" t="str">
        <f t="shared" si="25"/>
        <v/>
      </c>
      <c r="M375" t="str">
        <f t="shared" si="26"/>
        <v/>
      </c>
      <c r="N375" t="str">
        <f t="shared" si="27"/>
        <v/>
      </c>
      <c r="O375" t="str">
        <f t="shared" si="28"/>
        <v/>
      </c>
    </row>
    <row r="376" spans="11:15" x14ac:dyDescent="0.3">
      <c r="K376" t="str">
        <f t="shared" si="29"/>
        <v/>
      </c>
      <c r="L376" t="str">
        <f t="shared" si="25"/>
        <v/>
      </c>
      <c r="M376" t="str">
        <f t="shared" si="26"/>
        <v/>
      </c>
      <c r="N376" t="str">
        <f t="shared" si="27"/>
        <v/>
      </c>
      <c r="O376" t="str">
        <f t="shared" si="28"/>
        <v/>
      </c>
    </row>
    <row r="377" spans="11:15" x14ac:dyDescent="0.3">
      <c r="K377" t="str">
        <f t="shared" si="29"/>
        <v/>
      </c>
      <c r="L377" t="str">
        <f t="shared" si="25"/>
        <v/>
      </c>
      <c r="M377" t="str">
        <f t="shared" si="26"/>
        <v/>
      </c>
      <c r="N377" t="str">
        <f t="shared" si="27"/>
        <v/>
      </c>
      <c r="O377" t="str">
        <f t="shared" si="28"/>
        <v/>
      </c>
    </row>
    <row r="378" spans="11:15" x14ac:dyDescent="0.3">
      <c r="K378" t="str">
        <f t="shared" si="29"/>
        <v/>
      </c>
      <c r="L378" t="str">
        <f t="shared" si="25"/>
        <v/>
      </c>
      <c r="M378" t="str">
        <f t="shared" si="26"/>
        <v/>
      </c>
      <c r="N378" t="str">
        <f t="shared" si="27"/>
        <v/>
      </c>
      <c r="O378" t="str">
        <f t="shared" si="28"/>
        <v/>
      </c>
    </row>
    <row r="379" spans="11:15" x14ac:dyDescent="0.3">
      <c r="K379" t="str">
        <f t="shared" si="29"/>
        <v/>
      </c>
      <c r="L379" t="str">
        <f t="shared" si="25"/>
        <v/>
      </c>
      <c r="M379" t="str">
        <f t="shared" si="26"/>
        <v/>
      </c>
      <c r="N379" t="str">
        <f t="shared" si="27"/>
        <v/>
      </c>
      <c r="O379" t="str">
        <f t="shared" si="28"/>
        <v/>
      </c>
    </row>
    <row r="380" spans="11:15" x14ac:dyDescent="0.3">
      <c r="K380" t="str">
        <f t="shared" si="29"/>
        <v/>
      </c>
      <c r="L380" t="str">
        <f t="shared" si="25"/>
        <v/>
      </c>
      <c r="M380" t="str">
        <f t="shared" si="26"/>
        <v/>
      </c>
      <c r="N380" t="str">
        <f t="shared" si="27"/>
        <v/>
      </c>
      <c r="O380" t="str">
        <f t="shared" si="28"/>
        <v/>
      </c>
    </row>
    <row r="381" spans="11:15" x14ac:dyDescent="0.3">
      <c r="K381" t="str">
        <f t="shared" si="29"/>
        <v/>
      </c>
      <c r="L381" t="str">
        <f t="shared" si="25"/>
        <v/>
      </c>
      <c r="M381" t="str">
        <f t="shared" si="26"/>
        <v/>
      </c>
      <c r="N381" t="str">
        <f t="shared" si="27"/>
        <v/>
      </c>
      <c r="O381" t="str">
        <f t="shared" si="28"/>
        <v/>
      </c>
    </row>
    <row r="382" spans="11:15" x14ac:dyDescent="0.3">
      <c r="K382" t="str">
        <f t="shared" si="29"/>
        <v/>
      </c>
      <c r="L382" t="str">
        <f t="shared" si="25"/>
        <v/>
      </c>
      <c r="M382" t="str">
        <f t="shared" si="26"/>
        <v/>
      </c>
      <c r="N382" t="str">
        <f t="shared" si="27"/>
        <v/>
      </c>
      <c r="O382" t="str">
        <f t="shared" si="28"/>
        <v/>
      </c>
    </row>
    <row r="383" spans="11:15" x14ac:dyDescent="0.3">
      <c r="K383" t="str">
        <f t="shared" si="29"/>
        <v/>
      </c>
      <c r="L383" t="str">
        <f t="shared" si="25"/>
        <v/>
      </c>
      <c r="M383" t="str">
        <f t="shared" si="26"/>
        <v/>
      </c>
      <c r="N383" t="str">
        <f t="shared" si="27"/>
        <v/>
      </c>
      <c r="O383" t="str">
        <f t="shared" si="28"/>
        <v/>
      </c>
    </row>
    <row r="384" spans="11:15" x14ac:dyDescent="0.3">
      <c r="K384" t="str">
        <f t="shared" si="29"/>
        <v/>
      </c>
      <c r="L384" t="str">
        <f t="shared" si="25"/>
        <v/>
      </c>
      <c r="M384" t="str">
        <f t="shared" si="26"/>
        <v/>
      </c>
      <c r="N384" t="str">
        <f t="shared" si="27"/>
        <v/>
      </c>
      <c r="O384" t="str">
        <f t="shared" si="28"/>
        <v/>
      </c>
    </row>
    <row r="385" spans="11:15" x14ac:dyDescent="0.3">
      <c r="K385" t="str">
        <f t="shared" si="29"/>
        <v/>
      </c>
      <c r="L385" t="str">
        <f t="shared" ref="L385:L448" si="30">IF(A385="","",IF(ISNUMBER(--LEFT(A385,FIND(" - ",A385&amp;" - ")-1)),LEFT(A385,FIND(" - ",A385&amp;" - ")-1),TRIM(A385)))</f>
        <v/>
      </c>
      <c r="M385" t="str">
        <f t="shared" ref="M385:M448" si="31">IF(OR(K385="",K385=A385,A385=""),"",K385&amp;"|"&amp;L385)</f>
        <v/>
      </c>
      <c r="N385" t="str">
        <f t="shared" ref="N385:N448" si="32">IF(M385="","",IF(ISNUMBER(B385),B385,IFERROR(_xlfn.NUMBERVALUE(B385,".",","),0)))</f>
        <v/>
      </c>
      <c r="O385" t="str">
        <f t="shared" ref="O385:O448" si="33">IF(M385="","",IF(ISNUMBER(C385),C385,IFERROR(_xlfn.NUMBERVALUE(C385,".",","),0)))</f>
        <v/>
      </c>
    </row>
    <row r="386" spans="11:15" x14ac:dyDescent="0.3">
      <c r="K386" t="str">
        <f t="shared" ref="K386:K449" si="34">IF(OR(LEFT(B386,9)="DOANH THU",LEFT(B386,8)="SỐ LƯỢNG"),A386,K385)</f>
        <v/>
      </c>
      <c r="L386" t="str">
        <f t="shared" si="30"/>
        <v/>
      </c>
      <c r="M386" t="str">
        <f t="shared" si="31"/>
        <v/>
      </c>
      <c r="N386" t="str">
        <f t="shared" si="32"/>
        <v/>
      </c>
      <c r="O386" t="str">
        <f t="shared" si="33"/>
        <v/>
      </c>
    </row>
    <row r="387" spans="11:15" x14ac:dyDescent="0.3">
      <c r="K387" t="str">
        <f t="shared" si="34"/>
        <v/>
      </c>
      <c r="L387" t="str">
        <f t="shared" si="30"/>
        <v/>
      </c>
      <c r="M387" t="str">
        <f t="shared" si="31"/>
        <v/>
      </c>
      <c r="N387" t="str">
        <f t="shared" si="32"/>
        <v/>
      </c>
      <c r="O387" t="str">
        <f t="shared" si="33"/>
        <v/>
      </c>
    </row>
    <row r="388" spans="11:15" x14ac:dyDescent="0.3">
      <c r="K388" t="str">
        <f t="shared" si="34"/>
        <v/>
      </c>
      <c r="L388" t="str">
        <f t="shared" si="30"/>
        <v/>
      </c>
      <c r="M388" t="str">
        <f t="shared" si="31"/>
        <v/>
      </c>
      <c r="N388" t="str">
        <f t="shared" si="32"/>
        <v/>
      </c>
      <c r="O388" t="str">
        <f t="shared" si="33"/>
        <v/>
      </c>
    </row>
    <row r="389" spans="11:15" x14ac:dyDescent="0.3">
      <c r="K389" t="str">
        <f t="shared" si="34"/>
        <v/>
      </c>
      <c r="L389" t="str">
        <f t="shared" si="30"/>
        <v/>
      </c>
      <c r="M389" t="str">
        <f t="shared" si="31"/>
        <v/>
      </c>
      <c r="N389" t="str">
        <f t="shared" si="32"/>
        <v/>
      </c>
      <c r="O389" t="str">
        <f t="shared" si="33"/>
        <v/>
      </c>
    </row>
    <row r="390" spans="11:15" x14ac:dyDescent="0.3">
      <c r="K390" t="str">
        <f t="shared" si="34"/>
        <v/>
      </c>
      <c r="L390" t="str">
        <f t="shared" si="30"/>
        <v/>
      </c>
      <c r="M390" t="str">
        <f t="shared" si="31"/>
        <v/>
      </c>
      <c r="N390" t="str">
        <f t="shared" si="32"/>
        <v/>
      </c>
      <c r="O390" t="str">
        <f t="shared" si="33"/>
        <v/>
      </c>
    </row>
    <row r="391" spans="11:15" x14ac:dyDescent="0.3">
      <c r="K391" t="str">
        <f t="shared" si="34"/>
        <v/>
      </c>
      <c r="L391" t="str">
        <f t="shared" si="30"/>
        <v/>
      </c>
      <c r="M391" t="str">
        <f t="shared" si="31"/>
        <v/>
      </c>
      <c r="N391" t="str">
        <f t="shared" si="32"/>
        <v/>
      </c>
      <c r="O391" t="str">
        <f t="shared" si="33"/>
        <v/>
      </c>
    </row>
    <row r="392" spans="11:15" x14ac:dyDescent="0.3">
      <c r="K392" t="str">
        <f t="shared" si="34"/>
        <v/>
      </c>
      <c r="L392" t="str">
        <f t="shared" si="30"/>
        <v/>
      </c>
      <c r="M392" t="str">
        <f t="shared" si="31"/>
        <v/>
      </c>
      <c r="N392" t="str">
        <f t="shared" si="32"/>
        <v/>
      </c>
      <c r="O392" t="str">
        <f t="shared" si="33"/>
        <v/>
      </c>
    </row>
    <row r="393" spans="11:15" x14ac:dyDescent="0.3">
      <c r="K393" t="str">
        <f t="shared" si="34"/>
        <v/>
      </c>
      <c r="L393" t="str">
        <f t="shared" si="30"/>
        <v/>
      </c>
      <c r="M393" t="str">
        <f t="shared" si="31"/>
        <v/>
      </c>
      <c r="N393" t="str">
        <f t="shared" si="32"/>
        <v/>
      </c>
      <c r="O393" t="str">
        <f t="shared" si="33"/>
        <v/>
      </c>
    </row>
    <row r="394" spans="11:15" x14ac:dyDescent="0.3">
      <c r="K394" t="str">
        <f t="shared" si="34"/>
        <v/>
      </c>
      <c r="L394" t="str">
        <f t="shared" si="30"/>
        <v/>
      </c>
      <c r="M394" t="str">
        <f t="shared" si="31"/>
        <v/>
      </c>
      <c r="N394" t="str">
        <f t="shared" si="32"/>
        <v/>
      </c>
      <c r="O394" t="str">
        <f t="shared" si="33"/>
        <v/>
      </c>
    </row>
    <row r="395" spans="11:15" x14ac:dyDescent="0.3">
      <c r="K395" t="str">
        <f t="shared" si="34"/>
        <v/>
      </c>
      <c r="L395" t="str">
        <f t="shared" si="30"/>
        <v/>
      </c>
      <c r="M395" t="str">
        <f t="shared" si="31"/>
        <v/>
      </c>
      <c r="N395" t="str">
        <f t="shared" si="32"/>
        <v/>
      </c>
      <c r="O395" t="str">
        <f t="shared" si="33"/>
        <v/>
      </c>
    </row>
    <row r="396" spans="11:15" x14ac:dyDescent="0.3">
      <c r="K396" t="str">
        <f t="shared" si="34"/>
        <v/>
      </c>
      <c r="L396" t="str">
        <f t="shared" si="30"/>
        <v/>
      </c>
      <c r="M396" t="str">
        <f t="shared" si="31"/>
        <v/>
      </c>
      <c r="N396" t="str">
        <f t="shared" si="32"/>
        <v/>
      </c>
      <c r="O396" t="str">
        <f t="shared" si="33"/>
        <v/>
      </c>
    </row>
    <row r="397" spans="11:15" x14ac:dyDescent="0.3">
      <c r="K397" t="str">
        <f t="shared" si="34"/>
        <v/>
      </c>
      <c r="L397" t="str">
        <f t="shared" si="30"/>
        <v/>
      </c>
      <c r="M397" t="str">
        <f t="shared" si="31"/>
        <v/>
      </c>
      <c r="N397" t="str">
        <f t="shared" si="32"/>
        <v/>
      </c>
      <c r="O397" t="str">
        <f t="shared" si="33"/>
        <v/>
      </c>
    </row>
    <row r="398" spans="11:15" x14ac:dyDescent="0.3">
      <c r="K398" t="str">
        <f t="shared" si="34"/>
        <v/>
      </c>
      <c r="L398" t="str">
        <f t="shared" si="30"/>
        <v/>
      </c>
      <c r="M398" t="str">
        <f t="shared" si="31"/>
        <v/>
      </c>
      <c r="N398" t="str">
        <f t="shared" si="32"/>
        <v/>
      </c>
      <c r="O398" t="str">
        <f t="shared" si="33"/>
        <v/>
      </c>
    </row>
    <row r="399" spans="11:15" x14ac:dyDescent="0.3">
      <c r="K399" t="str">
        <f t="shared" si="34"/>
        <v/>
      </c>
      <c r="L399" t="str">
        <f t="shared" si="30"/>
        <v/>
      </c>
      <c r="M399" t="str">
        <f t="shared" si="31"/>
        <v/>
      </c>
      <c r="N399" t="str">
        <f t="shared" si="32"/>
        <v/>
      </c>
      <c r="O399" t="str">
        <f t="shared" si="33"/>
        <v/>
      </c>
    </row>
    <row r="400" spans="11:15" x14ac:dyDescent="0.3">
      <c r="K400" t="str">
        <f t="shared" si="34"/>
        <v/>
      </c>
      <c r="L400" t="str">
        <f t="shared" si="30"/>
        <v/>
      </c>
      <c r="M400" t="str">
        <f t="shared" si="31"/>
        <v/>
      </c>
      <c r="N400" t="str">
        <f t="shared" si="32"/>
        <v/>
      </c>
      <c r="O400" t="str">
        <f t="shared" si="33"/>
        <v/>
      </c>
    </row>
    <row r="401" spans="11:15" x14ac:dyDescent="0.3">
      <c r="K401" t="str">
        <f t="shared" si="34"/>
        <v/>
      </c>
      <c r="L401" t="str">
        <f t="shared" si="30"/>
        <v/>
      </c>
      <c r="M401" t="str">
        <f t="shared" si="31"/>
        <v/>
      </c>
      <c r="N401" t="str">
        <f t="shared" si="32"/>
        <v/>
      </c>
      <c r="O401" t="str">
        <f t="shared" si="33"/>
        <v/>
      </c>
    </row>
    <row r="402" spans="11:15" x14ac:dyDescent="0.3">
      <c r="K402" t="str">
        <f t="shared" si="34"/>
        <v/>
      </c>
      <c r="L402" t="str">
        <f t="shared" si="30"/>
        <v/>
      </c>
      <c r="M402" t="str">
        <f t="shared" si="31"/>
        <v/>
      </c>
      <c r="N402" t="str">
        <f t="shared" si="32"/>
        <v/>
      </c>
      <c r="O402" t="str">
        <f t="shared" si="33"/>
        <v/>
      </c>
    </row>
    <row r="403" spans="11:15" x14ac:dyDescent="0.3">
      <c r="K403" t="str">
        <f t="shared" si="34"/>
        <v/>
      </c>
      <c r="L403" t="str">
        <f t="shared" si="30"/>
        <v/>
      </c>
      <c r="M403" t="str">
        <f t="shared" si="31"/>
        <v/>
      </c>
      <c r="N403" t="str">
        <f t="shared" si="32"/>
        <v/>
      </c>
      <c r="O403" t="str">
        <f t="shared" si="33"/>
        <v/>
      </c>
    </row>
    <row r="404" spans="11:15" x14ac:dyDescent="0.3">
      <c r="K404" t="str">
        <f t="shared" si="34"/>
        <v/>
      </c>
      <c r="L404" t="str">
        <f t="shared" si="30"/>
        <v/>
      </c>
      <c r="M404" t="str">
        <f t="shared" si="31"/>
        <v/>
      </c>
      <c r="N404" t="str">
        <f t="shared" si="32"/>
        <v/>
      </c>
      <c r="O404" t="str">
        <f t="shared" si="33"/>
        <v/>
      </c>
    </row>
    <row r="405" spans="11:15" x14ac:dyDescent="0.3">
      <c r="K405" t="str">
        <f t="shared" si="34"/>
        <v/>
      </c>
      <c r="L405" t="str">
        <f t="shared" si="30"/>
        <v/>
      </c>
      <c r="M405" t="str">
        <f t="shared" si="31"/>
        <v/>
      </c>
      <c r="N405" t="str">
        <f t="shared" si="32"/>
        <v/>
      </c>
      <c r="O405" t="str">
        <f t="shared" si="33"/>
        <v/>
      </c>
    </row>
    <row r="406" spans="11:15" x14ac:dyDescent="0.3">
      <c r="K406" t="str">
        <f t="shared" si="34"/>
        <v/>
      </c>
      <c r="L406" t="str">
        <f t="shared" si="30"/>
        <v/>
      </c>
      <c r="M406" t="str">
        <f t="shared" si="31"/>
        <v/>
      </c>
      <c r="N406" t="str">
        <f t="shared" si="32"/>
        <v/>
      </c>
      <c r="O406" t="str">
        <f t="shared" si="33"/>
        <v/>
      </c>
    </row>
    <row r="407" spans="11:15" x14ac:dyDescent="0.3">
      <c r="K407" t="str">
        <f t="shared" si="34"/>
        <v/>
      </c>
      <c r="L407" t="str">
        <f t="shared" si="30"/>
        <v/>
      </c>
      <c r="M407" t="str">
        <f t="shared" si="31"/>
        <v/>
      </c>
      <c r="N407" t="str">
        <f t="shared" si="32"/>
        <v/>
      </c>
      <c r="O407" t="str">
        <f t="shared" si="33"/>
        <v/>
      </c>
    </row>
    <row r="408" spans="11:15" x14ac:dyDescent="0.3">
      <c r="K408" t="str">
        <f t="shared" si="34"/>
        <v/>
      </c>
      <c r="L408" t="str">
        <f t="shared" si="30"/>
        <v/>
      </c>
      <c r="M408" t="str">
        <f t="shared" si="31"/>
        <v/>
      </c>
      <c r="N408" t="str">
        <f t="shared" si="32"/>
        <v/>
      </c>
      <c r="O408" t="str">
        <f t="shared" si="33"/>
        <v/>
      </c>
    </row>
    <row r="409" spans="11:15" x14ac:dyDescent="0.3">
      <c r="K409" t="str">
        <f t="shared" si="34"/>
        <v/>
      </c>
      <c r="L409" t="str">
        <f t="shared" si="30"/>
        <v/>
      </c>
      <c r="M409" t="str">
        <f t="shared" si="31"/>
        <v/>
      </c>
      <c r="N409" t="str">
        <f t="shared" si="32"/>
        <v/>
      </c>
      <c r="O409" t="str">
        <f t="shared" si="33"/>
        <v/>
      </c>
    </row>
    <row r="410" spans="11:15" x14ac:dyDescent="0.3">
      <c r="K410" t="str">
        <f t="shared" si="34"/>
        <v/>
      </c>
      <c r="L410" t="str">
        <f t="shared" si="30"/>
        <v/>
      </c>
      <c r="M410" t="str">
        <f t="shared" si="31"/>
        <v/>
      </c>
      <c r="N410" t="str">
        <f t="shared" si="32"/>
        <v/>
      </c>
      <c r="O410" t="str">
        <f t="shared" si="33"/>
        <v/>
      </c>
    </row>
    <row r="411" spans="11:15" x14ac:dyDescent="0.3">
      <c r="K411" t="str">
        <f t="shared" si="34"/>
        <v/>
      </c>
      <c r="L411" t="str">
        <f t="shared" si="30"/>
        <v/>
      </c>
      <c r="M411" t="str">
        <f t="shared" si="31"/>
        <v/>
      </c>
      <c r="N411" t="str">
        <f t="shared" si="32"/>
        <v/>
      </c>
      <c r="O411" t="str">
        <f t="shared" si="33"/>
        <v/>
      </c>
    </row>
    <row r="412" spans="11:15" x14ac:dyDescent="0.3">
      <c r="K412" t="str">
        <f t="shared" si="34"/>
        <v/>
      </c>
      <c r="L412" t="str">
        <f t="shared" si="30"/>
        <v/>
      </c>
      <c r="M412" t="str">
        <f t="shared" si="31"/>
        <v/>
      </c>
      <c r="N412" t="str">
        <f t="shared" si="32"/>
        <v/>
      </c>
      <c r="O412" t="str">
        <f t="shared" si="33"/>
        <v/>
      </c>
    </row>
    <row r="413" spans="11:15" x14ac:dyDescent="0.3">
      <c r="K413" t="str">
        <f t="shared" si="34"/>
        <v/>
      </c>
      <c r="L413" t="str">
        <f t="shared" si="30"/>
        <v/>
      </c>
      <c r="M413" t="str">
        <f t="shared" si="31"/>
        <v/>
      </c>
      <c r="N413" t="str">
        <f t="shared" si="32"/>
        <v/>
      </c>
      <c r="O413" t="str">
        <f t="shared" si="33"/>
        <v/>
      </c>
    </row>
    <row r="414" spans="11:15" x14ac:dyDescent="0.3">
      <c r="K414" t="str">
        <f t="shared" si="34"/>
        <v/>
      </c>
      <c r="L414" t="str">
        <f t="shared" si="30"/>
        <v/>
      </c>
      <c r="M414" t="str">
        <f t="shared" si="31"/>
        <v/>
      </c>
      <c r="N414" t="str">
        <f t="shared" si="32"/>
        <v/>
      </c>
      <c r="O414" t="str">
        <f t="shared" si="33"/>
        <v/>
      </c>
    </row>
    <row r="415" spans="11:15" x14ac:dyDescent="0.3">
      <c r="K415" t="str">
        <f t="shared" si="34"/>
        <v/>
      </c>
      <c r="L415" t="str">
        <f t="shared" si="30"/>
        <v/>
      </c>
      <c r="M415" t="str">
        <f t="shared" si="31"/>
        <v/>
      </c>
      <c r="N415" t="str">
        <f t="shared" si="32"/>
        <v/>
      </c>
      <c r="O415" t="str">
        <f t="shared" si="33"/>
        <v/>
      </c>
    </row>
    <row r="416" spans="11:15" x14ac:dyDescent="0.3">
      <c r="K416" t="str">
        <f t="shared" si="34"/>
        <v/>
      </c>
      <c r="L416" t="str">
        <f t="shared" si="30"/>
        <v/>
      </c>
      <c r="M416" t="str">
        <f t="shared" si="31"/>
        <v/>
      </c>
      <c r="N416" t="str">
        <f t="shared" si="32"/>
        <v/>
      </c>
      <c r="O416" t="str">
        <f t="shared" si="33"/>
        <v/>
      </c>
    </row>
    <row r="417" spans="11:15" x14ac:dyDescent="0.3">
      <c r="K417" t="str">
        <f t="shared" si="34"/>
        <v/>
      </c>
      <c r="L417" t="str">
        <f t="shared" si="30"/>
        <v/>
      </c>
      <c r="M417" t="str">
        <f t="shared" si="31"/>
        <v/>
      </c>
      <c r="N417" t="str">
        <f t="shared" si="32"/>
        <v/>
      </c>
      <c r="O417" t="str">
        <f t="shared" si="33"/>
        <v/>
      </c>
    </row>
    <row r="418" spans="11:15" x14ac:dyDescent="0.3">
      <c r="K418" t="str">
        <f t="shared" si="34"/>
        <v/>
      </c>
      <c r="L418" t="str">
        <f t="shared" si="30"/>
        <v/>
      </c>
      <c r="M418" t="str">
        <f t="shared" si="31"/>
        <v/>
      </c>
      <c r="N418" t="str">
        <f t="shared" si="32"/>
        <v/>
      </c>
      <c r="O418" t="str">
        <f t="shared" si="33"/>
        <v/>
      </c>
    </row>
    <row r="419" spans="11:15" x14ac:dyDescent="0.3">
      <c r="K419" t="str">
        <f t="shared" si="34"/>
        <v/>
      </c>
      <c r="L419" t="str">
        <f t="shared" si="30"/>
        <v/>
      </c>
      <c r="M419" t="str">
        <f t="shared" si="31"/>
        <v/>
      </c>
      <c r="N419" t="str">
        <f t="shared" si="32"/>
        <v/>
      </c>
      <c r="O419" t="str">
        <f t="shared" si="33"/>
        <v/>
      </c>
    </row>
    <row r="420" spans="11:15" x14ac:dyDescent="0.3">
      <c r="K420" t="str">
        <f t="shared" si="34"/>
        <v/>
      </c>
      <c r="L420" t="str">
        <f t="shared" si="30"/>
        <v/>
      </c>
      <c r="M420" t="str">
        <f t="shared" si="31"/>
        <v/>
      </c>
      <c r="N420" t="str">
        <f t="shared" si="32"/>
        <v/>
      </c>
      <c r="O420" t="str">
        <f t="shared" si="33"/>
        <v/>
      </c>
    </row>
    <row r="421" spans="11:15" x14ac:dyDescent="0.3">
      <c r="K421" t="str">
        <f t="shared" si="34"/>
        <v/>
      </c>
      <c r="L421" t="str">
        <f t="shared" si="30"/>
        <v/>
      </c>
      <c r="M421" t="str">
        <f t="shared" si="31"/>
        <v/>
      </c>
      <c r="N421" t="str">
        <f t="shared" si="32"/>
        <v/>
      </c>
      <c r="O421" t="str">
        <f t="shared" si="33"/>
        <v/>
      </c>
    </row>
    <row r="422" spans="11:15" x14ac:dyDescent="0.3">
      <c r="K422" t="str">
        <f t="shared" si="34"/>
        <v/>
      </c>
      <c r="L422" t="str">
        <f t="shared" si="30"/>
        <v/>
      </c>
      <c r="M422" t="str">
        <f t="shared" si="31"/>
        <v/>
      </c>
      <c r="N422" t="str">
        <f t="shared" si="32"/>
        <v/>
      </c>
      <c r="O422" t="str">
        <f t="shared" si="33"/>
        <v/>
      </c>
    </row>
    <row r="423" spans="11:15" x14ac:dyDescent="0.3">
      <c r="K423" t="str">
        <f t="shared" si="34"/>
        <v/>
      </c>
      <c r="L423" t="str">
        <f t="shared" si="30"/>
        <v/>
      </c>
      <c r="M423" t="str">
        <f t="shared" si="31"/>
        <v/>
      </c>
      <c r="N423" t="str">
        <f t="shared" si="32"/>
        <v/>
      </c>
      <c r="O423" t="str">
        <f t="shared" si="33"/>
        <v/>
      </c>
    </row>
    <row r="424" spans="11:15" x14ac:dyDescent="0.3">
      <c r="K424" t="str">
        <f t="shared" si="34"/>
        <v/>
      </c>
      <c r="L424" t="str">
        <f t="shared" si="30"/>
        <v/>
      </c>
      <c r="M424" t="str">
        <f t="shared" si="31"/>
        <v/>
      </c>
      <c r="N424" t="str">
        <f t="shared" si="32"/>
        <v/>
      </c>
      <c r="O424" t="str">
        <f t="shared" si="33"/>
        <v/>
      </c>
    </row>
    <row r="425" spans="11:15" x14ac:dyDescent="0.3">
      <c r="K425" t="str">
        <f t="shared" si="34"/>
        <v/>
      </c>
      <c r="L425" t="str">
        <f t="shared" si="30"/>
        <v/>
      </c>
      <c r="M425" t="str">
        <f t="shared" si="31"/>
        <v/>
      </c>
      <c r="N425" t="str">
        <f t="shared" si="32"/>
        <v/>
      </c>
      <c r="O425" t="str">
        <f t="shared" si="33"/>
        <v/>
      </c>
    </row>
    <row r="426" spans="11:15" x14ac:dyDescent="0.3">
      <c r="K426" t="str">
        <f t="shared" si="34"/>
        <v/>
      </c>
      <c r="L426" t="str">
        <f t="shared" si="30"/>
        <v/>
      </c>
      <c r="M426" t="str">
        <f t="shared" si="31"/>
        <v/>
      </c>
      <c r="N426" t="str">
        <f t="shared" si="32"/>
        <v/>
      </c>
      <c r="O426" t="str">
        <f t="shared" si="33"/>
        <v/>
      </c>
    </row>
    <row r="427" spans="11:15" x14ac:dyDescent="0.3">
      <c r="K427" t="str">
        <f t="shared" si="34"/>
        <v/>
      </c>
      <c r="L427" t="str">
        <f t="shared" si="30"/>
        <v/>
      </c>
      <c r="M427" t="str">
        <f t="shared" si="31"/>
        <v/>
      </c>
      <c r="N427" t="str">
        <f t="shared" si="32"/>
        <v/>
      </c>
      <c r="O427" t="str">
        <f t="shared" si="33"/>
        <v/>
      </c>
    </row>
    <row r="428" spans="11:15" x14ac:dyDescent="0.3">
      <c r="K428" t="str">
        <f t="shared" si="34"/>
        <v/>
      </c>
      <c r="L428" t="str">
        <f t="shared" si="30"/>
        <v/>
      </c>
      <c r="M428" t="str">
        <f t="shared" si="31"/>
        <v/>
      </c>
      <c r="N428" t="str">
        <f t="shared" si="32"/>
        <v/>
      </c>
      <c r="O428" t="str">
        <f t="shared" si="33"/>
        <v/>
      </c>
    </row>
    <row r="429" spans="11:15" x14ac:dyDescent="0.3">
      <c r="K429" t="str">
        <f t="shared" si="34"/>
        <v/>
      </c>
      <c r="L429" t="str">
        <f t="shared" si="30"/>
        <v/>
      </c>
      <c r="M429" t="str">
        <f t="shared" si="31"/>
        <v/>
      </c>
      <c r="N429" t="str">
        <f t="shared" si="32"/>
        <v/>
      </c>
      <c r="O429" t="str">
        <f t="shared" si="33"/>
        <v/>
      </c>
    </row>
    <row r="430" spans="11:15" x14ac:dyDescent="0.3">
      <c r="K430" t="str">
        <f t="shared" si="34"/>
        <v/>
      </c>
      <c r="L430" t="str">
        <f t="shared" si="30"/>
        <v/>
      </c>
      <c r="M430" t="str">
        <f t="shared" si="31"/>
        <v/>
      </c>
      <c r="N430" t="str">
        <f t="shared" si="32"/>
        <v/>
      </c>
      <c r="O430" t="str">
        <f t="shared" si="33"/>
        <v/>
      </c>
    </row>
    <row r="431" spans="11:15" x14ac:dyDescent="0.3">
      <c r="K431" t="str">
        <f t="shared" si="34"/>
        <v/>
      </c>
      <c r="L431" t="str">
        <f t="shared" si="30"/>
        <v/>
      </c>
      <c r="M431" t="str">
        <f t="shared" si="31"/>
        <v/>
      </c>
      <c r="N431" t="str">
        <f t="shared" si="32"/>
        <v/>
      </c>
      <c r="O431" t="str">
        <f t="shared" si="33"/>
        <v/>
      </c>
    </row>
    <row r="432" spans="11:15" x14ac:dyDescent="0.3">
      <c r="K432" t="str">
        <f t="shared" si="34"/>
        <v/>
      </c>
      <c r="L432" t="str">
        <f t="shared" si="30"/>
        <v/>
      </c>
      <c r="M432" t="str">
        <f t="shared" si="31"/>
        <v/>
      </c>
      <c r="N432" t="str">
        <f t="shared" si="32"/>
        <v/>
      </c>
      <c r="O432" t="str">
        <f t="shared" si="33"/>
        <v/>
      </c>
    </row>
    <row r="433" spans="11:15" x14ac:dyDescent="0.3">
      <c r="K433" t="str">
        <f t="shared" si="34"/>
        <v/>
      </c>
      <c r="L433" t="str">
        <f t="shared" si="30"/>
        <v/>
      </c>
      <c r="M433" t="str">
        <f t="shared" si="31"/>
        <v/>
      </c>
      <c r="N433" t="str">
        <f t="shared" si="32"/>
        <v/>
      </c>
      <c r="O433" t="str">
        <f t="shared" si="33"/>
        <v/>
      </c>
    </row>
    <row r="434" spans="11:15" x14ac:dyDescent="0.3">
      <c r="K434" t="str">
        <f t="shared" si="34"/>
        <v/>
      </c>
      <c r="L434" t="str">
        <f t="shared" si="30"/>
        <v/>
      </c>
      <c r="M434" t="str">
        <f t="shared" si="31"/>
        <v/>
      </c>
      <c r="N434" t="str">
        <f t="shared" si="32"/>
        <v/>
      </c>
      <c r="O434" t="str">
        <f t="shared" si="33"/>
        <v/>
      </c>
    </row>
    <row r="435" spans="11:15" x14ac:dyDescent="0.3">
      <c r="K435" t="str">
        <f t="shared" si="34"/>
        <v/>
      </c>
      <c r="L435" t="str">
        <f t="shared" si="30"/>
        <v/>
      </c>
      <c r="M435" t="str">
        <f t="shared" si="31"/>
        <v/>
      </c>
      <c r="N435" t="str">
        <f t="shared" si="32"/>
        <v/>
      </c>
      <c r="O435" t="str">
        <f t="shared" si="33"/>
        <v/>
      </c>
    </row>
    <row r="436" spans="11:15" x14ac:dyDescent="0.3">
      <c r="K436" t="str">
        <f t="shared" si="34"/>
        <v/>
      </c>
      <c r="L436" t="str">
        <f t="shared" si="30"/>
        <v/>
      </c>
      <c r="M436" t="str">
        <f t="shared" si="31"/>
        <v/>
      </c>
      <c r="N436" t="str">
        <f t="shared" si="32"/>
        <v/>
      </c>
      <c r="O436" t="str">
        <f t="shared" si="33"/>
        <v/>
      </c>
    </row>
    <row r="437" spans="11:15" x14ac:dyDescent="0.3">
      <c r="K437" t="str">
        <f t="shared" si="34"/>
        <v/>
      </c>
      <c r="L437" t="str">
        <f t="shared" si="30"/>
        <v/>
      </c>
      <c r="M437" t="str">
        <f t="shared" si="31"/>
        <v/>
      </c>
      <c r="N437" t="str">
        <f t="shared" si="32"/>
        <v/>
      </c>
      <c r="O437" t="str">
        <f t="shared" si="33"/>
        <v/>
      </c>
    </row>
    <row r="438" spans="11:15" x14ac:dyDescent="0.3">
      <c r="K438" t="str">
        <f t="shared" si="34"/>
        <v/>
      </c>
      <c r="L438" t="str">
        <f t="shared" si="30"/>
        <v/>
      </c>
      <c r="M438" t="str">
        <f t="shared" si="31"/>
        <v/>
      </c>
      <c r="N438" t="str">
        <f t="shared" si="32"/>
        <v/>
      </c>
      <c r="O438" t="str">
        <f t="shared" si="33"/>
        <v/>
      </c>
    </row>
    <row r="439" spans="11:15" x14ac:dyDescent="0.3">
      <c r="K439" t="str">
        <f t="shared" si="34"/>
        <v/>
      </c>
      <c r="L439" t="str">
        <f t="shared" si="30"/>
        <v/>
      </c>
      <c r="M439" t="str">
        <f t="shared" si="31"/>
        <v/>
      </c>
      <c r="N439" t="str">
        <f t="shared" si="32"/>
        <v/>
      </c>
      <c r="O439" t="str">
        <f t="shared" si="33"/>
        <v/>
      </c>
    </row>
    <row r="440" spans="11:15" x14ac:dyDescent="0.3">
      <c r="K440" t="str">
        <f t="shared" si="34"/>
        <v/>
      </c>
      <c r="L440" t="str">
        <f t="shared" si="30"/>
        <v/>
      </c>
      <c r="M440" t="str">
        <f t="shared" si="31"/>
        <v/>
      </c>
      <c r="N440" t="str">
        <f t="shared" si="32"/>
        <v/>
      </c>
      <c r="O440" t="str">
        <f t="shared" si="33"/>
        <v/>
      </c>
    </row>
    <row r="441" spans="11:15" x14ac:dyDescent="0.3">
      <c r="K441" t="str">
        <f t="shared" si="34"/>
        <v/>
      </c>
      <c r="L441" t="str">
        <f t="shared" si="30"/>
        <v/>
      </c>
      <c r="M441" t="str">
        <f t="shared" si="31"/>
        <v/>
      </c>
      <c r="N441" t="str">
        <f t="shared" si="32"/>
        <v/>
      </c>
      <c r="O441" t="str">
        <f t="shared" si="33"/>
        <v/>
      </c>
    </row>
    <row r="442" spans="11:15" x14ac:dyDescent="0.3">
      <c r="K442" t="str">
        <f t="shared" si="34"/>
        <v/>
      </c>
      <c r="L442" t="str">
        <f t="shared" si="30"/>
        <v/>
      </c>
      <c r="M442" t="str">
        <f t="shared" si="31"/>
        <v/>
      </c>
      <c r="N442" t="str">
        <f t="shared" si="32"/>
        <v/>
      </c>
      <c r="O442" t="str">
        <f t="shared" si="33"/>
        <v/>
      </c>
    </row>
    <row r="443" spans="11:15" x14ac:dyDescent="0.3">
      <c r="K443" t="str">
        <f t="shared" si="34"/>
        <v/>
      </c>
      <c r="L443" t="str">
        <f t="shared" si="30"/>
        <v/>
      </c>
      <c r="M443" t="str">
        <f t="shared" si="31"/>
        <v/>
      </c>
      <c r="N443" t="str">
        <f t="shared" si="32"/>
        <v/>
      </c>
      <c r="O443" t="str">
        <f t="shared" si="33"/>
        <v/>
      </c>
    </row>
    <row r="444" spans="11:15" x14ac:dyDescent="0.3">
      <c r="K444" t="str">
        <f t="shared" si="34"/>
        <v/>
      </c>
      <c r="L444" t="str">
        <f t="shared" si="30"/>
        <v/>
      </c>
      <c r="M444" t="str">
        <f t="shared" si="31"/>
        <v/>
      </c>
      <c r="N444" t="str">
        <f t="shared" si="32"/>
        <v/>
      </c>
      <c r="O444" t="str">
        <f t="shared" si="33"/>
        <v/>
      </c>
    </row>
    <row r="445" spans="11:15" x14ac:dyDescent="0.3">
      <c r="K445" t="str">
        <f t="shared" si="34"/>
        <v/>
      </c>
      <c r="L445" t="str">
        <f t="shared" si="30"/>
        <v/>
      </c>
      <c r="M445" t="str">
        <f t="shared" si="31"/>
        <v/>
      </c>
      <c r="N445" t="str">
        <f t="shared" si="32"/>
        <v/>
      </c>
      <c r="O445" t="str">
        <f t="shared" si="33"/>
        <v/>
      </c>
    </row>
    <row r="446" spans="11:15" x14ac:dyDescent="0.3">
      <c r="K446" t="str">
        <f t="shared" si="34"/>
        <v/>
      </c>
      <c r="L446" t="str">
        <f t="shared" si="30"/>
        <v/>
      </c>
      <c r="M446" t="str">
        <f t="shared" si="31"/>
        <v/>
      </c>
      <c r="N446" t="str">
        <f t="shared" si="32"/>
        <v/>
      </c>
      <c r="O446" t="str">
        <f t="shared" si="33"/>
        <v/>
      </c>
    </row>
    <row r="447" spans="11:15" x14ac:dyDescent="0.3">
      <c r="K447" t="str">
        <f t="shared" si="34"/>
        <v/>
      </c>
      <c r="L447" t="str">
        <f t="shared" si="30"/>
        <v/>
      </c>
      <c r="M447" t="str">
        <f t="shared" si="31"/>
        <v/>
      </c>
      <c r="N447" t="str">
        <f t="shared" si="32"/>
        <v/>
      </c>
      <c r="O447" t="str">
        <f t="shared" si="33"/>
        <v/>
      </c>
    </row>
    <row r="448" spans="11:15" x14ac:dyDescent="0.3">
      <c r="K448" t="str">
        <f t="shared" si="34"/>
        <v/>
      </c>
      <c r="L448" t="str">
        <f t="shared" si="30"/>
        <v/>
      </c>
      <c r="M448" t="str">
        <f t="shared" si="31"/>
        <v/>
      </c>
      <c r="N448" t="str">
        <f t="shared" si="32"/>
        <v/>
      </c>
      <c r="O448" t="str">
        <f t="shared" si="33"/>
        <v/>
      </c>
    </row>
    <row r="449" spans="11:15" x14ac:dyDescent="0.3">
      <c r="K449" t="str">
        <f t="shared" si="34"/>
        <v/>
      </c>
      <c r="L449" t="str">
        <f t="shared" ref="L449:L512" si="35">IF(A449="","",IF(ISNUMBER(--LEFT(A449,FIND(" - ",A449&amp;" - ")-1)),LEFT(A449,FIND(" - ",A449&amp;" - ")-1),TRIM(A449)))</f>
        <v/>
      </c>
      <c r="M449" t="str">
        <f t="shared" ref="M449:M512" si="36">IF(OR(K449="",K449=A449,A449=""),"",K449&amp;"|"&amp;L449)</f>
        <v/>
      </c>
      <c r="N449" t="str">
        <f t="shared" ref="N449:N512" si="37">IF(M449="","",IF(ISNUMBER(B449),B449,IFERROR(_xlfn.NUMBERVALUE(B449,".",","),0)))</f>
        <v/>
      </c>
      <c r="O449" t="str">
        <f t="shared" ref="O449:O512" si="38">IF(M449="","",IF(ISNUMBER(C449),C449,IFERROR(_xlfn.NUMBERVALUE(C449,".",","),0)))</f>
        <v/>
      </c>
    </row>
    <row r="450" spans="11:15" x14ac:dyDescent="0.3">
      <c r="K450" t="str">
        <f t="shared" ref="K450:K513" si="39">IF(OR(LEFT(B450,9)="DOANH THU",LEFT(B450,8)="SỐ LƯỢNG"),A450,K449)</f>
        <v/>
      </c>
      <c r="L450" t="str">
        <f t="shared" si="35"/>
        <v/>
      </c>
      <c r="M450" t="str">
        <f t="shared" si="36"/>
        <v/>
      </c>
      <c r="N450" t="str">
        <f t="shared" si="37"/>
        <v/>
      </c>
      <c r="O450" t="str">
        <f t="shared" si="38"/>
        <v/>
      </c>
    </row>
    <row r="451" spans="11:15" x14ac:dyDescent="0.3">
      <c r="K451" t="str">
        <f t="shared" si="39"/>
        <v/>
      </c>
      <c r="L451" t="str">
        <f t="shared" si="35"/>
        <v/>
      </c>
      <c r="M451" t="str">
        <f t="shared" si="36"/>
        <v/>
      </c>
      <c r="N451" t="str">
        <f t="shared" si="37"/>
        <v/>
      </c>
      <c r="O451" t="str">
        <f t="shared" si="38"/>
        <v/>
      </c>
    </row>
    <row r="452" spans="11:15" x14ac:dyDescent="0.3">
      <c r="K452" t="str">
        <f t="shared" si="39"/>
        <v/>
      </c>
      <c r="L452" t="str">
        <f t="shared" si="35"/>
        <v/>
      </c>
      <c r="M452" t="str">
        <f t="shared" si="36"/>
        <v/>
      </c>
      <c r="N452" t="str">
        <f t="shared" si="37"/>
        <v/>
      </c>
      <c r="O452" t="str">
        <f t="shared" si="38"/>
        <v/>
      </c>
    </row>
    <row r="453" spans="11:15" x14ac:dyDescent="0.3">
      <c r="K453" t="str">
        <f t="shared" si="39"/>
        <v/>
      </c>
      <c r="L453" t="str">
        <f t="shared" si="35"/>
        <v/>
      </c>
      <c r="M453" t="str">
        <f t="shared" si="36"/>
        <v/>
      </c>
      <c r="N453" t="str">
        <f t="shared" si="37"/>
        <v/>
      </c>
      <c r="O453" t="str">
        <f t="shared" si="38"/>
        <v/>
      </c>
    </row>
    <row r="454" spans="11:15" x14ac:dyDescent="0.3">
      <c r="K454" t="str">
        <f t="shared" si="39"/>
        <v/>
      </c>
      <c r="L454" t="str">
        <f t="shared" si="35"/>
        <v/>
      </c>
      <c r="M454" t="str">
        <f t="shared" si="36"/>
        <v/>
      </c>
      <c r="N454" t="str">
        <f t="shared" si="37"/>
        <v/>
      </c>
      <c r="O454" t="str">
        <f t="shared" si="38"/>
        <v/>
      </c>
    </row>
    <row r="455" spans="11:15" x14ac:dyDescent="0.3">
      <c r="K455" t="str">
        <f t="shared" si="39"/>
        <v/>
      </c>
      <c r="L455" t="str">
        <f t="shared" si="35"/>
        <v/>
      </c>
      <c r="M455" t="str">
        <f t="shared" si="36"/>
        <v/>
      </c>
      <c r="N455" t="str">
        <f t="shared" si="37"/>
        <v/>
      </c>
      <c r="O455" t="str">
        <f t="shared" si="38"/>
        <v/>
      </c>
    </row>
    <row r="456" spans="11:15" x14ac:dyDescent="0.3">
      <c r="K456" t="str">
        <f t="shared" si="39"/>
        <v/>
      </c>
      <c r="L456" t="str">
        <f t="shared" si="35"/>
        <v/>
      </c>
      <c r="M456" t="str">
        <f t="shared" si="36"/>
        <v/>
      </c>
      <c r="N456" t="str">
        <f t="shared" si="37"/>
        <v/>
      </c>
      <c r="O456" t="str">
        <f t="shared" si="38"/>
        <v/>
      </c>
    </row>
    <row r="457" spans="11:15" x14ac:dyDescent="0.3">
      <c r="K457" t="str">
        <f t="shared" si="39"/>
        <v/>
      </c>
      <c r="L457" t="str">
        <f t="shared" si="35"/>
        <v/>
      </c>
      <c r="M457" t="str">
        <f t="shared" si="36"/>
        <v/>
      </c>
      <c r="N457" t="str">
        <f t="shared" si="37"/>
        <v/>
      </c>
      <c r="O457" t="str">
        <f t="shared" si="38"/>
        <v/>
      </c>
    </row>
    <row r="458" spans="11:15" x14ac:dyDescent="0.3">
      <c r="K458" t="str">
        <f t="shared" si="39"/>
        <v/>
      </c>
      <c r="L458" t="str">
        <f t="shared" si="35"/>
        <v/>
      </c>
      <c r="M458" t="str">
        <f t="shared" si="36"/>
        <v/>
      </c>
      <c r="N458" t="str">
        <f t="shared" si="37"/>
        <v/>
      </c>
      <c r="O458" t="str">
        <f t="shared" si="38"/>
        <v/>
      </c>
    </row>
    <row r="459" spans="11:15" x14ac:dyDescent="0.3">
      <c r="K459" t="str">
        <f t="shared" si="39"/>
        <v/>
      </c>
      <c r="L459" t="str">
        <f t="shared" si="35"/>
        <v/>
      </c>
      <c r="M459" t="str">
        <f t="shared" si="36"/>
        <v/>
      </c>
      <c r="N459" t="str">
        <f t="shared" si="37"/>
        <v/>
      </c>
      <c r="O459" t="str">
        <f t="shared" si="38"/>
        <v/>
      </c>
    </row>
    <row r="460" spans="11:15" x14ac:dyDescent="0.3">
      <c r="K460" t="str">
        <f t="shared" si="39"/>
        <v/>
      </c>
      <c r="L460" t="str">
        <f t="shared" si="35"/>
        <v/>
      </c>
      <c r="M460" t="str">
        <f t="shared" si="36"/>
        <v/>
      </c>
      <c r="N460" t="str">
        <f t="shared" si="37"/>
        <v/>
      </c>
      <c r="O460" t="str">
        <f t="shared" si="38"/>
        <v/>
      </c>
    </row>
    <row r="461" spans="11:15" x14ac:dyDescent="0.3">
      <c r="K461" t="str">
        <f t="shared" si="39"/>
        <v/>
      </c>
      <c r="L461" t="str">
        <f t="shared" si="35"/>
        <v/>
      </c>
      <c r="M461" t="str">
        <f t="shared" si="36"/>
        <v/>
      </c>
      <c r="N461" t="str">
        <f t="shared" si="37"/>
        <v/>
      </c>
      <c r="O461" t="str">
        <f t="shared" si="38"/>
        <v/>
      </c>
    </row>
    <row r="462" spans="11:15" x14ac:dyDescent="0.3">
      <c r="K462" t="str">
        <f t="shared" si="39"/>
        <v/>
      </c>
      <c r="L462" t="str">
        <f t="shared" si="35"/>
        <v/>
      </c>
      <c r="M462" t="str">
        <f t="shared" si="36"/>
        <v/>
      </c>
      <c r="N462" t="str">
        <f t="shared" si="37"/>
        <v/>
      </c>
      <c r="O462" t="str">
        <f t="shared" si="38"/>
        <v/>
      </c>
    </row>
    <row r="463" spans="11:15" x14ac:dyDescent="0.3">
      <c r="K463" t="str">
        <f t="shared" si="39"/>
        <v/>
      </c>
      <c r="L463" t="str">
        <f t="shared" si="35"/>
        <v/>
      </c>
      <c r="M463" t="str">
        <f t="shared" si="36"/>
        <v/>
      </c>
      <c r="N463" t="str">
        <f t="shared" si="37"/>
        <v/>
      </c>
      <c r="O463" t="str">
        <f t="shared" si="38"/>
        <v/>
      </c>
    </row>
    <row r="464" spans="11:15" x14ac:dyDescent="0.3">
      <c r="K464" t="str">
        <f t="shared" si="39"/>
        <v/>
      </c>
      <c r="L464" t="str">
        <f t="shared" si="35"/>
        <v/>
      </c>
      <c r="M464" t="str">
        <f t="shared" si="36"/>
        <v/>
      </c>
      <c r="N464" t="str">
        <f t="shared" si="37"/>
        <v/>
      </c>
      <c r="O464" t="str">
        <f t="shared" si="38"/>
        <v/>
      </c>
    </row>
    <row r="465" spans="11:15" x14ac:dyDescent="0.3">
      <c r="K465" t="str">
        <f t="shared" si="39"/>
        <v/>
      </c>
      <c r="L465" t="str">
        <f t="shared" si="35"/>
        <v/>
      </c>
      <c r="M465" t="str">
        <f t="shared" si="36"/>
        <v/>
      </c>
      <c r="N465" t="str">
        <f t="shared" si="37"/>
        <v/>
      </c>
      <c r="O465" t="str">
        <f t="shared" si="38"/>
        <v/>
      </c>
    </row>
    <row r="466" spans="11:15" x14ac:dyDescent="0.3">
      <c r="K466" t="str">
        <f t="shared" si="39"/>
        <v/>
      </c>
      <c r="L466" t="str">
        <f t="shared" si="35"/>
        <v/>
      </c>
      <c r="M466" t="str">
        <f t="shared" si="36"/>
        <v/>
      </c>
      <c r="N466" t="str">
        <f t="shared" si="37"/>
        <v/>
      </c>
      <c r="O466" t="str">
        <f t="shared" si="38"/>
        <v/>
      </c>
    </row>
    <row r="467" spans="11:15" x14ac:dyDescent="0.3">
      <c r="K467" t="str">
        <f t="shared" si="39"/>
        <v/>
      </c>
      <c r="L467" t="str">
        <f t="shared" si="35"/>
        <v/>
      </c>
      <c r="M467" t="str">
        <f t="shared" si="36"/>
        <v/>
      </c>
      <c r="N467" t="str">
        <f t="shared" si="37"/>
        <v/>
      </c>
      <c r="O467" t="str">
        <f t="shared" si="38"/>
        <v/>
      </c>
    </row>
    <row r="468" spans="11:15" x14ac:dyDescent="0.3">
      <c r="K468" t="str">
        <f t="shared" si="39"/>
        <v/>
      </c>
      <c r="L468" t="str">
        <f t="shared" si="35"/>
        <v/>
      </c>
      <c r="M468" t="str">
        <f t="shared" si="36"/>
        <v/>
      </c>
      <c r="N468" t="str">
        <f t="shared" si="37"/>
        <v/>
      </c>
      <c r="O468" t="str">
        <f t="shared" si="38"/>
        <v/>
      </c>
    </row>
    <row r="469" spans="11:15" x14ac:dyDescent="0.3">
      <c r="K469" t="str">
        <f t="shared" si="39"/>
        <v/>
      </c>
      <c r="L469" t="str">
        <f t="shared" si="35"/>
        <v/>
      </c>
      <c r="M469" t="str">
        <f t="shared" si="36"/>
        <v/>
      </c>
      <c r="N469" t="str">
        <f t="shared" si="37"/>
        <v/>
      </c>
      <c r="O469" t="str">
        <f t="shared" si="38"/>
        <v/>
      </c>
    </row>
    <row r="470" spans="11:15" x14ac:dyDescent="0.3">
      <c r="K470" t="str">
        <f t="shared" si="39"/>
        <v/>
      </c>
      <c r="L470" t="str">
        <f t="shared" si="35"/>
        <v/>
      </c>
      <c r="M470" t="str">
        <f t="shared" si="36"/>
        <v/>
      </c>
      <c r="N470" t="str">
        <f t="shared" si="37"/>
        <v/>
      </c>
      <c r="O470" t="str">
        <f t="shared" si="38"/>
        <v/>
      </c>
    </row>
    <row r="471" spans="11:15" x14ac:dyDescent="0.3">
      <c r="K471" t="str">
        <f t="shared" si="39"/>
        <v/>
      </c>
      <c r="L471" t="str">
        <f t="shared" si="35"/>
        <v/>
      </c>
      <c r="M471" t="str">
        <f t="shared" si="36"/>
        <v/>
      </c>
      <c r="N471" t="str">
        <f t="shared" si="37"/>
        <v/>
      </c>
      <c r="O471" t="str">
        <f t="shared" si="38"/>
        <v/>
      </c>
    </row>
    <row r="472" spans="11:15" x14ac:dyDescent="0.3">
      <c r="K472" t="str">
        <f t="shared" si="39"/>
        <v/>
      </c>
      <c r="L472" t="str">
        <f t="shared" si="35"/>
        <v/>
      </c>
      <c r="M472" t="str">
        <f t="shared" si="36"/>
        <v/>
      </c>
      <c r="N472" t="str">
        <f t="shared" si="37"/>
        <v/>
      </c>
      <c r="O472" t="str">
        <f t="shared" si="38"/>
        <v/>
      </c>
    </row>
    <row r="473" spans="11:15" x14ac:dyDescent="0.3">
      <c r="K473" t="str">
        <f t="shared" si="39"/>
        <v/>
      </c>
      <c r="L473" t="str">
        <f t="shared" si="35"/>
        <v/>
      </c>
      <c r="M473" t="str">
        <f t="shared" si="36"/>
        <v/>
      </c>
      <c r="N473" t="str">
        <f t="shared" si="37"/>
        <v/>
      </c>
      <c r="O473" t="str">
        <f t="shared" si="38"/>
        <v/>
      </c>
    </row>
    <row r="474" spans="11:15" x14ac:dyDescent="0.3">
      <c r="K474" t="str">
        <f t="shared" si="39"/>
        <v/>
      </c>
      <c r="L474" t="str">
        <f t="shared" si="35"/>
        <v/>
      </c>
      <c r="M474" t="str">
        <f t="shared" si="36"/>
        <v/>
      </c>
      <c r="N474" t="str">
        <f t="shared" si="37"/>
        <v/>
      </c>
      <c r="O474" t="str">
        <f t="shared" si="38"/>
        <v/>
      </c>
    </row>
    <row r="475" spans="11:15" x14ac:dyDescent="0.3">
      <c r="K475" t="str">
        <f t="shared" si="39"/>
        <v/>
      </c>
      <c r="L475" t="str">
        <f t="shared" si="35"/>
        <v/>
      </c>
      <c r="M475" t="str">
        <f t="shared" si="36"/>
        <v/>
      </c>
      <c r="N475" t="str">
        <f t="shared" si="37"/>
        <v/>
      </c>
      <c r="O475" t="str">
        <f t="shared" si="38"/>
        <v/>
      </c>
    </row>
    <row r="476" spans="11:15" x14ac:dyDescent="0.3">
      <c r="K476" t="str">
        <f t="shared" si="39"/>
        <v/>
      </c>
      <c r="L476" t="str">
        <f t="shared" si="35"/>
        <v/>
      </c>
      <c r="M476" t="str">
        <f t="shared" si="36"/>
        <v/>
      </c>
      <c r="N476" t="str">
        <f t="shared" si="37"/>
        <v/>
      </c>
      <c r="O476" t="str">
        <f t="shared" si="38"/>
        <v/>
      </c>
    </row>
    <row r="477" spans="11:15" x14ac:dyDescent="0.3">
      <c r="K477" t="str">
        <f t="shared" si="39"/>
        <v/>
      </c>
      <c r="L477" t="str">
        <f t="shared" si="35"/>
        <v/>
      </c>
      <c r="M477" t="str">
        <f t="shared" si="36"/>
        <v/>
      </c>
      <c r="N477" t="str">
        <f t="shared" si="37"/>
        <v/>
      </c>
      <c r="O477" t="str">
        <f t="shared" si="38"/>
        <v/>
      </c>
    </row>
    <row r="478" spans="11:15" x14ac:dyDescent="0.3">
      <c r="K478" t="str">
        <f t="shared" si="39"/>
        <v/>
      </c>
      <c r="L478" t="str">
        <f t="shared" si="35"/>
        <v/>
      </c>
      <c r="M478" t="str">
        <f t="shared" si="36"/>
        <v/>
      </c>
      <c r="N478" t="str">
        <f t="shared" si="37"/>
        <v/>
      </c>
      <c r="O478" t="str">
        <f t="shared" si="38"/>
        <v/>
      </c>
    </row>
    <row r="479" spans="11:15" x14ac:dyDescent="0.3">
      <c r="K479" t="str">
        <f t="shared" si="39"/>
        <v/>
      </c>
      <c r="L479" t="str">
        <f t="shared" si="35"/>
        <v/>
      </c>
      <c r="M479" t="str">
        <f t="shared" si="36"/>
        <v/>
      </c>
      <c r="N479" t="str">
        <f t="shared" si="37"/>
        <v/>
      </c>
      <c r="O479" t="str">
        <f t="shared" si="38"/>
        <v/>
      </c>
    </row>
    <row r="480" spans="11:15" x14ac:dyDescent="0.3">
      <c r="K480" t="str">
        <f t="shared" si="39"/>
        <v/>
      </c>
      <c r="L480" t="str">
        <f t="shared" si="35"/>
        <v/>
      </c>
      <c r="M480" t="str">
        <f t="shared" si="36"/>
        <v/>
      </c>
      <c r="N480" t="str">
        <f t="shared" si="37"/>
        <v/>
      </c>
      <c r="O480" t="str">
        <f t="shared" si="38"/>
        <v/>
      </c>
    </row>
    <row r="481" spans="11:15" x14ac:dyDescent="0.3">
      <c r="K481" t="str">
        <f t="shared" si="39"/>
        <v/>
      </c>
      <c r="L481" t="str">
        <f t="shared" si="35"/>
        <v/>
      </c>
      <c r="M481" t="str">
        <f t="shared" si="36"/>
        <v/>
      </c>
      <c r="N481" t="str">
        <f t="shared" si="37"/>
        <v/>
      </c>
      <c r="O481" t="str">
        <f t="shared" si="38"/>
        <v/>
      </c>
    </row>
    <row r="482" spans="11:15" x14ac:dyDescent="0.3">
      <c r="K482" t="str">
        <f t="shared" si="39"/>
        <v/>
      </c>
      <c r="L482" t="str">
        <f t="shared" si="35"/>
        <v/>
      </c>
      <c r="M482" t="str">
        <f t="shared" si="36"/>
        <v/>
      </c>
      <c r="N482" t="str">
        <f t="shared" si="37"/>
        <v/>
      </c>
      <c r="O482" t="str">
        <f t="shared" si="38"/>
        <v/>
      </c>
    </row>
    <row r="483" spans="11:15" x14ac:dyDescent="0.3">
      <c r="K483" t="str">
        <f t="shared" si="39"/>
        <v/>
      </c>
      <c r="L483" t="str">
        <f t="shared" si="35"/>
        <v/>
      </c>
      <c r="M483" t="str">
        <f t="shared" si="36"/>
        <v/>
      </c>
      <c r="N483" t="str">
        <f t="shared" si="37"/>
        <v/>
      </c>
      <c r="O483" t="str">
        <f t="shared" si="38"/>
        <v/>
      </c>
    </row>
    <row r="484" spans="11:15" x14ac:dyDescent="0.3">
      <c r="K484" t="str">
        <f t="shared" si="39"/>
        <v/>
      </c>
      <c r="L484" t="str">
        <f t="shared" si="35"/>
        <v/>
      </c>
      <c r="M484" t="str">
        <f t="shared" si="36"/>
        <v/>
      </c>
      <c r="N484" t="str">
        <f t="shared" si="37"/>
        <v/>
      </c>
      <c r="O484" t="str">
        <f t="shared" si="38"/>
        <v/>
      </c>
    </row>
    <row r="485" spans="11:15" x14ac:dyDescent="0.3">
      <c r="K485" t="str">
        <f t="shared" si="39"/>
        <v/>
      </c>
      <c r="L485" t="str">
        <f t="shared" si="35"/>
        <v/>
      </c>
      <c r="M485" t="str">
        <f t="shared" si="36"/>
        <v/>
      </c>
      <c r="N485" t="str">
        <f t="shared" si="37"/>
        <v/>
      </c>
      <c r="O485" t="str">
        <f t="shared" si="38"/>
        <v/>
      </c>
    </row>
    <row r="486" spans="11:15" x14ac:dyDescent="0.3">
      <c r="K486" t="str">
        <f t="shared" si="39"/>
        <v/>
      </c>
      <c r="L486" t="str">
        <f t="shared" si="35"/>
        <v/>
      </c>
      <c r="M486" t="str">
        <f t="shared" si="36"/>
        <v/>
      </c>
      <c r="N486" t="str">
        <f t="shared" si="37"/>
        <v/>
      </c>
      <c r="O486" t="str">
        <f t="shared" si="38"/>
        <v/>
      </c>
    </row>
    <row r="487" spans="11:15" x14ac:dyDescent="0.3">
      <c r="K487" t="str">
        <f t="shared" si="39"/>
        <v/>
      </c>
      <c r="L487" t="str">
        <f t="shared" si="35"/>
        <v/>
      </c>
      <c r="M487" t="str">
        <f t="shared" si="36"/>
        <v/>
      </c>
      <c r="N487" t="str">
        <f t="shared" si="37"/>
        <v/>
      </c>
      <c r="O487" t="str">
        <f t="shared" si="38"/>
        <v/>
      </c>
    </row>
    <row r="488" spans="11:15" x14ac:dyDescent="0.3">
      <c r="K488" t="str">
        <f t="shared" si="39"/>
        <v/>
      </c>
      <c r="L488" t="str">
        <f t="shared" si="35"/>
        <v/>
      </c>
      <c r="M488" t="str">
        <f t="shared" si="36"/>
        <v/>
      </c>
      <c r="N488" t="str">
        <f t="shared" si="37"/>
        <v/>
      </c>
      <c r="O488" t="str">
        <f t="shared" si="38"/>
        <v/>
      </c>
    </row>
    <row r="489" spans="11:15" x14ac:dyDescent="0.3">
      <c r="K489" t="str">
        <f t="shared" si="39"/>
        <v/>
      </c>
      <c r="L489" t="str">
        <f t="shared" si="35"/>
        <v/>
      </c>
      <c r="M489" t="str">
        <f t="shared" si="36"/>
        <v/>
      </c>
      <c r="N489" t="str">
        <f t="shared" si="37"/>
        <v/>
      </c>
      <c r="O489" t="str">
        <f t="shared" si="38"/>
        <v/>
      </c>
    </row>
    <row r="490" spans="11:15" x14ac:dyDescent="0.3">
      <c r="K490" t="str">
        <f t="shared" si="39"/>
        <v/>
      </c>
      <c r="L490" t="str">
        <f t="shared" si="35"/>
        <v/>
      </c>
      <c r="M490" t="str">
        <f t="shared" si="36"/>
        <v/>
      </c>
      <c r="N490" t="str">
        <f t="shared" si="37"/>
        <v/>
      </c>
      <c r="O490" t="str">
        <f t="shared" si="38"/>
        <v/>
      </c>
    </row>
    <row r="491" spans="11:15" x14ac:dyDescent="0.3">
      <c r="K491" t="str">
        <f t="shared" si="39"/>
        <v/>
      </c>
      <c r="L491" t="str">
        <f t="shared" si="35"/>
        <v/>
      </c>
      <c r="M491" t="str">
        <f t="shared" si="36"/>
        <v/>
      </c>
      <c r="N491" t="str">
        <f t="shared" si="37"/>
        <v/>
      </c>
      <c r="O491" t="str">
        <f t="shared" si="38"/>
        <v/>
      </c>
    </row>
    <row r="492" spans="11:15" x14ac:dyDescent="0.3">
      <c r="K492" t="str">
        <f t="shared" si="39"/>
        <v/>
      </c>
      <c r="L492" t="str">
        <f t="shared" si="35"/>
        <v/>
      </c>
      <c r="M492" t="str">
        <f t="shared" si="36"/>
        <v/>
      </c>
      <c r="N492" t="str">
        <f t="shared" si="37"/>
        <v/>
      </c>
      <c r="O492" t="str">
        <f t="shared" si="38"/>
        <v/>
      </c>
    </row>
    <row r="493" spans="11:15" x14ac:dyDescent="0.3">
      <c r="K493" t="str">
        <f t="shared" si="39"/>
        <v/>
      </c>
      <c r="L493" t="str">
        <f t="shared" si="35"/>
        <v/>
      </c>
      <c r="M493" t="str">
        <f t="shared" si="36"/>
        <v/>
      </c>
      <c r="N493" t="str">
        <f t="shared" si="37"/>
        <v/>
      </c>
      <c r="O493" t="str">
        <f t="shared" si="38"/>
        <v/>
      </c>
    </row>
    <row r="494" spans="11:15" x14ac:dyDescent="0.3">
      <c r="K494" t="str">
        <f t="shared" si="39"/>
        <v/>
      </c>
      <c r="L494" t="str">
        <f t="shared" si="35"/>
        <v/>
      </c>
      <c r="M494" t="str">
        <f t="shared" si="36"/>
        <v/>
      </c>
      <c r="N494" t="str">
        <f t="shared" si="37"/>
        <v/>
      </c>
      <c r="O494" t="str">
        <f t="shared" si="38"/>
        <v/>
      </c>
    </row>
    <row r="495" spans="11:15" x14ac:dyDescent="0.3">
      <c r="K495" t="str">
        <f t="shared" si="39"/>
        <v/>
      </c>
      <c r="L495" t="str">
        <f t="shared" si="35"/>
        <v/>
      </c>
      <c r="M495" t="str">
        <f t="shared" si="36"/>
        <v/>
      </c>
      <c r="N495" t="str">
        <f t="shared" si="37"/>
        <v/>
      </c>
      <c r="O495" t="str">
        <f t="shared" si="38"/>
        <v/>
      </c>
    </row>
    <row r="496" spans="11:15" x14ac:dyDescent="0.3">
      <c r="K496" t="str">
        <f t="shared" si="39"/>
        <v/>
      </c>
      <c r="L496" t="str">
        <f t="shared" si="35"/>
        <v/>
      </c>
      <c r="M496" t="str">
        <f t="shared" si="36"/>
        <v/>
      </c>
      <c r="N496" t="str">
        <f t="shared" si="37"/>
        <v/>
      </c>
      <c r="O496" t="str">
        <f t="shared" si="38"/>
        <v/>
      </c>
    </row>
    <row r="497" spans="11:15" x14ac:dyDescent="0.3">
      <c r="K497" t="str">
        <f t="shared" si="39"/>
        <v/>
      </c>
      <c r="L497" t="str">
        <f t="shared" si="35"/>
        <v/>
      </c>
      <c r="M497" t="str">
        <f t="shared" si="36"/>
        <v/>
      </c>
      <c r="N497" t="str">
        <f t="shared" si="37"/>
        <v/>
      </c>
      <c r="O497" t="str">
        <f t="shared" si="38"/>
        <v/>
      </c>
    </row>
    <row r="498" spans="11:15" x14ac:dyDescent="0.3">
      <c r="K498" t="str">
        <f t="shared" si="39"/>
        <v/>
      </c>
      <c r="L498" t="str">
        <f t="shared" si="35"/>
        <v/>
      </c>
      <c r="M498" t="str">
        <f t="shared" si="36"/>
        <v/>
      </c>
      <c r="N498" t="str">
        <f t="shared" si="37"/>
        <v/>
      </c>
      <c r="O498" t="str">
        <f t="shared" si="38"/>
        <v/>
      </c>
    </row>
    <row r="499" spans="11:15" x14ac:dyDescent="0.3">
      <c r="K499" t="str">
        <f t="shared" si="39"/>
        <v/>
      </c>
      <c r="L499" t="str">
        <f t="shared" si="35"/>
        <v/>
      </c>
      <c r="M499" t="str">
        <f t="shared" si="36"/>
        <v/>
      </c>
      <c r="N499" t="str">
        <f t="shared" si="37"/>
        <v/>
      </c>
      <c r="O499" t="str">
        <f t="shared" si="38"/>
        <v/>
      </c>
    </row>
    <row r="500" spans="11:15" x14ac:dyDescent="0.3">
      <c r="K500" t="str">
        <f t="shared" si="39"/>
        <v/>
      </c>
      <c r="L500" t="str">
        <f t="shared" si="35"/>
        <v/>
      </c>
      <c r="M500" t="str">
        <f t="shared" si="36"/>
        <v/>
      </c>
      <c r="N500" t="str">
        <f t="shared" si="37"/>
        <v/>
      </c>
      <c r="O500" t="str">
        <f t="shared" si="38"/>
        <v/>
      </c>
    </row>
    <row r="501" spans="11:15" x14ac:dyDescent="0.3">
      <c r="K501" t="str">
        <f t="shared" si="39"/>
        <v/>
      </c>
      <c r="L501" t="str">
        <f t="shared" si="35"/>
        <v/>
      </c>
      <c r="M501" t="str">
        <f t="shared" si="36"/>
        <v/>
      </c>
      <c r="N501" t="str">
        <f t="shared" si="37"/>
        <v/>
      </c>
      <c r="O501" t="str">
        <f t="shared" si="38"/>
        <v/>
      </c>
    </row>
    <row r="502" spans="11:15" x14ac:dyDescent="0.3">
      <c r="K502" t="str">
        <f t="shared" si="39"/>
        <v/>
      </c>
      <c r="L502" t="str">
        <f t="shared" si="35"/>
        <v/>
      </c>
      <c r="M502" t="str">
        <f t="shared" si="36"/>
        <v/>
      </c>
      <c r="N502" t="str">
        <f t="shared" si="37"/>
        <v/>
      </c>
      <c r="O502" t="str">
        <f t="shared" si="38"/>
        <v/>
      </c>
    </row>
    <row r="503" spans="11:15" x14ac:dyDescent="0.3">
      <c r="K503" t="str">
        <f t="shared" si="39"/>
        <v/>
      </c>
      <c r="L503" t="str">
        <f t="shared" si="35"/>
        <v/>
      </c>
      <c r="M503" t="str">
        <f t="shared" si="36"/>
        <v/>
      </c>
      <c r="N503" t="str">
        <f t="shared" si="37"/>
        <v/>
      </c>
      <c r="O503" t="str">
        <f t="shared" si="38"/>
        <v/>
      </c>
    </row>
    <row r="504" spans="11:15" x14ac:dyDescent="0.3">
      <c r="K504" t="str">
        <f t="shared" si="39"/>
        <v/>
      </c>
      <c r="L504" t="str">
        <f t="shared" si="35"/>
        <v/>
      </c>
      <c r="M504" t="str">
        <f t="shared" si="36"/>
        <v/>
      </c>
      <c r="N504" t="str">
        <f t="shared" si="37"/>
        <v/>
      </c>
      <c r="O504" t="str">
        <f t="shared" si="38"/>
        <v/>
      </c>
    </row>
    <row r="505" spans="11:15" x14ac:dyDescent="0.3">
      <c r="K505" t="str">
        <f t="shared" si="39"/>
        <v/>
      </c>
      <c r="L505" t="str">
        <f t="shared" si="35"/>
        <v/>
      </c>
      <c r="M505" t="str">
        <f t="shared" si="36"/>
        <v/>
      </c>
      <c r="N505" t="str">
        <f t="shared" si="37"/>
        <v/>
      </c>
      <c r="O505" t="str">
        <f t="shared" si="38"/>
        <v/>
      </c>
    </row>
    <row r="506" spans="11:15" x14ac:dyDescent="0.3">
      <c r="K506" t="str">
        <f t="shared" si="39"/>
        <v/>
      </c>
      <c r="L506" t="str">
        <f t="shared" si="35"/>
        <v/>
      </c>
      <c r="M506" t="str">
        <f t="shared" si="36"/>
        <v/>
      </c>
      <c r="N506" t="str">
        <f t="shared" si="37"/>
        <v/>
      </c>
      <c r="O506" t="str">
        <f t="shared" si="38"/>
        <v/>
      </c>
    </row>
    <row r="507" spans="11:15" x14ac:dyDescent="0.3">
      <c r="K507" t="str">
        <f t="shared" si="39"/>
        <v/>
      </c>
      <c r="L507" t="str">
        <f t="shared" si="35"/>
        <v/>
      </c>
      <c r="M507" t="str">
        <f t="shared" si="36"/>
        <v/>
      </c>
      <c r="N507" t="str">
        <f t="shared" si="37"/>
        <v/>
      </c>
      <c r="O507" t="str">
        <f t="shared" si="38"/>
        <v/>
      </c>
    </row>
    <row r="508" spans="11:15" x14ac:dyDescent="0.3">
      <c r="K508" t="str">
        <f t="shared" si="39"/>
        <v/>
      </c>
      <c r="L508" t="str">
        <f t="shared" si="35"/>
        <v/>
      </c>
      <c r="M508" t="str">
        <f t="shared" si="36"/>
        <v/>
      </c>
      <c r="N508" t="str">
        <f t="shared" si="37"/>
        <v/>
      </c>
      <c r="O508" t="str">
        <f t="shared" si="38"/>
        <v/>
      </c>
    </row>
    <row r="509" spans="11:15" x14ac:dyDescent="0.3">
      <c r="K509" t="str">
        <f t="shared" si="39"/>
        <v/>
      </c>
      <c r="L509" t="str">
        <f t="shared" si="35"/>
        <v/>
      </c>
      <c r="M509" t="str">
        <f t="shared" si="36"/>
        <v/>
      </c>
      <c r="N509" t="str">
        <f t="shared" si="37"/>
        <v/>
      </c>
      <c r="O509" t="str">
        <f t="shared" si="38"/>
        <v/>
      </c>
    </row>
    <row r="510" spans="11:15" x14ac:dyDescent="0.3">
      <c r="K510" t="str">
        <f t="shared" si="39"/>
        <v/>
      </c>
      <c r="L510" t="str">
        <f t="shared" si="35"/>
        <v/>
      </c>
      <c r="M510" t="str">
        <f t="shared" si="36"/>
        <v/>
      </c>
      <c r="N510" t="str">
        <f t="shared" si="37"/>
        <v/>
      </c>
      <c r="O510" t="str">
        <f t="shared" si="38"/>
        <v/>
      </c>
    </row>
    <row r="511" spans="11:15" x14ac:dyDescent="0.3">
      <c r="K511" t="str">
        <f t="shared" si="39"/>
        <v/>
      </c>
      <c r="L511" t="str">
        <f t="shared" si="35"/>
        <v/>
      </c>
      <c r="M511" t="str">
        <f t="shared" si="36"/>
        <v/>
      </c>
      <c r="N511" t="str">
        <f t="shared" si="37"/>
        <v/>
      </c>
      <c r="O511" t="str">
        <f t="shared" si="38"/>
        <v/>
      </c>
    </row>
    <row r="512" spans="11:15" x14ac:dyDescent="0.3">
      <c r="K512" t="str">
        <f t="shared" si="39"/>
        <v/>
      </c>
      <c r="L512" t="str">
        <f t="shared" si="35"/>
        <v/>
      </c>
      <c r="M512" t="str">
        <f t="shared" si="36"/>
        <v/>
      </c>
      <c r="N512" t="str">
        <f t="shared" si="37"/>
        <v/>
      </c>
      <c r="O512" t="str">
        <f t="shared" si="38"/>
        <v/>
      </c>
    </row>
    <row r="513" spans="11:15" x14ac:dyDescent="0.3">
      <c r="K513" t="str">
        <f t="shared" si="39"/>
        <v/>
      </c>
      <c r="L513" t="str">
        <f t="shared" ref="L513:L576" si="40">IF(A513="","",IF(ISNUMBER(--LEFT(A513,FIND(" - ",A513&amp;" - ")-1)),LEFT(A513,FIND(" - ",A513&amp;" - ")-1),TRIM(A513)))</f>
        <v/>
      </c>
      <c r="M513" t="str">
        <f t="shared" ref="M513:M576" si="41">IF(OR(K513="",K513=A513,A513=""),"",K513&amp;"|"&amp;L513)</f>
        <v/>
      </c>
      <c r="N513" t="str">
        <f t="shared" ref="N513:N576" si="42">IF(M513="","",IF(ISNUMBER(B513),B513,IFERROR(_xlfn.NUMBERVALUE(B513,".",","),0)))</f>
        <v/>
      </c>
      <c r="O513" t="str">
        <f t="shared" ref="O513:O576" si="43">IF(M513="","",IF(ISNUMBER(C513),C513,IFERROR(_xlfn.NUMBERVALUE(C513,".",","),0)))</f>
        <v/>
      </c>
    </row>
    <row r="514" spans="11:15" x14ac:dyDescent="0.3">
      <c r="K514" t="str">
        <f t="shared" ref="K514:K577" si="44">IF(OR(LEFT(B514,9)="DOANH THU",LEFT(B514,8)="SỐ LƯỢNG"),A514,K513)</f>
        <v/>
      </c>
      <c r="L514" t="str">
        <f t="shared" si="40"/>
        <v/>
      </c>
      <c r="M514" t="str">
        <f t="shared" si="41"/>
        <v/>
      </c>
      <c r="N514" t="str">
        <f t="shared" si="42"/>
        <v/>
      </c>
      <c r="O514" t="str">
        <f t="shared" si="43"/>
        <v/>
      </c>
    </row>
    <row r="515" spans="11:15" x14ac:dyDescent="0.3">
      <c r="K515" t="str">
        <f t="shared" si="44"/>
        <v/>
      </c>
      <c r="L515" t="str">
        <f t="shared" si="40"/>
        <v/>
      </c>
      <c r="M515" t="str">
        <f t="shared" si="41"/>
        <v/>
      </c>
      <c r="N515" t="str">
        <f t="shared" si="42"/>
        <v/>
      </c>
      <c r="O515" t="str">
        <f t="shared" si="43"/>
        <v/>
      </c>
    </row>
    <row r="516" spans="11:15" x14ac:dyDescent="0.3">
      <c r="K516" t="str">
        <f t="shared" si="44"/>
        <v/>
      </c>
      <c r="L516" t="str">
        <f t="shared" si="40"/>
        <v/>
      </c>
      <c r="M516" t="str">
        <f t="shared" si="41"/>
        <v/>
      </c>
      <c r="N516" t="str">
        <f t="shared" si="42"/>
        <v/>
      </c>
      <c r="O516" t="str">
        <f t="shared" si="43"/>
        <v/>
      </c>
    </row>
    <row r="517" spans="11:15" x14ac:dyDescent="0.3">
      <c r="K517" t="str">
        <f t="shared" si="44"/>
        <v/>
      </c>
      <c r="L517" t="str">
        <f t="shared" si="40"/>
        <v/>
      </c>
      <c r="M517" t="str">
        <f t="shared" si="41"/>
        <v/>
      </c>
      <c r="N517" t="str">
        <f t="shared" si="42"/>
        <v/>
      </c>
      <c r="O517" t="str">
        <f t="shared" si="43"/>
        <v/>
      </c>
    </row>
    <row r="518" spans="11:15" x14ac:dyDescent="0.3">
      <c r="K518" t="str">
        <f t="shared" si="44"/>
        <v/>
      </c>
      <c r="L518" t="str">
        <f t="shared" si="40"/>
        <v/>
      </c>
      <c r="M518" t="str">
        <f t="shared" si="41"/>
        <v/>
      </c>
      <c r="N518" t="str">
        <f t="shared" si="42"/>
        <v/>
      </c>
      <c r="O518" t="str">
        <f t="shared" si="43"/>
        <v/>
      </c>
    </row>
    <row r="519" spans="11:15" x14ac:dyDescent="0.3">
      <c r="K519" t="str">
        <f t="shared" si="44"/>
        <v/>
      </c>
      <c r="L519" t="str">
        <f t="shared" si="40"/>
        <v/>
      </c>
      <c r="M519" t="str">
        <f t="shared" si="41"/>
        <v/>
      </c>
      <c r="N519" t="str">
        <f t="shared" si="42"/>
        <v/>
      </c>
      <c r="O519" t="str">
        <f t="shared" si="43"/>
        <v/>
      </c>
    </row>
    <row r="520" spans="11:15" x14ac:dyDescent="0.3">
      <c r="K520" t="str">
        <f t="shared" si="44"/>
        <v/>
      </c>
      <c r="L520" t="str">
        <f t="shared" si="40"/>
        <v/>
      </c>
      <c r="M520" t="str">
        <f t="shared" si="41"/>
        <v/>
      </c>
      <c r="N520" t="str">
        <f t="shared" si="42"/>
        <v/>
      </c>
      <c r="O520" t="str">
        <f t="shared" si="43"/>
        <v/>
      </c>
    </row>
    <row r="521" spans="11:15" x14ac:dyDescent="0.3">
      <c r="K521" t="str">
        <f t="shared" si="44"/>
        <v/>
      </c>
      <c r="L521" t="str">
        <f t="shared" si="40"/>
        <v/>
      </c>
      <c r="M521" t="str">
        <f t="shared" si="41"/>
        <v/>
      </c>
      <c r="N521" t="str">
        <f t="shared" si="42"/>
        <v/>
      </c>
      <c r="O521" t="str">
        <f t="shared" si="43"/>
        <v/>
      </c>
    </row>
    <row r="522" spans="11:15" x14ac:dyDescent="0.3">
      <c r="K522" t="str">
        <f t="shared" si="44"/>
        <v/>
      </c>
      <c r="L522" t="str">
        <f t="shared" si="40"/>
        <v/>
      </c>
      <c r="M522" t="str">
        <f t="shared" si="41"/>
        <v/>
      </c>
      <c r="N522" t="str">
        <f t="shared" si="42"/>
        <v/>
      </c>
      <c r="O522" t="str">
        <f t="shared" si="43"/>
        <v/>
      </c>
    </row>
    <row r="523" spans="11:15" x14ac:dyDescent="0.3">
      <c r="K523" t="str">
        <f t="shared" si="44"/>
        <v/>
      </c>
      <c r="L523" t="str">
        <f t="shared" si="40"/>
        <v/>
      </c>
      <c r="M523" t="str">
        <f t="shared" si="41"/>
        <v/>
      </c>
      <c r="N523" t="str">
        <f t="shared" si="42"/>
        <v/>
      </c>
      <c r="O523" t="str">
        <f t="shared" si="43"/>
        <v/>
      </c>
    </row>
    <row r="524" spans="11:15" x14ac:dyDescent="0.3">
      <c r="K524" t="str">
        <f t="shared" si="44"/>
        <v/>
      </c>
      <c r="L524" t="str">
        <f t="shared" si="40"/>
        <v/>
      </c>
      <c r="M524" t="str">
        <f t="shared" si="41"/>
        <v/>
      </c>
      <c r="N524" t="str">
        <f t="shared" si="42"/>
        <v/>
      </c>
      <c r="O524" t="str">
        <f t="shared" si="43"/>
        <v/>
      </c>
    </row>
    <row r="525" spans="11:15" x14ac:dyDescent="0.3">
      <c r="K525" t="str">
        <f t="shared" si="44"/>
        <v/>
      </c>
      <c r="L525" t="str">
        <f t="shared" si="40"/>
        <v/>
      </c>
      <c r="M525" t="str">
        <f t="shared" si="41"/>
        <v/>
      </c>
      <c r="N525" t="str">
        <f t="shared" si="42"/>
        <v/>
      </c>
      <c r="O525" t="str">
        <f t="shared" si="43"/>
        <v/>
      </c>
    </row>
    <row r="526" spans="11:15" x14ac:dyDescent="0.3">
      <c r="K526" t="str">
        <f t="shared" si="44"/>
        <v/>
      </c>
      <c r="L526" t="str">
        <f t="shared" si="40"/>
        <v/>
      </c>
      <c r="M526" t="str">
        <f t="shared" si="41"/>
        <v/>
      </c>
      <c r="N526" t="str">
        <f t="shared" si="42"/>
        <v/>
      </c>
      <c r="O526" t="str">
        <f t="shared" si="43"/>
        <v/>
      </c>
    </row>
    <row r="527" spans="11:15" x14ac:dyDescent="0.3">
      <c r="K527" t="str">
        <f t="shared" si="44"/>
        <v/>
      </c>
      <c r="L527" t="str">
        <f t="shared" si="40"/>
        <v/>
      </c>
      <c r="M527" t="str">
        <f t="shared" si="41"/>
        <v/>
      </c>
      <c r="N527" t="str">
        <f t="shared" si="42"/>
        <v/>
      </c>
      <c r="O527" t="str">
        <f t="shared" si="43"/>
        <v/>
      </c>
    </row>
    <row r="528" spans="11:15" x14ac:dyDescent="0.3">
      <c r="K528" t="str">
        <f t="shared" si="44"/>
        <v/>
      </c>
      <c r="L528" t="str">
        <f t="shared" si="40"/>
        <v/>
      </c>
      <c r="M528" t="str">
        <f t="shared" si="41"/>
        <v/>
      </c>
      <c r="N528" t="str">
        <f t="shared" si="42"/>
        <v/>
      </c>
      <c r="O528" t="str">
        <f t="shared" si="43"/>
        <v/>
      </c>
    </row>
    <row r="529" spans="11:15" x14ac:dyDescent="0.3">
      <c r="K529" t="str">
        <f t="shared" si="44"/>
        <v/>
      </c>
      <c r="L529" t="str">
        <f t="shared" si="40"/>
        <v/>
      </c>
      <c r="M529" t="str">
        <f t="shared" si="41"/>
        <v/>
      </c>
      <c r="N529" t="str">
        <f t="shared" si="42"/>
        <v/>
      </c>
      <c r="O529" t="str">
        <f t="shared" si="43"/>
        <v/>
      </c>
    </row>
    <row r="530" spans="11:15" x14ac:dyDescent="0.3">
      <c r="K530" t="str">
        <f t="shared" si="44"/>
        <v/>
      </c>
      <c r="L530" t="str">
        <f t="shared" si="40"/>
        <v/>
      </c>
      <c r="M530" t="str">
        <f t="shared" si="41"/>
        <v/>
      </c>
      <c r="N530" t="str">
        <f t="shared" si="42"/>
        <v/>
      </c>
      <c r="O530" t="str">
        <f t="shared" si="43"/>
        <v/>
      </c>
    </row>
    <row r="531" spans="11:15" x14ac:dyDescent="0.3">
      <c r="K531" t="str">
        <f t="shared" si="44"/>
        <v/>
      </c>
      <c r="L531" t="str">
        <f t="shared" si="40"/>
        <v/>
      </c>
      <c r="M531" t="str">
        <f t="shared" si="41"/>
        <v/>
      </c>
      <c r="N531" t="str">
        <f t="shared" si="42"/>
        <v/>
      </c>
      <c r="O531" t="str">
        <f t="shared" si="43"/>
        <v/>
      </c>
    </row>
    <row r="532" spans="11:15" x14ac:dyDescent="0.3">
      <c r="K532" t="str">
        <f t="shared" si="44"/>
        <v/>
      </c>
      <c r="L532" t="str">
        <f t="shared" si="40"/>
        <v/>
      </c>
      <c r="M532" t="str">
        <f t="shared" si="41"/>
        <v/>
      </c>
      <c r="N532" t="str">
        <f t="shared" si="42"/>
        <v/>
      </c>
      <c r="O532" t="str">
        <f t="shared" si="43"/>
        <v/>
      </c>
    </row>
    <row r="533" spans="11:15" x14ac:dyDescent="0.3">
      <c r="K533" t="str">
        <f t="shared" si="44"/>
        <v/>
      </c>
      <c r="L533" t="str">
        <f t="shared" si="40"/>
        <v/>
      </c>
      <c r="M533" t="str">
        <f t="shared" si="41"/>
        <v/>
      </c>
      <c r="N533" t="str">
        <f t="shared" si="42"/>
        <v/>
      </c>
      <c r="O533" t="str">
        <f t="shared" si="43"/>
        <v/>
      </c>
    </row>
    <row r="534" spans="11:15" x14ac:dyDescent="0.3">
      <c r="K534" t="str">
        <f t="shared" si="44"/>
        <v/>
      </c>
      <c r="L534" t="str">
        <f t="shared" si="40"/>
        <v/>
      </c>
      <c r="M534" t="str">
        <f t="shared" si="41"/>
        <v/>
      </c>
      <c r="N534" t="str">
        <f t="shared" si="42"/>
        <v/>
      </c>
      <c r="O534" t="str">
        <f t="shared" si="43"/>
        <v/>
      </c>
    </row>
    <row r="535" spans="11:15" x14ac:dyDescent="0.3">
      <c r="K535" t="str">
        <f t="shared" si="44"/>
        <v/>
      </c>
      <c r="L535" t="str">
        <f t="shared" si="40"/>
        <v/>
      </c>
      <c r="M535" t="str">
        <f t="shared" si="41"/>
        <v/>
      </c>
      <c r="N535" t="str">
        <f t="shared" si="42"/>
        <v/>
      </c>
      <c r="O535" t="str">
        <f t="shared" si="43"/>
        <v/>
      </c>
    </row>
    <row r="536" spans="11:15" x14ac:dyDescent="0.3">
      <c r="K536" t="str">
        <f t="shared" si="44"/>
        <v/>
      </c>
      <c r="L536" t="str">
        <f t="shared" si="40"/>
        <v/>
      </c>
      <c r="M536" t="str">
        <f t="shared" si="41"/>
        <v/>
      </c>
      <c r="N536" t="str">
        <f t="shared" si="42"/>
        <v/>
      </c>
      <c r="O536" t="str">
        <f t="shared" si="43"/>
        <v/>
      </c>
    </row>
    <row r="537" spans="11:15" x14ac:dyDescent="0.3">
      <c r="K537" t="str">
        <f t="shared" si="44"/>
        <v/>
      </c>
      <c r="L537" t="str">
        <f t="shared" si="40"/>
        <v/>
      </c>
      <c r="M537" t="str">
        <f t="shared" si="41"/>
        <v/>
      </c>
      <c r="N537" t="str">
        <f t="shared" si="42"/>
        <v/>
      </c>
      <c r="O537" t="str">
        <f t="shared" si="43"/>
        <v/>
      </c>
    </row>
    <row r="538" spans="11:15" x14ac:dyDescent="0.3">
      <c r="K538" t="str">
        <f t="shared" si="44"/>
        <v/>
      </c>
      <c r="L538" t="str">
        <f t="shared" si="40"/>
        <v/>
      </c>
      <c r="M538" t="str">
        <f t="shared" si="41"/>
        <v/>
      </c>
      <c r="N538" t="str">
        <f t="shared" si="42"/>
        <v/>
      </c>
      <c r="O538" t="str">
        <f t="shared" si="43"/>
        <v/>
      </c>
    </row>
    <row r="539" spans="11:15" x14ac:dyDescent="0.3">
      <c r="K539" t="str">
        <f t="shared" si="44"/>
        <v/>
      </c>
      <c r="L539" t="str">
        <f t="shared" si="40"/>
        <v/>
      </c>
      <c r="M539" t="str">
        <f t="shared" si="41"/>
        <v/>
      </c>
      <c r="N539" t="str">
        <f t="shared" si="42"/>
        <v/>
      </c>
      <c r="O539" t="str">
        <f t="shared" si="43"/>
        <v/>
      </c>
    </row>
    <row r="540" spans="11:15" x14ac:dyDescent="0.3">
      <c r="K540" t="str">
        <f t="shared" si="44"/>
        <v/>
      </c>
      <c r="L540" t="str">
        <f t="shared" si="40"/>
        <v/>
      </c>
      <c r="M540" t="str">
        <f t="shared" si="41"/>
        <v/>
      </c>
      <c r="N540" t="str">
        <f t="shared" si="42"/>
        <v/>
      </c>
      <c r="O540" t="str">
        <f t="shared" si="43"/>
        <v/>
      </c>
    </row>
    <row r="541" spans="11:15" x14ac:dyDescent="0.3">
      <c r="K541" t="str">
        <f t="shared" si="44"/>
        <v/>
      </c>
      <c r="L541" t="str">
        <f t="shared" si="40"/>
        <v/>
      </c>
      <c r="M541" t="str">
        <f t="shared" si="41"/>
        <v/>
      </c>
      <c r="N541" t="str">
        <f t="shared" si="42"/>
        <v/>
      </c>
      <c r="O541" t="str">
        <f t="shared" si="43"/>
        <v/>
      </c>
    </row>
    <row r="542" spans="11:15" x14ac:dyDescent="0.3">
      <c r="K542" t="str">
        <f t="shared" si="44"/>
        <v/>
      </c>
      <c r="L542" t="str">
        <f t="shared" si="40"/>
        <v/>
      </c>
      <c r="M542" t="str">
        <f t="shared" si="41"/>
        <v/>
      </c>
      <c r="N542" t="str">
        <f t="shared" si="42"/>
        <v/>
      </c>
      <c r="O542" t="str">
        <f t="shared" si="43"/>
        <v/>
      </c>
    </row>
    <row r="543" spans="11:15" x14ac:dyDescent="0.3">
      <c r="K543" t="str">
        <f t="shared" si="44"/>
        <v/>
      </c>
      <c r="L543" t="str">
        <f t="shared" si="40"/>
        <v/>
      </c>
      <c r="M543" t="str">
        <f t="shared" si="41"/>
        <v/>
      </c>
      <c r="N543" t="str">
        <f t="shared" si="42"/>
        <v/>
      </c>
      <c r="O543" t="str">
        <f t="shared" si="43"/>
        <v/>
      </c>
    </row>
    <row r="544" spans="11:15" x14ac:dyDescent="0.3">
      <c r="K544" t="str">
        <f t="shared" si="44"/>
        <v/>
      </c>
      <c r="L544" t="str">
        <f t="shared" si="40"/>
        <v/>
      </c>
      <c r="M544" t="str">
        <f t="shared" si="41"/>
        <v/>
      </c>
      <c r="N544" t="str">
        <f t="shared" si="42"/>
        <v/>
      </c>
      <c r="O544" t="str">
        <f t="shared" si="43"/>
        <v/>
      </c>
    </row>
    <row r="545" spans="11:15" x14ac:dyDescent="0.3">
      <c r="K545" t="str">
        <f t="shared" si="44"/>
        <v/>
      </c>
      <c r="L545" t="str">
        <f t="shared" si="40"/>
        <v/>
      </c>
      <c r="M545" t="str">
        <f t="shared" si="41"/>
        <v/>
      </c>
      <c r="N545" t="str">
        <f t="shared" si="42"/>
        <v/>
      </c>
      <c r="O545" t="str">
        <f t="shared" si="43"/>
        <v/>
      </c>
    </row>
    <row r="546" spans="11:15" x14ac:dyDescent="0.3">
      <c r="K546" t="str">
        <f t="shared" si="44"/>
        <v/>
      </c>
      <c r="L546" t="str">
        <f t="shared" si="40"/>
        <v/>
      </c>
      <c r="M546" t="str">
        <f t="shared" si="41"/>
        <v/>
      </c>
      <c r="N546" t="str">
        <f t="shared" si="42"/>
        <v/>
      </c>
      <c r="O546" t="str">
        <f t="shared" si="43"/>
        <v/>
      </c>
    </row>
    <row r="547" spans="11:15" x14ac:dyDescent="0.3">
      <c r="K547" t="str">
        <f t="shared" si="44"/>
        <v/>
      </c>
      <c r="L547" t="str">
        <f t="shared" si="40"/>
        <v/>
      </c>
      <c r="M547" t="str">
        <f t="shared" si="41"/>
        <v/>
      </c>
      <c r="N547" t="str">
        <f t="shared" si="42"/>
        <v/>
      </c>
      <c r="O547" t="str">
        <f t="shared" si="43"/>
        <v/>
      </c>
    </row>
    <row r="548" spans="11:15" x14ac:dyDescent="0.3">
      <c r="K548" t="str">
        <f t="shared" si="44"/>
        <v/>
      </c>
      <c r="L548" t="str">
        <f t="shared" si="40"/>
        <v/>
      </c>
      <c r="M548" t="str">
        <f t="shared" si="41"/>
        <v/>
      </c>
      <c r="N548" t="str">
        <f t="shared" si="42"/>
        <v/>
      </c>
      <c r="O548" t="str">
        <f t="shared" si="43"/>
        <v/>
      </c>
    </row>
    <row r="549" spans="11:15" x14ac:dyDescent="0.3">
      <c r="K549" t="str">
        <f t="shared" si="44"/>
        <v/>
      </c>
      <c r="L549" t="str">
        <f t="shared" si="40"/>
        <v/>
      </c>
      <c r="M549" t="str">
        <f t="shared" si="41"/>
        <v/>
      </c>
      <c r="N549" t="str">
        <f t="shared" si="42"/>
        <v/>
      </c>
      <c r="O549" t="str">
        <f t="shared" si="43"/>
        <v/>
      </c>
    </row>
    <row r="550" spans="11:15" x14ac:dyDescent="0.3">
      <c r="K550" t="str">
        <f t="shared" si="44"/>
        <v/>
      </c>
      <c r="L550" t="str">
        <f t="shared" si="40"/>
        <v/>
      </c>
      <c r="M550" t="str">
        <f t="shared" si="41"/>
        <v/>
      </c>
      <c r="N550" t="str">
        <f t="shared" si="42"/>
        <v/>
      </c>
      <c r="O550" t="str">
        <f t="shared" si="43"/>
        <v/>
      </c>
    </row>
    <row r="551" spans="11:15" x14ac:dyDescent="0.3">
      <c r="K551" t="str">
        <f t="shared" si="44"/>
        <v/>
      </c>
      <c r="L551" t="str">
        <f t="shared" si="40"/>
        <v/>
      </c>
      <c r="M551" t="str">
        <f t="shared" si="41"/>
        <v/>
      </c>
      <c r="N551" t="str">
        <f t="shared" si="42"/>
        <v/>
      </c>
      <c r="O551" t="str">
        <f t="shared" si="43"/>
        <v/>
      </c>
    </row>
    <row r="552" spans="11:15" x14ac:dyDescent="0.3">
      <c r="K552" t="str">
        <f t="shared" si="44"/>
        <v/>
      </c>
      <c r="L552" t="str">
        <f t="shared" si="40"/>
        <v/>
      </c>
      <c r="M552" t="str">
        <f t="shared" si="41"/>
        <v/>
      </c>
      <c r="N552" t="str">
        <f t="shared" si="42"/>
        <v/>
      </c>
      <c r="O552" t="str">
        <f t="shared" si="43"/>
        <v/>
      </c>
    </row>
    <row r="553" spans="11:15" x14ac:dyDescent="0.3">
      <c r="K553" t="str">
        <f t="shared" si="44"/>
        <v/>
      </c>
      <c r="L553" t="str">
        <f t="shared" si="40"/>
        <v/>
      </c>
      <c r="M553" t="str">
        <f t="shared" si="41"/>
        <v/>
      </c>
      <c r="N553" t="str">
        <f t="shared" si="42"/>
        <v/>
      </c>
      <c r="O553" t="str">
        <f t="shared" si="43"/>
        <v/>
      </c>
    </row>
    <row r="554" spans="11:15" x14ac:dyDescent="0.3">
      <c r="K554" t="str">
        <f t="shared" si="44"/>
        <v/>
      </c>
      <c r="L554" t="str">
        <f t="shared" si="40"/>
        <v/>
      </c>
      <c r="M554" t="str">
        <f t="shared" si="41"/>
        <v/>
      </c>
      <c r="N554" t="str">
        <f t="shared" si="42"/>
        <v/>
      </c>
      <c r="O554" t="str">
        <f t="shared" si="43"/>
        <v/>
      </c>
    </row>
    <row r="555" spans="11:15" x14ac:dyDescent="0.3">
      <c r="K555" t="str">
        <f t="shared" si="44"/>
        <v/>
      </c>
      <c r="L555" t="str">
        <f t="shared" si="40"/>
        <v/>
      </c>
      <c r="M555" t="str">
        <f t="shared" si="41"/>
        <v/>
      </c>
      <c r="N555" t="str">
        <f t="shared" si="42"/>
        <v/>
      </c>
      <c r="O555" t="str">
        <f t="shared" si="43"/>
        <v/>
      </c>
    </row>
    <row r="556" spans="11:15" x14ac:dyDescent="0.3">
      <c r="K556" t="str">
        <f t="shared" si="44"/>
        <v/>
      </c>
      <c r="L556" t="str">
        <f t="shared" si="40"/>
        <v/>
      </c>
      <c r="M556" t="str">
        <f t="shared" si="41"/>
        <v/>
      </c>
      <c r="N556" t="str">
        <f t="shared" si="42"/>
        <v/>
      </c>
      <c r="O556" t="str">
        <f t="shared" si="43"/>
        <v/>
      </c>
    </row>
    <row r="557" spans="11:15" x14ac:dyDescent="0.3">
      <c r="K557" t="str">
        <f t="shared" si="44"/>
        <v/>
      </c>
      <c r="L557" t="str">
        <f t="shared" si="40"/>
        <v/>
      </c>
      <c r="M557" t="str">
        <f t="shared" si="41"/>
        <v/>
      </c>
      <c r="N557" t="str">
        <f t="shared" si="42"/>
        <v/>
      </c>
      <c r="O557" t="str">
        <f t="shared" si="43"/>
        <v/>
      </c>
    </row>
    <row r="558" spans="11:15" x14ac:dyDescent="0.3">
      <c r="K558" t="str">
        <f t="shared" si="44"/>
        <v/>
      </c>
      <c r="L558" t="str">
        <f t="shared" si="40"/>
        <v/>
      </c>
      <c r="M558" t="str">
        <f t="shared" si="41"/>
        <v/>
      </c>
      <c r="N558" t="str">
        <f t="shared" si="42"/>
        <v/>
      </c>
      <c r="O558" t="str">
        <f t="shared" si="43"/>
        <v/>
      </c>
    </row>
    <row r="559" spans="11:15" x14ac:dyDescent="0.3">
      <c r="K559" t="str">
        <f t="shared" si="44"/>
        <v/>
      </c>
      <c r="L559" t="str">
        <f t="shared" si="40"/>
        <v/>
      </c>
      <c r="M559" t="str">
        <f t="shared" si="41"/>
        <v/>
      </c>
      <c r="N559" t="str">
        <f t="shared" si="42"/>
        <v/>
      </c>
      <c r="O559" t="str">
        <f t="shared" si="43"/>
        <v/>
      </c>
    </row>
    <row r="560" spans="11:15" x14ac:dyDescent="0.3">
      <c r="K560" t="str">
        <f t="shared" si="44"/>
        <v/>
      </c>
      <c r="L560" t="str">
        <f t="shared" si="40"/>
        <v/>
      </c>
      <c r="M560" t="str">
        <f t="shared" si="41"/>
        <v/>
      </c>
      <c r="N560" t="str">
        <f t="shared" si="42"/>
        <v/>
      </c>
      <c r="O560" t="str">
        <f t="shared" si="43"/>
        <v/>
      </c>
    </row>
    <row r="561" spans="11:15" x14ac:dyDescent="0.3">
      <c r="K561" t="str">
        <f t="shared" si="44"/>
        <v/>
      </c>
      <c r="L561" t="str">
        <f t="shared" si="40"/>
        <v/>
      </c>
      <c r="M561" t="str">
        <f t="shared" si="41"/>
        <v/>
      </c>
      <c r="N561" t="str">
        <f t="shared" si="42"/>
        <v/>
      </c>
      <c r="O561" t="str">
        <f t="shared" si="43"/>
        <v/>
      </c>
    </row>
    <row r="562" spans="11:15" x14ac:dyDescent="0.3">
      <c r="K562" t="str">
        <f t="shared" si="44"/>
        <v/>
      </c>
      <c r="L562" t="str">
        <f t="shared" si="40"/>
        <v/>
      </c>
      <c r="M562" t="str">
        <f t="shared" si="41"/>
        <v/>
      </c>
      <c r="N562" t="str">
        <f t="shared" si="42"/>
        <v/>
      </c>
      <c r="O562" t="str">
        <f t="shared" si="43"/>
        <v/>
      </c>
    </row>
    <row r="563" spans="11:15" x14ac:dyDescent="0.3">
      <c r="K563" t="str">
        <f t="shared" si="44"/>
        <v/>
      </c>
      <c r="L563" t="str">
        <f t="shared" si="40"/>
        <v/>
      </c>
      <c r="M563" t="str">
        <f t="shared" si="41"/>
        <v/>
      </c>
      <c r="N563" t="str">
        <f t="shared" si="42"/>
        <v/>
      </c>
      <c r="O563" t="str">
        <f t="shared" si="43"/>
        <v/>
      </c>
    </row>
    <row r="564" spans="11:15" x14ac:dyDescent="0.3">
      <c r="K564" t="str">
        <f t="shared" si="44"/>
        <v/>
      </c>
      <c r="L564" t="str">
        <f t="shared" si="40"/>
        <v/>
      </c>
      <c r="M564" t="str">
        <f t="shared" si="41"/>
        <v/>
      </c>
      <c r="N564" t="str">
        <f t="shared" si="42"/>
        <v/>
      </c>
      <c r="O564" t="str">
        <f t="shared" si="43"/>
        <v/>
      </c>
    </row>
    <row r="565" spans="11:15" x14ac:dyDescent="0.3">
      <c r="K565" t="str">
        <f t="shared" si="44"/>
        <v/>
      </c>
      <c r="L565" t="str">
        <f t="shared" si="40"/>
        <v/>
      </c>
      <c r="M565" t="str">
        <f t="shared" si="41"/>
        <v/>
      </c>
      <c r="N565" t="str">
        <f t="shared" si="42"/>
        <v/>
      </c>
      <c r="O565" t="str">
        <f t="shared" si="43"/>
        <v/>
      </c>
    </row>
    <row r="566" spans="11:15" x14ac:dyDescent="0.3">
      <c r="K566" t="str">
        <f t="shared" si="44"/>
        <v/>
      </c>
      <c r="L566" t="str">
        <f t="shared" si="40"/>
        <v/>
      </c>
      <c r="M566" t="str">
        <f t="shared" si="41"/>
        <v/>
      </c>
      <c r="N566" t="str">
        <f t="shared" si="42"/>
        <v/>
      </c>
      <c r="O566" t="str">
        <f t="shared" si="43"/>
        <v/>
      </c>
    </row>
    <row r="567" spans="11:15" x14ac:dyDescent="0.3">
      <c r="K567" t="str">
        <f t="shared" si="44"/>
        <v/>
      </c>
      <c r="L567" t="str">
        <f t="shared" si="40"/>
        <v/>
      </c>
      <c r="M567" t="str">
        <f t="shared" si="41"/>
        <v/>
      </c>
      <c r="N567" t="str">
        <f t="shared" si="42"/>
        <v/>
      </c>
      <c r="O567" t="str">
        <f t="shared" si="43"/>
        <v/>
      </c>
    </row>
    <row r="568" spans="11:15" x14ac:dyDescent="0.3">
      <c r="K568" t="str">
        <f t="shared" si="44"/>
        <v/>
      </c>
      <c r="L568" t="str">
        <f t="shared" si="40"/>
        <v/>
      </c>
      <c r="M568" t="str">
        <f t="shared" si="41"/>
        <v/>
      </c>
      <c r="N568" t="str">
        <f t="shared" si="42"/>
        <v/>
      </c>
      <c r="O568" t="str">
        <f t="shared" si="43"/>
        <v/>
      </c>
    </row>
    <row r="569" spans="11:15" x14ac:dyDescent="0.3">
      <c r="K569" t="str">
        <f t="shared" si="44"/>
        <v/>
      </c>
      <c r="L569" t="str">
        <f t="shared" si="40"/>
        <v/>
      </c>
      <c r="M569" t="str">
        <f t="shared" si="41"/>
        <v/>
      </c>
      <c r="N569" t="str">
        <f t="shared" si="42"/>
        <v/>
      </c>
      <c r="O569" t="str">
        <f t="shared" si="43"/>
        <v/>
      </c>
    </row>
    <row r="570" spans="11:15" x14ac:dyDescent="0.3">
      <c r="K570" t="str">
        <f t="shared" si="44"/>
        <v/>
      </c>
      <c r="L570" t="str">
        <f t="shared" si="40"/>
        <v/>
      </c>
      <c r="M570" t="str">
        <f t="shared" si="41"/>
        <v/>
      </c>
      <c r="N570" t="str">
        <f t="shared" si="42"/>
        <v/>
      </c>
      <c r="O570" t="str">
        <f t="shared" si="43"/>
        <v/>
      </c>
    </row>
    <row r="571" spans="11:15" x14ac:dyDescent="0.3">
      <c r="K571" t="str">
        <f t="shared" si="44"/>
        <v/>
      </c>
      <c r="L571" t="str">
        <f t="shared" si="40"/>
        <v/>
      </c>
      <c r="M571" t="str">
        <f t="shared" si="41"/>
        <v/>
      </c>
      <c r="N571" t="str">
        <f t="shared" si="42"/>
        <v/>
      </c>
      <c r="O571" t="str">
        <f t="shared" si="43"/>
        <v/>
      </c>
    </row>
    <row r="572" spans="11:15" x14ac:dyDescent="0.3">
      <c r="K572" t="str">
        <f t="shared" si="44"/>
        <v/>
      </c>
      <c r="L572" t="str">
        <f t="shared" si="40"/>
        <v/>
      </c>
      <c r="M572" t="str">
        <f t="shared" si="41"/>
        <v/>
      </c>
      <c r="N572" t="str">
        <f t="shared" si="42"/>
        <v/>
      </c>
      <c r="O572" t="str">
        <f t="shared" si="43"/>
        <v/>
      </c>
    </row>
    <row r="573" spans="11:15" x14ac:dyDescent="0.3">
      <c r="K573" t="str">
        <f t="shared" si="44"/>
        <v/>
      </c>
      <c r="L573" t="str">
        <f t="shared" si="40"/>
        <v/>
      </c>
      <c r="M573" t="str">
        <f t="shared" si="41"/>
        <v/>
      </c>
      <c r="N573" t="str">
        <f t="shared" si="42"/>
        <v/>
      </c>
      <c r="O573" t="str">
        <f t="shared" si="43"/>
        <v/>
      </c>
    </row>
    <row r="574" spans="11:15" x14ac:dyDescent="0.3">
      <c r="K574" t="str">
        <f t="shared" si="44"/>
        <v/>
      </c>
      <c r="L574" t="str">
        <f t="shared" si="40"/>
        <v/>
      </c>
      <c r="M574" t="str">
        <f t="shared" si="41"/>
        <v/>
      </c>
      <c r="N574" t="str">
        <f t="shared" si="42"/>
        <v/>
      </c>
      <c r="O574" t="str">
        <f t="shared" si="43"/>
        <v/>
      </c>
    </row>
    <row r="575" spans="11:15" x14ac:dyDescent="0.3">
      <c r="K575" t="str">
        <f t="shared" si="44"/>
        <v/>
      </c>
      <c r="L575" t="str">
        <f t="shared" si="40"/>
        <v/>
      </c>
      <c r="M575" t="str">
        <f t="shared" si="41"/>
        <v/>
      </c>
      <c r="N575" t="str">
        <f t="shared" si="42"/>
        <v/>
      </c>
      <c r="O575" t="str">
        <f t="shared" si="43"/>
        <v/>
      </c>
    </row>
    <row r="576" spans="11:15" x14ac:dyDescent="0.3">
      <c r="K576" t="str">
        <f t="shared" si="44"/>
        <v/>
      </c>
      <c r="L576" t="str">
        <f t="shared" si="40"/>
        <v/>
      </c>
      <c r="M576" t="str">
        <f t="shared" si="41"/>
        <v/>
      </c>
      <c r="N576" t="str">
        <f t="shared" si="42"/>
        <v/>
      </c>
      <c r="O576" t="str">
        <f t="shared" si="43"/>
        <v/>
      </c>
    </row>
    <row r="577" spans="11:15" x14ac:dyDescent="0.3">
      <c r="K577" t="str">
        <f t="shared" si="44"/>
        <v/>
      </c>
      <c r="L577" t="str">
        <f t="shared" ref="L577:L640" si="45">IF(A577="","",IF(ISNUMBER(--LEFT(A577,FIND(" - ",A577&amp;" - ")-1)),LEFT(A577,FIND(" - ",A577&amp;" - ")-1),TRIM(A577)))</f>
        <v/>
      </c>
      <c r="M577" t="str">
        <f t="shared" ref="M577:M640" si="46">IF(OR(K577="",K577=A577,A577=""),"",K577&amp;"|"&amp;L577)</f>
        <v/>
      </c>
      <c r="N577" t="str">
        <f t="shared" ref="N577:N640" si="47">IF(M577="","",IF(ISNUMBER(B577),B577,IFERROR(_xlfn.NUMBERVALUE(B577,".",","),0)))</f>
        <v/>
      </c>
      <c r="O577" t="str">
        <f t="shared" ref="O577:O640" si="48">IF(M577="","",IF(ISNUMBER(C577),C577,IFERROR(_xlfn.NUMBERVALUE(C577,".",","),0)))</f>
        <v/>
      </c>
    </row>
    <row r="578" spans="11:15" x14ac:dyDescent="0.3">
      <c r="K578" t="str">
        <f t="shared" ref="K578:K641" si="49">IF(OR(LEFT(B578,9)="DOANH THU",LEFT(B578,8)="SỐ LƯỢNG"),A578,K577)</f>
        <v/>
      </c>
      <c r="L578" t="str">
        <f t="shared" si="45"/>
        <v/>
      </c>
      <c r="M578" t="str">
        <f t="shared" si="46"/>
        <v/>
      </c>
      <c r="N578" t="str">
        <f t="shared" si="47"/>
        <v/>
      </c>
      <c r="O578" t="str">
        <f t="shared" si="48"/>
        <v/>
      </c>
    </row>
    <row r="579" spans="11:15" x14ac:dyDescent="0.3">
      <c r="K579" t="str">
        <f t="shared" si="49"/>
        <v/>
      </c>
      <c r="L579" t="str">
        <f t="shared" si="45"/>
        <v/>
      </c>
      <c r="M579" t="str">
        <f t="shared" si="46"/>
        <v/>
      </c>
      <c r="N579" t="str">
        <f t="shared" si="47"/>
        <v/>
      </c>
      <c r="O579" t="str">
        <f t="shared" si="48"/>
        <v/>
      </c>
    </row>
    <row r="580" spans="11:15" x14ac:dyDescent="0.3">
      <c r="K580" t="str">
        <f t="shared" si="49"/>
        <v/>
      </c>
      <c r="L580" t="str">
        <f t="shared" si="45"/>
        <v/>
      </c>
      <c r="M580" t="str">
        <f t="shared" si="46"/>
        <v/>
      </c>
      <c r="N580" t="str">
        <f t="shared" si="47"/>
        <v/>
      </c>
      <c r="O580" t="str">
        <f t="shared" si="48"/>
        <v/>
      </c>
    </row>
    <row r="581" spans="11:15" x14ac:dyDescent="0.3">
      <c r="K581" t="str">
        <f t="shared" si="49"/>
        <v/>
      </c>
      <c r="L581" t="str">
        <f t="shared" si="45"/>
        <v/>
      </c>
      <c r="M581" t="str">
        <f t="shared" si="46"/>
        <v/>
      </c>
      <c r="N581" t="str">
        <f t="shared" si="47"/>
        <v/>
      </c>
      <c r="O581" t="str">
        <f t="shared" si="48"/>
        <v/>
      </c>
    </row>
    <row r="582" spans="11:15" x14ac:dyDescent="0.3">
      <c r="K582" t="str">
        <f t="shared" si="49"/>
        <v/>
      </c>
      <c r="L582" t="str">
        <f t="shared" si="45"/>
        <v/>
      </c>
      <c r="M582" t="str">
        <f t="shared" si="46"/>
        <v/>
      </c>
      <c r="N582" t="str">
        <f t="shared" si="47"/>
        <v/>
      </c>
      <c r="O582" t="str">
        <f t="shared" si="48"/>
        <v/>
      </c>
    </row>
    <row r="583" spans="11:15" x14ac:dyDescent="0.3">
      <c r="K583" t="str">
        <f t="shared" si="49"/>
        <v/>
      </c>
      <c r="L583" t="str">
        <f t="shared" si="45"/>
        <v/>
      </c>
      <c r="M583" t="str">
        <f t="shared" si="46"/>
        <v/>
      </c>
      <c r="N583" t="str">
        <f t="shared" si="47"/>
        <v/>
      </c>
      <c r="O583" t="str">
        <f t="shared" si="48"/>
        <v/>
      </c>
    </row>
    <row r="584" spans="11:15" x14ac:dyDescent="0.3">
      <c r="K584" t="str">
        <f t="shared" si="49"/>
        <v/>
      </c>
      <c r="L584" t="str">
        <f t="shared" si="45"/>
        <v/>
      </c>
      <c r="M584" t="str">
        <f t="shared" si="46"/>
        <v/>
      </c>
      <c r="N584" t="str">
        <f t="shared" si="47"/>
        <v/>
      </c>
      <c r="O584" t="str">
        <f t="shared" si="48"/>
        <v/>
      </c>
    </row>
    <row r="585" spans="11:15" x14ac:dyDescent="0.3">
      <c r="K585" t="str">
        <f t="shared" si="49"/>
        <v/>
      </c>
      <c r="L585" t="str">
        <f t="shared" si="45"/>
        <v/>
      </c>
      <c r="M585" t="str">
        <f t="shared" si="46"/>
        <v/>
      </c>
      <c r="N585" t="str">
        <f t="shared" si="47"/>
        <v/>
      </c>
      <c r="O585" t="str">
        <f t="shared" si="48"/>
        <v/>
      </c>
    </row>
    <row r="586" spans="11:15" x14ac:dyDescent="0.3">
      <c r="K586" t="str">
        <f t="shared" si="49"/>
        <v/>
      </c>
      <c r="L586" t="str">
        <f t="shared" si="45"/>
        <v/>
      </c>
      <c r="M586" t="str">
        <f t="shared" si="46"/>
        <v/>
      </c>
      <c r="N586" t="str">
        <f t="shared" si="47"/>
        <v/>
      </c>
      <c r="O586" t="str">
        <f t="shared" si="48"/>
        <v/>
      </c>
    </row>
    <row r="587" spans="11:15" x14ac:dyDescent="0.3">
      <c r="K587" t="str">
        <f t="shared" si="49"/>
        <v/>
      </c>
      <c r="L587" t="str">
        <f t="shared" si="45"/>
        <v/>
      </c>
      <c r="M587" t="str">
        <f t="shared" si="46"/>
        <v/>
      </c>
      <c r="N587" t="str">
        <f t="shared" si="47"/>
        <v/>
      </c>
      <c r="O587" t="str">
        <f t="shared" si="48"/>
        <v/>
      </c>
    </row>
    <row r="588" spans="11:15" x14ac:dyDescent="0.3">
      <c r="K588" t="str">
        <f t="shared" si="49"/>
        <v/>
      </c>
      <c r="L588" t="str">
        <f t="shared" si="45"/>
        <v/>
      </c>
      <c r="M588" t="str">
        <f t="shared" si="46"/>
        <v/>
      </c>
      <c r="N588" t="str">
        <f t="shared" si="47"/>
        <v/>
      </c>
      <c r="O588" t="str">
        <f t="shared" si="48"/>
        <v/>
      </c>
    </row>
    <row r="589" spans="11:15" x14ac:dyDescent="0.3">
      <c r="K589" t="str">
        <f t="shared" si="49"/>
        <v/>
      </c>
      <c r="L589" t="str">
        <f t="shared" si="45"/>
        <v/>
      </c>
      <c r="M589" t="str">
        <f t="shared" si="46"/>
        <v/>
      </c>
      <c r="N589" t="str">
        <f t="shared" si="47"/>
        <v/>
      </c>
      <c r="O589" t="str">
        <f t="shared" si="48"/>
        <v/>
      </c>
    </row>
    <row r="590" spans="11:15" x14ac:dyDescent="0.3">
      <c r="K590" t="str">
        <f t="shared" si="49"/>
        <v/>
      </c>
      <c r="L590" t="str">
        <f t="shared" si="45"/>
        <v/>
      </c>
      <c r="M590" t="str">
        <f t="shared" si="46"/>
        <v/>
      </c>
      <c r="N590" t="str">
        <f t="shared" si="47"/>
        <v/>
      </c>
      <c r="O590" t="str">
        <f t="shared" si="48"/>
        <v/>
      </c>
    </row>
    <row r="591" spans="11:15" x14ac:dyDescent="0.3">
      <c r="K591" t="str">
        <f t="shared" si="49"/>
        <v/>
      </c>
      <c r="L591" t="str">
        <f t="shared" si="45"/>
        <v/>
      </c>
      <c r="M591" t="str">
        <f t="shared" si="46"/>
        <v/>
      </c>
      <c r="N591" t="str">
        <f t="shared" si="47"/>
        <v/>
      </c>
      <c r="O591" t="str">
        <f t="shared" si="48"/>
        <v/>
      </c>
    </row>
    <row r="592" spans="11:15" x14ac:dyDescent="0.3">
      <c r="K592" t="str">
        <f t="shared" si="49"/>
        <v/>
      </c>
      <c r="L592" t="str">
        <f t="shared" si="45"/>
        <v/>
      </c>
      <c r="M592" t="str">
        <f t="shared" si="46"/>
        <v/>
      </c>
      <c r="N592" t="str">
        <f t="shared" si="47"/>
        <v/>
      </c>
      <c r="O592" t="str">
        <f t="shared" si="48"/>
        <v/>
      </c>
    </row>
    <row r="593" spans="11:15" x14ac:dyDescent="0.3">
      <c r="K593" t="str">
        <f t="shared" si="49"/>
        <v/>
      </c>
      <c r="L593" t="str">
        <f t="shared" si="45"/>
        <v/>
      </c>
      <c r="M593" t="str">
        <f t="shared" si="46"/>
        <v/>
      </c>
      <c r="N593" t="str">
        <f t="shared" si="47"/>
        <v/>
      </c>
      <c r="O593" t="str">
        <f t="shared" si="48"/>
        <v/>
      </c>
    </row>
    <row r="594" spans="11:15" x14ac:dyDescent="0.3">
      <c r="K594" t="str">
        <f t="shared" si="49"/>
        <v/>
      </c>
      <c r="L594" t="str">
        <f t="shared" si="45"/>
        <v/>
      </c>
      <c r="M594" t="str">
        <f t="shared" si="46"/>
        <v/>
      </c>
      <c r="N594" t="str">
        <f t="shared" si="47"/>
        <v/>
      </c>
      <c r="O594" t="str">
        <f t="shared" si="48"/>
        <v/>
      </c>
    </row>
    <row r="595" spans="11:15" x14ac:dyDescent="0.3">
      <c r="K595" t="str">
        <f t="shared" si="49"/>
        <v/>
      </c>
      <c r="L595" t="str">
        <f t="shared" si="45"/>
        <v/>
      </c>
      <c r="M595" t="str">
        <f t="shared" si="46"/>
        <v/>
      </c>
      <c r="N595" t="str">
        <f t="shared" si="47"/>
        <v/>
      </c>
      <c r="O595" t="str">
        <f t="shared" si="48"/>
        <v/>
      </c>
    </row>
    <row r="596" spans="11:15" x14ac:dyDescent="0.3">
      <c r="K596" t="str">
        <f t="shared" si="49"/>
        <v/>
      </c>
      <c r="L596" t="str">
        <f t="shared" si="45"/>
        <v/>
      </c>
      <c r="M596" t="str">
        <f t="shared" si="46"/>
        <v/>
      </c>
      <c r="N596" t="str">
        <f t="shared" si="47"/>
        <v/>
      </c>
      <c r="O596" t="str">
        <f t="shared" si="48"/>
        <v/>
      </c>
    </row>
    <row r="597" spans="11:15" x14ac:dyDescent="0.3">
      <c r="K597" t="str">
        <f t="shared" si="49"/>
        <v/>
      </c>
      <c r="L597" t="str">
        <f t="shared" si="45"/>
        <v/>
      </c>
      <c r="M597" t="str">
        <f t="shared" si="46"/>
        <v/>
      </c>
      <c r="N597" t="str">
        <f t="shared" si="47"/>
        <v/>
      </c>
      <c r="O597" t="str">
        <f t="shared" si="48"/>
        <v/>
      </c>
    </row>
    <row r="598" spans="11:15" x14ac:dyDescent="0.3">
      <c r="K598" t="str">
        <f t="shared" si="49"/>
        <v/>
      </c>
      <c r="L598" t="str">
        <f t="shared" si="45"/>
        <v/>
      </c>
      <c r="M598" t="str">
        <f t="shared" si="46"/>
        <v/>
      </c>
      <c r="N598" t="str">
        <f t="shared" si="47"/>
        <v/>
      </c>
      <c r="O598" t="str">
        <f t="shared" si="48"/>
        <v/>
      </c>
    </row>
    <row r="599" spans="11:15" x14ac:dyDescent="0.3">
      <c r="K599" t="str">
        <f t="shared" si="49"/>
        <v/>
      </c>
      <c r="L599" t="str">
        <f t="shared" si="45"/>
        <v/>
      </c>
      <c r="M599" t="str">
        <f t="shared" si="46"/>
        <v/>
      </c>
      <c r="N599" t="str">
        <f t="shared" si="47"/>
        <v/>
      </c>
      <c r="O599" t="str">
        <f t="shared" si="48"/>
        <v/>
      </c>
    </row>
    <row r="600" spans="11:15" x14ac:dyDescent="0.3">
      <c r="K600" t="str">
        <f t="shared" si="49"/>
        <v/>
      </c>
      <c r="L600" t="str">
        <f t="shared" si="45"/>
        <v/>
      </c>
      <c r="M600" t="str">
        <f t="shared" si="46"/>
        <v/>
      </c>
      <c r="N600" t="str">
        <f t="shared" si="47"/>
        <v/>
      </c>
      <c r="O600" t="str">
        <f t="shared" si="48"/>
        <v/>
      </c>
    </row>
    <row r="601" spans="11:15" x14ac:dyDescent="0.3">
      <c r="K601" t="str">
        <f t="shared" si="49"/>
        <v/>
      </c>
      <c r="L601" t="str">
        <f t="shared" si="45"/>
        <v/>
      </c>
      <c r="M601" t="str">
        <f t="shared" si="46"/>
        <v/>
      </c>
      <c r="N601" t="str">
        <f t="shared" si="47"/>
        <v/>
      </c>
      <c r="O601" t="str">
        <f t="shared" si="48"/>
        <v/>
      </c>
    </row>
    <row r="602" spans="11:15" x14ac:dyDescent="0.3">
      <c r="K602" t="str">
        <f t="shared" si="49"/>
        <v/>
      </c>
      <c r="L602" t="str">
        <f t="shared" si="45"/>
        <v/>
      </c>
      <c r="M602" t="str">
        <f t="shared" si="46"/>
        <v/>
      </c>
      <c r="N602" t="str">
        <f t="shared" si="47"/>
        <v/>
      </c>
      <c r="O602" t="str">
        <f t="shared" si="48"/>
        <v/>
      </c>
    </row>
    <row r="603" spans="11:15" x14ac:dyDescent="0.3">
      <c r="K603" t="str">
        <f t="shared" si="49"/>
        <v/>
      </c>
      <c r="L603" t="str">
        <f t="shared" si="45"/>
        <v/>
      </c>
      <c r="M603" t="str">
        <f t="shared" si="46"/>
        <v/>
      </c>
      <c r="N603" t="str">
        <f t="shared" si="47"/>
        <v/>
      </c>
      <c r="O603" t="str">
        <f t="shared" si="48"/>
        <v/>
      </c>
    </row>
    <row r="604" spans="11:15" x14ac:dyDescent="0.3">
      <c r="K604" t="str">
        <f t="shared" si="49"/>
        <v/>
      </c>
      <c r="L604" t="str">
        <f t="shared" si="45"/>
        <v/>
      </c>
      <c r="M604" t="str">
        <f t="shared" si="46"/>
        <v/>
      </c>
      <c r="N604" t="str">
        <f t="shared" si="47"/>
        <v/>
      </c>
      <c r="O604" t="str">
        <f t="shared" si="48"/>
        <v/>
      </c>
    </row>
    <row r="605" spans="11:15" x14ac:dyDescent="0.3">
      <c r="K605" t="str">
        <f t="shared" si="49"/>
        <v/>
      </c>
      <c r="L605" t="str">
        <f t="shared" si="45"/>
        <v/>
      </c>
      <c r="M605" t="str">
        <f t="shared" si="46"/>
        <v/>
      </c>
      <c r="N605" t="str">
        <f t="shared" si="47"/>
        <v/>
      </c>
      <c r="O605" t="str">
        <f t="shared" si="48"/>
        <v/>
      </c>
    </row>
    <row r="606" spans="11:15" x14ac:dyDescent="0.3">
      <c r="K606" t="str">
        <f t="shared" si="49"/>
        <v/>
      </c>
      <c r="L606" t="str">
        <f t="shared" si="45"/>
        <v/>
      </c>
      <c r="M606" t="str">
        <f t="shared" si="46"/>
        <v/>
      </c>
      <c r="N606" t="str">
        <f t="shared" si="47"/>
        <v/>
      </c>
      <c r="O606" t="str">
        <f t="shared" si="48"/>
        <v/>
      </c>
    </row>
    <row r="607" spans="11:15" x14ac:dyDescent="0.3">
      <c r="K607" t="str">
        <f t="shared" si="49"/>
        <v/>
      </c>
      <c r="L607" t="str">
        <f t="shared" si="45"/>
        <v/>
      </c>
      <c r="M607" t="str">
        <f t="shared" si="46"/>
        <v/>
      </c>
      <c r="N607" t="str">
        <f t="shared" si="47"/>
        <v/>
      </c>
      <c r="O607" t="str">
        <f t="shared" si="48"/>
        <v/>
      </c>
    </row>
    <row r="608" spans="11:15" x14ac:dyDescent="0.3">
      <c r="K608" t="str">
        <f t="shared" si="49"/>
        <v/>
      </c>
      <c r="L608" t="str">
        <f t="shared" si="45"/>
        <v/>
      </c>
      <c r="M608" t="str">
        <f t="shared" si="46"/>
        <v/>
      </c>
      <c r="N608" t="str">
        <f t="shared" si="47"/>
        <v/>
      </c>
      <c r="O608" t="str">
        <f t="shared" si="48"/>
        <v/>
      </c>
    </row>
    <row r="609" spans="11:15" x14ac:dyDescent="0.3">
      <c r="K609" t="str">
        <f t="shared" si="49"/>
        <v/>
      </c>
      <c r="L609" t="str">
        <f t="shared" si="45"/>
        <v/>
      </c>
      <c r="M609" t="str">
        <f t="shared" si="46"/>
        <v/>
      </c>
      <c r="N609" t="str">
        <f t="shared" si="47"/>
        <v/>
      </c>
      <c r="O609" t="str">
        <f t="shared" si="48"/>
        <v/>
      </c>
    </row>
    <row r="610" spans="11:15" x14ac:dyDescent="0.3">
      <c r="K610" t="str">
        <f t="shared" si="49"/>
        <v/>
      </c>
      <c r="L610" t="str">
        <f t="shared" si="45"/>
        <v/>
      </c>
      <c r="M610" t="str">
        <f t="shared" si="46"/>
        <v/>
      </c>
      <c r="N610" t="str">
        <f t="shared" si="47"/>
        <v/>
      </c>
      <c r="O610" t="str">
        <f t="shared" si="48"/>
        <v/>
      </c>
    </row>
    <row r="611" spans="11:15" x14ac:dyDescent="0.3">
      <c r="K611" t="str">
        <f t="shared" si="49"/>
        <v/>
      </c>
      <c r="L611" t="str">
        <f t="shared" si="45"/>
        <v/>
      </c>
      <c r="M611" t="str">
        <f t="shared" si="46"/>
        <v/>
      </c>
      <c r="N611" t="str">
        <f t="shared" si="47"/>
        <v/>
      </c>
      <c r="O611" t="str">
        <f t="shared" si="48"/>
        <v/>
      </c>
    </row>
    <row r="612" spans="11:15" x14ac:dyDescent="0.3">
      <c r="K612" t="str">
        <f t="shared" si="49"/>
        <v/>
      </c>
      <c r="L612" t="str">
        <f t="shared" si="45"/>
        <v/>
      </c>
      <c r="M612" t="str">
        <f t="shared" si="46"/>
        <v/>
      </c>
      <c r="N612" t="str">
        <f t="shared" si="47"/>
        <v/>
      </c>
      <c r="O612" t="str">
        <f t="shared" si="48"/>
        <v/>
      </c>
    </row>
    <row r="613" spans="11:15" x14ac:dyDescent="0.3">
      <c r="K613" t="str">
        <f t="shared" si="49"/>
        <v/>
      </c>
      <c r="L613" t="str">
        <f t="shared" si="45"/>
        <v/>
      </c>
      <c r="M613" t="str">
        <f t="shared" si="46"/>
        <v/>
      </c>
      <c r="N613" t="str">
        <f t="shared" si="47"/>
        <v/>
      </c>
      <c r="O613" t="str">
        <f t="shared" si="48"/>
        <v/>
      </c>
    </row>
    <row r="614" spans="11:15" x14ac:dyDescent="0.3">
      <c r="K614" t="str">
        <f t="shared" si="49"/>
        <v/>
      </c>
      <c r="L614" t="str">
        <f t="shared" si="45"/>
        <v/>
      </c>
      <c r="M614" t="str">
        <f t="shared" si="46"/>
        <v/>
      </c>
      <c r="N614" t="str">
        <f t="shared" si="47"/>
        <v/>
      </c>
      <c r="O614" t="str">
        <f t="shared" si="48"/>
        <v/>
      </c>
    </row>
    <row r="615" spans="11:15" x14ac:dyDescent="0.3">
      <c r="K615" t="str">
        <f t="shared" si="49"/>
        <v/>
      </c>
      <c r="L615" t="str">
        <f t="shared" si="45"/>
        <v/>
      </c>
      <c r="M615" t="str">
        <f t="shared" si="46"/>
        <v/>
      </c>
      <c r="N615" t="str">
        <f t="shared" si="47"/>
        <v/>
      </c>
      <c r="O615" t="str">
        <f t="shared" si="48"/>
        <v/>
      </c>
    </row>
    <row r="616" spans="11:15" x14ac:dyDescent="0.3">
      <c r="K616" t="str">
        <f t="shared" si="49"/>
        <v/>
      </c>
      <c r="L616" t="str">
        <f t="shared" si="45"/>
        <v/>
      </c>
      <c r="M616" t="str">
        <f t="shared" si="46"/>
        <v/>
      </c>
      <c r="N616" t="str">
        <f t="shared" si="47"/>
        <v/>
      </c>
      <c r="O616" t="str">
        <f t="shared" si="48"/>
        <v/>
      </c>
    </row>
    <row r="617" spans="11:15" x14ac:dyDescent="0.3">
      <c r="K617" t="str">
        <f t="shared" si="49"/>
        <v/>
      </c>
      <c r="L617" t="str">
        <f t="shared" si="45"/>
        <v/>
      </c>
      <c r="M617" t="str">
        <f t="shared" si="46"/>
        <v/>
      </c>
      <c r="N617" t="str">
        <f t="shared" si="47"/>
        <v/>
      </c>
      <c r="O617" t="str">
        <f t="shared" si="48"/>
        <v/>
      </c>
    </row>
    <row r="618" spans="11:15" x14ac:dyDescent="0.3">
      <c r="K618" t="str">
        <f t="shared" si="49"/>
        <v/>
      </c>
      <c r="L618" t="str">
        <f t="shared" si="45"/>
        <v/>
      </c>
      <c r="M618" t="str">
        <f t="shared" si="46"/>
        <v/>
      </c>
      <c r="N618" t="str">
        <f t="shared" si="47"/>
        <v/>
      </c>
      <c r="O618" t="str">
        <f t="shared" si="48"/>
        <v/>
      </c>
    </row>
    <row r="619" spans="11:15" x14ac:dyDescent="0.3">
      <c r="K619" t="str">
        <f t="shared" si="49"/>
        <v/>
      </c>
      <c r="L619" t="str">
        <f t="shared" si="45"/>
        <v/>
      </c>
      <c r="M619" t="str">
        <f t="shared" si="46"/>
        <v/>
      </c>
      <c r="N619" t="str">
        <f t="shared" si="47"/>
        <v/>
      </c>
      <c r="O619" t="str">
        <f t="shared" si="48"/>
        <v/>
      </c>
    </row>
    <row r="620" spans="11:15" x14ac:dyDescent="0.3">
      <c r="K620" t="str">
        <f t="shared" si="49"/>
        <v/>
      </c>
      <c r="L620" t="str">
        <f t="shared" si="45"/>
        <v/>
      </c>
      <c r="M620" t="str">
        <f t="shared" si="46"/>
        <v/>
      </c>
      <c r="N620" t="str">
        <f t="shared" si="47"/>
        <v/>
      </c>
      <c r="O620" t="str">
        <f t="shared" si="48"/>
        <v/>
      </c>
    </row>
    <row r="621" spans="11:15" x14ac:dyDescent="0.3">
      <c r="K621" t="str">
        <f t="shared" si="49"/>
        <v/>
      </c>
      <c r="L621" t="str">
        <f t="shared" si="45"/>
        <v/>
      </c>
      <c r="M621" t="str">
        <f t="shared" si="46"/>
        <v/>
      </c>
      <c r="N621" t="str">
        <f t="shared" si="47"/>
        <v/>
      </c>
      <c r="O621" t="str">
        <f t="shared" si="48"/>
        <v/>
      </c>
    </row>
    <row r="622" spans="11:15" x14ac:dyDescent="0.3">
      <c r="K622" t="str">
        <f t="shared" si="49"/>
        <v/>
      </c>
      <c r="L622" t="str">
        <f t="shared" si="45"/>
        <v/>
      </c>
      <c r="M622" t="str">
        <f t="shared" si="46"/>
        <v/>
      </c>
      <c r="N622" t="str">
        <f t="shared" si="47"/>
        <v/>
      </c>
      <c r="O622" t="str">
        <f t="shared" si="48"/>
        <v/>
      </c>
    </row>
    <row r="623" spans="11:15" x14ac:dyDescent="0.3">
      <c r="K623" t="str">
        <f t="shared" si="49"/>
        <v/>
      </c>
      <c r="L623" t="str">
        <f t="shared" si="45"/>
        <v/>
      </c>
      <c r="M623" t="str">
        <f t="shared" si="46"/>
        <v/>
      </c>
      <c r="N623" t="str">
        <f t="shared" si="47"/>
        <v/>
      </c>
      <c r="O623" t="str">
        <f t="shared" si="48"/>
        <v/>
      </c>
    </row>
    <row r="624" spans="11:15" x14ac:dyDescent="0.3">
      <c r="K624" t="str">
        <f t="shared" si="49"/>
        <v/>
      </c>
      <c r="L624" t="str">
        <f t="shared" si="45"/>
        <v/>
      </c>
      <c r="M624" t="str">
        <f t="shared" si="46"/>
        <v/>
      </c>
      <c r="N624" t="str">
        <f t="shared" si="47"/>
        <v/>
      </c>
      <c r="O624" t="str">
        <f t="shared" si="48"/>
        <v/>
      </c>
    </row>
    <row r="625" spans="11:15" x14ac:dyDescent="0.3">
      <c r="K625" t="str">
        <f t="shared" si="49"/>
        <v/>
      </c>
      <c r="L625" t="str">
        <f t="shared" si="45"/>
        <v/>
      </c>
      <c r="M625" t="str">
        <f t="shared" si="46"/>
        <v/>
      </c>
      <c r="N625" t="str">
        <f t="shared" si="47"/>
        <v/>
      </c>
      <c r="O625" t="str">
        <f t="shared" si="48"/>
        <v/>
      </c>
    </row>
    <row r="626" spans="11:15" x14ac:dyDescent="0.3">
      <c r="K626" t="str">
        <f t="shared" si="49"/>
        <v/>
      </c>
      <c r="L626" t="str">
        <f t="shared" si="45"/>
        <v/>
      </c>
      <c r="M626" t="str">
        <f t="shared" si="46"/>
        <v/>
      </c>
      <c r="N626" t="str">
        <f t="shared" si="47"/>
        <v/>
      </c>
      <c r="O626" t="str">
        <f t="shared" si="48"/>
        <v/>
      </c>
    </row>
    <row r="627" spans="11:15" x14ac:dyDescent="0.3">
      <c r="K627" t="str">
        <f t="shared" si="49"/>
        <v/>
      </c>
      <c r="L627" t="str">
        <f t="shared" si="45"/>
        <v/>
      </c>
      <c r="M627" t="str">
        <f t="shared" si="46"/>
        <v/>
      </c>
      <c r="N627" t="str">
        <f t="shared" si="47"/>
        <v/>
      </c>
      <c r="O627" t="str">
        <f t="shared" si="48"/>
        <v/>
      </c>
    </row>
    <row r="628" spans="11:15" x14ac:dyDescent="0.3">
      <c r="K628" t="str">
        <f t="shared" si="49"/>
        <v/>
      </c>
      <c r="L628" t="str">
        <f t="shared" si="45"/>
        <v/>
      </c>
      <c r="M628" t="str">
        <f t="shared" si="46"/>
        <v/>
      </c>
      <c r="N628" t="str">
        <f t="shared" si="47"/>
        <v/>
      </c>
      <c r="O628" t="str">
        <f t="shared" si="48"/>
        <v/>
      </c>
    </row>
    <row r="629" spans="11:15" x14ac:dyDescent="0.3">
      <c r="K629" t="str">
        <f t="shared" si="49"/>
        <v/>
      </c>
      <c r="L629" t="str">
        <f t="shared" si="45"/>
        <v/>
      </c>
      <c r="M629" t="str">
        <f t="shared" si="46"/>
        <v/>
      </c>
      <c r="N629" t="str">
        <f t="shared" si="47"/>
        <v/>
      </c>
      <c r="O629" t="str">
        <f t="shared" si="48"/>
        <v/>
      </c>
    </row>
    <row r="630" spans="11:15" x14ac:dyDescent="0.3">
      <c r="K630" t="str">
        <f t="shared" si="49"/>
        <v/>
      </c>
      <c r="L630" t="str">
        <f t="shared" si="45"/>
        <v/>
      </c>
      <c r="M630" t="str">
        <f t="shared" si="46"/>
        <v/>
      </c>
      <c r="N630" t="str">
        <f t="shared" si="47"/>
        <v/>
      </c>
      <c r="O630" t="str">
        <f t="shared" si="48"/>
        <v/>
      </c>
    </row>
    <row r="631" spans="11:15" x14ac:dyDescent="0.3">
      <c r="K631" t="str">
        <f t="shared" si="49"/>
        <v/>
      </c>
      <c r="L631" t="str">
        <f t="shared" si="45"/>
        <v/>
      </c>
      <c r="M631" t="str">
        <f t="shared" si="46"/>
        <v/>
      </c>
      <c r="N631" t="str">
        <f t="shared" si="47"/>
        <v/>
      </c>
      <c r="O631" t="str">
        <f t="shared" si="48"/>
        <v/>
      </c>
    </row>
    <row r="632" spans="11:15" x14ac:dyDescent="0.3">
      <c r="K632" t="str">
        <f t="shared" si="49"/>
        <v/>
      </c>
      <c r="L632" t="str">
        <f t="shared" si="45"/>
        <v/>
      </c>
      <c r="M632" t="str">
        <f t="shared" si="46"/>
        <v/>
      </c>
      <c r="N632" t="str">
        <f t="shared" si="47"/>
        <v/>
      </c>
      <c r="O632" t="str">
        <f t="shared" si="48"/>
        <v/>
      </c>
    </row>
    <row r="633" spans="11:15" x14ac:dyDescent="0.3">
      <c r="K633" t="str">
        <f t="shared" si="49"/>
        <v/>
      </c>
      <c r="L633" t="str">
        <f t="shared" si="45"/>
        <v/>
      </c>
      <c r="M633" t="str">
        <f t="shared" si="46"/>
        <v/>
      </c>
      <c r="N633" t="str">
        <f t="shared" si="47"/>
        <v/>
      </c>
      <c r="O633" t="str">
        <f t="shared" si="48"/>
        <v/>
      </c>
    </row>
    <row r="634" spans="11:15" x14ac:dyDescent="0.3">
      <c r="K634" t="str">
        <f t="shared" si="49"/>
        <v/>
      </c>
      <c r="L634" t="str">
        <f t="shared" si="45"/>
        <v/>
      </c>
      <c r="M634" t="str">
        <f t="shared" si="46"/>
        <v/>
      </c>
      <c r="N634" t="str">
        <f t="shared" si="47"/>
        <v/>
      </c>
      <c r="O634" t="str">
        <f t="shared" si="48"/>
        <v/>
      </c>
    </row>
    <row r="635" spans="11:15" x14ac:dyDescent="0.3">
      <c r="K635" t="str">
        <f t="shared" si="49"/>
        <v/>
      </c>
      <c r="L635" t="str">
        <f t="shared" si="45"/>
        <v/>
      </c>
      <c r="M635" t="str">
        <f t="shared" si="46"/>
        <v/>
      </c>
      <c r="N635" t="str">
        <f t="shared" si="47"/>
        <v/>
      </c>
      <c r="O635" t="str">
        <f t="shared" si="48"/>
        <v/>
      </c>
    </row>
    <row r="636" spans="11:15" x14ac:dyDescent="0.3">
      <c r="K636" t="str">
        <f t="shared" si="49"/>
        <v/>
      </c>
      <c r="L636" t="str">
        <f t="shared" si="45"/>
        <v/>
      </c>
      <c r="M636" t="str">
        <f t="shared" si="46"/>
        <v/>
      </c>
      <c r="N636" t="str">
        <f t="shared" si="47"/>
        <v/>
      </c>
      <c r="O636" t="str">
        <f t="shared" si="48"/>
        <v/>
      </c>
    </row>
    <row r="637" spans="11:15" x14ac:dyDescent="0.3">
      <c r="K637" t="str">
        <f t="shared" si="49"/>
        <v/>
      </c>
      <c r="L637" t="str">
        <f t="shared" si="45"/>
        <v/>
      </c>
      <c r="M637" t="str">
        <f t="shared" si="46"/>
        <v/>
      </c>
      <c r="N637" t="str">
        <f t="shared" si="47"/>
        <v/>
      </c>
      <c r="O637" t="str">
        <f t="shared" si="48"/>
        <v/>
      </c>
    </row>
    <row r="638" spans="11:15" x14ac:dyDescent="0.3">
      <c r="K638" t="str">
        <f t="shared" si="49"/>
        <v/>
      </c>
      <c r="L638" t="str">
        <f t="shared" si="45"/>
        <v/>
      </c>
      <c r="M638" t="str">
        <f t="shared" si="46"/>
        <v/>
      </c>
      <c r="N638" t="str">
        <f t="shared" si="47"/>
        <v/>
      </c>
      <c r="O638" t="str">
        <f t="shared" si="48"/>
        <v/>
      </c>
    </row>
    <row r="639" spans="11:15" x14ac:dyDescent="0.3">
      <c r="K639" t="str">
        <f t="shared" si="49"/>
        <v/>
      </c>
      <c r="L639" t="str">
        <f t="shared" si="45"/>
        <v/>
      </c>
      <c r="M639" t="str">
        <f t="shared" si="46"/>
        <v/>
      </c>
      <c r="N639" t="str">
        <f t="shared" si="47"/>
        <v/>
      </c>
      <c r="O639" t="str">
        <f t="shared" si="48"/>
        <v/>
      </c>
    </row>
    <row r="640" spans="11:15" x14ac:dyDescent="0.3">
      <c r="K640" t="str">
        <f t="shared" si="49"/>
        <v/>
      </c>
      <c r="L640" t="str">
        <f t="shared" si="45"/>
        <v/>
      </c>
      <c r="M640" t="str">
        <f t="shared" si="46"/>
        <v/>
      </c>
      <c r="N640" t="str">
        <f t="shared" si="47"/>
        <v/>
      </c>
      <c r="O640" t="str">
        <f t="shared" si="48"/>
        <v/>
      </c>
    </row>
    <row r="641" spans="11:15" x14ac:dyDescent="0.3">
      <c r="K641" t="str">
        <f t="shared" si="49"/>
        <v/>
      </c>
      <c r="L641" t="str">
        <f t="shared" ref="L641:L704" si="50">IF(A641="","",IF(ISNUMBER(--LEFT(A641,FIND(" - ",A641&amp;" - ")-1)),LEFT(A641,FIND(" - ",A641&amp;" - ")-1),TRIM(A641)))</f>
        <v/>
      </c>
      <c r="M641" t="str">
        <f t="shared" ref="M641:M704" si="51">IF(OR(K641="",K641=A641,A641=""),"",K641&amp;"|"&amp;L641)</f>
        <v/>
      </c>
      <c r="N641" t="str">
        <f t="shared" ref="N641:N704" si="52">IF(M641="","",IF(ISNUMBER(B641),B641,IFERROR(_xlfn.NUMBERVALUE(B641,".",","),0)))</f>
        <v/>
      </c>
      <c r="O641" t="str">
        <f t="shared" ref="O641:O704" si="53">IF(M641="","",IF(ISNUMBER(C641),C641,IFERROR(_xlfn.NUMBERVALUE(C641,".",","),0)))</f>
        <v/>
      </c>
    </row>
    <row r="642" spans="11:15" x14ac:dyDescent="0.3">
      <c r="K642" t="str">
        <f t="shared" ref="K642:K705" si="54">IF(OR(LEFT(B642,9)="DOANH THU",LEFT(B642,8)="SỐ LƯỢNG"),A642,K641)</f>
        <v/>
      </c>
      <c r="L642" t="str">
        <f t="shared" si="50"/>
        <v/>
      </c>
      <c r="M642" t="str">
        <f t="shared" si="51"/>
        <v/>
      </c>
      <c r="N642" t="str">
        <f t="shared" si="52"/>
        <v/>
      </c>
      <c r="O642" t="str">
        <f t="shared" si="53"/>
        <v/>
      </c>
    </row>
    <row r="643" spans="11:15" x14ac:dyDescent="0.3">
      <c r="K643" t="str">
        <f t="shared" si="54"/>
        <v/>
      </c>
      <c r="L643" t="str">
        <f t="shared" si="50"/>
        <v/>
      </c>
      <c r="M643" t="str">
        <f t="shared" si="51"/>
        <v/>
      </c>
      <c r="N643" t="str">
        <f t="shared" si="52"/>
        <v/>
      </c>
      <c r="O643" t="str">
        <f t="shared" si="53"/>
        <v/>
      </c>
    </row>
    <row r="644" spans="11:15" x14ac:dyDescent="0.3">
      <c r="K644" t="str">
        <f t="shared" si="54"/>
        <v/>
      </c>
      <c r="L644" t="str">
        <f t="shared" si="50"/>
        <v/>
      </c>
      <c r="M644" t="str">
        <f t="shared" si="51"/>
        <v/>
      </c>
      <c r="N644" t="str">
        <f t="shared" si="52"/>
        <v/>
      </c>
      <c r="O644" t="str">
        <f t="shared" si="53"/>
        <v/>
      </c>
    </row>
    <row r="645" spans="11:15" x14ac:dyDescent="0.3">
      <c r="K645" t="str">
        <f t="shared" si="54"/>
        <v/>
      </c>
      <c r="L645" t="str">
        <f t="shared" si="50"/>
        <v/>
      </c>
      <c r="M645" t="str">
        <f t="shared" si="51"/>
        <v/>
      </c>
      <c r="N645" t="str">
        <f t="shared" si="52"/>
        <v/>
      </c>
      <c r="O645" t="str">
        <f t="shared" si="53"/>
        <v/>
      </c>
    </row>
    <row r="646" spans="11:15" x14ac:dyDescent="0.3">
      <c r="K646" t="str">
        <f t="shared" si="54"/>
        <v/>
      </c>
      <c r="L646" t="str">
        <f t="shared" si="50"/>
        <v/>
      </c>
      <c r="M646" t="str">
        <f t="shared" si="51"/>
        <v/>
      </c>
      <c r="N646" t="str">
        <f t="shared" si="52"/>
        <v/>
      </c>
      <c r="O646" t="str">
        <f t="shared" si="53"/>
        <v/>
      </c>
    </row>
    <row r="647" spans="11:15" x14ac:dyDescent="0.3">
      <c r="K647" t="str">
        <f t="shared" si="54"/>
        <v/>
      </c>
      <c r="L647" t="str">
        <f t="shared" si="50"/>
        <v/>
      </c>
      <c r="M647" t="str">
        <f t="shared" si="51"/>
        <v/>
      </c>
      <c r="N647" t="str">
        <f t="shared" si="52"/>
        <v/>
      </c>
      <c r="O647" t="str">
        <f t="shared" si="53"/>
        <v/>
      </c>
    </row>
    <row r="648" spans="11:15" x14ac:dyDescent="0.3">
      <c r="K648" t="str">
        <f t="shared" si="54"/>
        <v/>
      </c>
      <c r="L648" t="str">
        <f t="shared" si="50"/>
        <v/>
      </c>
      <c r="M648" t="str">
        <f t="shared" si="51"/>
        <v/>
      </c>
      <c r="N648" t="str">
        <f t="shared" si="52"/>
        <v/>
      </c>
      <c r="O648" t="str">
        <f t="shared" si="53"/>
        <v/>
      </c>
    </row>
    <row r="649" spans="11:15" x14ac:dyDescent="0.3">
      <c r="K649" t="str">
        <f t="shared" si="54"/>
        <v/>
      </c>
      <c r="L649" t="str">
        <f t="shared" si="50"/>
        <v/>
      </c>
      <c r="M649" t="str">
        <f t="shared" si="51"/>
        <v/>
      </c>
      <c r="N649" t="str">
        <f t="shared" si="52"/>
        <v/>
      </c>
      <c r="O649" t="str">
        <f t="shared" si="53"/>
        <v/>
      </c>
    </row>
    <row r="650" spans="11:15" x14ac:dyDescent="0.3">
      <c r="K650" t="str">
        <f t="shared" si="54"/>
        <v/>
      </c>
      <c r="L650" t="str">
        <f t="shared" si="50"/>
        <v/>
      </c>
      <c r="M650" t="str">
        <f t="shared" si="51"/>
        <v/>
      </c>
      <c r="N650" t="str">
        <f t="shared" si="52"/>
        <v/>
      </c>
      <c r="O650" t="str">
        <f t="shared" si="53"/>
        <v/>
      </c>
    </row>
    <row r="651" spans="11:15" x14ac:dyDescent="0.3">
      <c r="K651" t="str">
        <f t="shared" si="54"/>
        <v/>
      </c>
      <c r="L651" t="str">
        <f t="shared" si="50"/>
        <v/>
      </c>
      <c r="M651" t="str">
        <f t="shared" si="51"/>
        <v/>
      </c>
      <c r="N651" t="str">
        <f t="shared" si="52"/>
        <v/>
      </c>
      <c r="O651" t="str">
        <f t="shared" si="53"/>
        <v/>
      </c>
    </row>
    <row r="652" spans="11:15" x14ac:dyDescent="0.3">
      <c r="K652" t="str">
        <f t="shared" si="54"/>
        <v/>
      </c>
      <c r="L652" t="str">
        <f t="shared" si="50"/>
        <v/>
      </c>
      <c r="M652" t="str">
        <f t="shared" si="51"/>
        <v/>
      </c>
      <c r="N652" t="str">
        <f t="shared" si="52"/>
        <v/>
      </c>
      <c r="O652" t="str">
        <f t="shared" si="53"/>
        <v/>
      </c>
    </row>
    <row r="653" spans="11:15" x14ac:dyDescent="0.3">
      <c r="K653" t="str">
        <f t="shared" si="54"/>
        <v/>
      </c>
      <c r="L653" t="str">
        <f t="shared" si="50"/>
        <v/>
      </c>
      <c r="M653" t="str">
        <f t="shared" si="51"/>
        <v/>
      </c>
      <c r="N653" t="str">
        <f t="shared" si="52"/>
        <v/>
      </c>
      <c r="O653" t="str">
        <f t="shared" si="53"/>
        <v/>
      </c>
    </row>
    <row r="654" spans="11:15" x14ac:dyDescent="0.3">
      <c r="K654" t="str">
        <f t="shared" si="54"/>
        <v/>
      </c>
      <c r="L654" t="str">
        <f t="shared" si="50"/>
        <v/>
      </c>
      <c r="M654" t="str">
        <f t="shared" si="51"/>
        <v/>
      </c>
      <c r="N654" t="str">
        <f t="shared" si="52"/>
        <v/>
      </c>
      <c r="O654" t="str">
        <f t="shared" si="53"/>
        <v/>
      </c>
    </row>
    <row r="655" spans="11:15" x14ac:dyDescent="0.3">
      <c r="K655" t="str">
        <f t="shared" si="54"/>
        <v/>
      </c>
      <c r="L655" t="str">
        <f t="shared" si="50"/>
        <v/>
      </c>
      <c r="M655" t="str">
        <f t="shared" si="51"/>
        <v/>
      </c>
      <c r="N655" t="str">
        <f t="shared" si="52"/>
        <v/>
      </c>
      <c r="O655" t="str">
        <f t="shared" si="53"/>
        <v/>
      </c>
    </row>
    <row r="656" spans="11:15" x14ac:dyDescent="0.3">
      <c r="K656" t="str">
        <f t="shared" si="54"/>
        <v/>
      </c>
      <c r="L656" t="str">
        <f t="shared" si="50"/>
        <v/>
      </c>
      <c r="M656" t="str">
        <f t="shared" si="51"/>
        <v/>
      </c>
      <c r="N656" t="str">
        <f t="shared" si="52"/>
        <v/>
      </c>
      <c r="O656" t="str">
        <f t="shared" si="53"/>
        <v/>
      </c>
    </row>
    <row r="657" spans="11:15" x14ac:dyDescent="0.3">
      <c r="K657" t="str">
        <f t="shared" si="54"/>
        <v/>
      </c>
      <c r="L657" t="str">
        <f t="shared" si="50"/>
        <v/>
      </c>
      <c r="M657" t="str">
        <f t="shared" si="51"/>
        <v/>
      </c>
      <c r="N657" t="str">
        <f t="shared" si="52"/>
        <v/>
      </c>
      <c r="O657" t="str">
        <f t="shared" si="53"/>
        <v/>
      </c>
    </row>
    <row r="658" spans="11:15" x14ac:dyDescent="0.3">
      <c r="K658" t="str">
        <f t="shared" si="54"/>
        <v/>
      </c>
      <c r="L658" t="str">
        <f t="shared" si="50"/>
        <v/>
      </c>
      <c r="M658" t="str">
        <f t="shared" si="51"/>
        <v/>
      </c>
      <c r="N658" t="str">
        <f t="shared" si="52"/>
        <v/>
      </c>
      <c r="O658" t="str">
        <f t="shared" si="53"/>
        <v/>
      </c>
    </row>
    <row r="659" spans="11:15" x14ac:dyDescent="0.3">
      <c r="K659" t="str">
        <f t="shared" si="54"/>
        <v/>
      </c>
      <c r="L659" t="str">
        <f t="shared" si="50"/>
        <v/>
      </c>
      <c r="M659" t="str">
        <f t="shared" si="51"/>
        <v/>
      </c>
      <c r="N659" t="str">
        <f t="shared" si="52"/>
        <v/>
      </c>
      <c r="O659" t="str">
        <f t="shared" si="53"/>
        <v/>
      </c>
    </row>
    <row r="660" spans="11:15" x14ac:dyDescent="0.3">
      <c r="K660" t="str">
        <f t="shared" si="54"/>
        <v/>
      </c>
      <c r="L660" t="str">
        <f t="shared" si="50"/>
        <v/>
      </c>
      <c r="M660" t="str">
        <f t="shared" si="51"/>
        <v/>
      </c>
      <c r="N660" t="str">
        <f t="shared" si="52"/>
        <v/>
      </c>
      <c r="O660" t="str">
        <f t="shared" si="53"/>
        <v/>
      </c>
    </row>
    <row r="661" spans="11:15" x14ac:dyDescent="0.3">
      <c r="K661" t="str">
        <f t="shared" si="54"/>
        <v/>
      </c>
      <c r="L661" t="str">
        <f t="shared" si="50"/>
        <v/>
      </c>
      <c r="M661" t="str">
        <f t="shared" si="51"/>
        <v/>
      </c>
      <c r="N661" t="str">
        <f t="shared" si="52"/>
        <v/>
      </c>
      <c r="O661" t="str">
        <f t="shared" si="53"/>
        <v/>
      </c>
    </row>
    <row r="662" spans="11:15" x14ac:dyDescent="0.3">
      <c r="K662" t="str">
        <f t="shared" si="54"/>
        <v/>
      </c>
      <c r="L662" t="str">
        <f t="shared" si="50"/>
        <v/>
      </c>
      <c r="M662" t="str">
        <f t="shared" si="51"/>
        <v/>
      </c>
      <c r="N662" t="str">
        <f t="shared" si="52"/>
        <v/>
      </c>
      <c r="O662" t="str">
        <f t="shared" si="53"/>
        <v/>
      </c>
    </row>
    <row r="663" spans="11:15" x14ac:dyDescent="0.3">
      <c r="K663" t="str">
        <f t="shared" si="54"/>
        <v/>
      </c>
      <c r="L663" t="str">
        <f t="shared" si="50"/>
        <v/>
      </c>
      <c r="M663" t="str">
        <f t="shared" si="51"/>
        <v/>
      </c>
      <c r="N663" t="str">
        <f t="shared" si="52"/>
        <v/>
      </c>
      <c r="O663" t="str">
        <f t="shared" si="53"/>
        <v/>
      </c>
    </row>
    <row r="664" spans="11:15" x14ac:dyDescent="0.3">
      <c r="K664" t="str">
        <f t="shared" si="54"/>
        <v/>
      </c>
      <c r="L664" t="str">
        <f t="shared" si="50"/>
        <v/>
      </c>
      <c r="M664" t="str">
        <f t="shared" si="51"/>
        <v/>
      </c>
      <c r="N664" t="str">
        <f t="shared" si="52"/>
        <v/>
      </c>
      <c r="O664" t="str">
        <f t="shared" si="53"/>
        <v/>
      </c>
    </row>
    <row r="665" spans="11:15" x14ac:dyDescent="0.3">
      <c r="K665" t="str">
        <f t="shared" si="54"/>
        <v/>
      </c>
      <c r="L665" t="str">
        <f t="shared" si="50"/>
        <v/>
      </c>
      <c r="M665" t="str">
        <f t="shared" si="51"/>
        <v/>
      </c>
      <c r="N665" t="str">
        <f t="shared" si="52"/>
        <v/>
      </c>
      <c r="O665" t="str">
        <f t="shared" si="53"/>
        <v/>
      </c>
    </row>
    <row r="666" spans="11:15" x14ac:dyDescent="0.3">
      <c r="K666" t="str">
        <f t="shared" si="54"/>
        <v/>
      </c>
      <c r="L666" t="str">
        <f t="shared" si="50"/>
        <v/>
      </c>
      <c r="M666" t="str">
        <f t="shared" si="51"/>
        <v/>
      </c>
      <c r="N666" t="str">
        <f t="shared" si="52"/>
        <v/>
      </c>
      <c r="O666" t="str">
        <f t="shared" si="53"/>
        <v/>
      </c>
    </row>
    <row r="667" spans="11:15" x14ac:dyDescent="0.3">
      <c r="K667" t="str">
        <f t="shared" si="54"/>
        <v/>
      </c>
      <c r="L667" t="str">
        <f t="shared" si="50"/>
        <v/>
      </c>
      <c r="M667" t="str">
        <f t="shared" si="51"/>
        <v/>
      </c>
      <c r="N667" t="str">
        <f t="shared" si="52"/>
        <v/>
      </c>
      <c r="O667" t="str">
        <f t="shared" si="53"/>
        <v/>
      </c>
    </row>
    <row r="668" spans="11:15" x14ac:dyDescent="0.3">
      <c r="K668" t="str">
        <f t="shared" si="54"/>
        <v/>
      </c>
      <c r="L668" t="str">
        <f t="shared" si="50"/>
        <v/>
      </c>
      <c r="M668" t="str">
        <f t="shared" si="51"/>
        <v/>
      </c>
      <c r="N668" t="str">
        <f t="shared" si="52"/>
        <v/>
      </c>
      <c r="O668" t="str">
        <f t="shared" si="53"/>
        <v/>
      </c>
    </row>
    <row r="669" spans="11:15" x14ac:dyDescent="0.3">
      <c r="K669" t="str">
        <f t="shared" si="54"/>
        <v/>
      </c>
      <c r="L669" t="str">
        <f t="shared" si="50"/>
        <v/>
      </c>
      <c r="M669" t="str">
        <f t="shared" si="51"/>
        <v/>
      </c>
      <c r="N669" t="str">
        <f t="shared" si="52"/>
        <v/>
      </c>
      <c r="O669" t="str">
        <f t="shared" si="53"/>
        <v/>
      </c>
    </row>
    <row r="670" spans="11:15" x14ac:dyDescent="0.3">
      <c r="K670" t="str">
        <f t="shared" si="54"/>
        <v/>
      </c>
      <c r="L670" t="str">
        <f t="shared" si="50"/>
        <v/>
      </c>
      <c r="M670" t="str">
        <f t="shared" si="51"/>
        <v/>
      </c>
      <c r="N670" t="str">
        <f t="shared" si="52"/>
        <v/>
      </c>
      <c r="O670" t="str">
        <f t="shared" si="53"/>
        <v/>
      </c>
    </row>
    <row r="671" spans="11:15" x14ac:dyDescent="0.3">
      <c r="K671" t="str">
        <f t="shared" si="54"/>
        <v/>
      </c>
      <c r="L671" t="str">
        <f t="shared" si="50"/>
        <v/>
      </c>
      <c r="M671" t="str">
        <f t="shared" si="51"/>
        <v/>
      </c>
      <c r="N671" t="str">
        <f t="shared" si="52"/>
        <v/>
      </c>
      <c r="O671" t="str">
        <f t="shared" si="53"/>
        <v/>
      </c>
    </row>
    <row r="672" spans="11:15" x14ac:dyDescent="0.3">
      <c r="K672" t="str">
        <f t="shared" si="54"/>
        <v/>
      </c>
      <c r="L672" t="str">
        <f t="shared" si="50"/>
        <v/>
      </c>
      <c r="M672" t="str">
        <f t="shared" si="51"/>
        <v/>
      </c>
      <c r="N672" t="str">
        <f t="shared" si="52"/>
        <v/>
      </c>
      <c r="O672" t="str">
        <f t="shared" si="53"/>
        <v/>
      </c>
    </row>
    <row r="673" spans="11:15" x14ac:dyDescent="0.3">
      <c r="K673" t="str">
        <f t="shared" si="54"/>
        <v/>
      </c>
      <c r="L673" t="str">
        <f t="shared" si="50"/>
        <v/>
      </c>
      <c r="M673" t="str">
        <f t="shared" si="51"/>
        <v/>
      </c>
      <c r="N673" t="str">
        <f t="shared" si="52"/>
        <v/>
      </c>
      <c r="O673" t="str">
        <f t="shared" si="53"/>
        <v/>
      </c>
    </row>
    <row r="674" spans="11:15" x14ac:dyDescent="0.3">
      <c r="K674" t="str">
        <f t="shared" si="54"/>
        <v/>
      </c>
      <c r="L674" t="str">
        <f t="shared" si="50"/>
        <v/>
      </c>
      <c r="M674" t="str">
        <f t="shared" si="51"/>
        <v/>
      </c>
      <c r="N674" t="str">
        <f t="shared" si="52"/>
        <v/>
      </c>
      <c r="O674" t="str">
        <f t="shared" si="53"/>
        <v/>
      </c>
    </row>
    <row r="675" spans="11:15" x14ac:dyDescent="0.3">
      <c r="K675" t="str">
        <f t="shared" si="54"/>
        <v/>
      </c>
      <c r="L675" t="str">
        <f t="shared" si="50"/>
        <v/>
      </c>
      <c r="M675" t="str">
        <f t="shared" si="51"/>
        <v/>
      </c>
      <c r="N675" t="str">
        <f t="shared" si="52"/>
        <v/>
      </c>
      <c r="O675" t="str">
        <f t="shared" si="53"/>
        <v/>
      </c>
    </row>
    <row r="676" spans="11:15" x14ac:dyDescent="0.3">
      <c r="K676" t="str">
        <f t="shared" si="54"/>
        <v/>
      </c>
      <c r="L676" t="str">
        <f t="shared" si="50"/>
        <v/>
      </c>
      <c r="M676" t="str">
        <f t="shared" si="51"/>
        <v/>
      </c>
      <c r="N676" t="str">
        <f t="shared" si="52"/>
        <v/>
      </c>
      <c r="O676" t="str">
        <f t="shared" si="53"/>
        <v/>
      </c>
    </row>
    <row r="677" spans="11:15" x14ac:dyDescent="0.3">
      <c r="K677" t="str">
        <f t="shared" si="54"/>
        <v/>
      </c>
      <c r="L677" t="str">
        <f t="shared" si="50"/>
        <v/>
      </c>
      <c r="M677" t="str">
        <f t="shared" si="51"/>
        <v/>
      </c>
      <c r="N677" t="str">
        <f t="shared" si="52"/>
        <v/>
      </c>
      <c r="O677" t="str">
        <f t="shared" si="53"/>
        <v/>
      </c>
    </row>
    <row r="678" spans="11:15" x14ac:dyDescent="0.3">
      <c r="K678" t="str">
        <f t="shared" si="54"/>
        <v/>
      </c>
      <c r="L678" t="str">
        <f t="shared" si="50"/>
        <v/>
      </c>
      <c r="M678" t="str">
        <f t="shared" si="51"/>
        <v/>
      </c>
      <c r="N678" t="str">
        <f t="shared" si="52"/>
        <v/>
      </c>
      <c r="O678" t="str">
        <f t="shared" si="53"/>
        <v/>
      </c>
    </row>
    <row r="679" spans="11:15" x14ac:dyDescent="0.3">
      <c r="K679" t="str">
        <f t="shared" si="54"/>
        <v/>
      </c>
      <c r="L679" t="str">
        <f t="shared" si="50"/>
        <v/>
      </c>
      <c r="M679" t="str">
        <f t="shared" si="51"/>
        <v/>
      </c>
      <c r="N679" t="str">
        <f t="shared" si="52"/>
        <v/>
      </c>
      <c r="O679" t="str">
        <f t="shared" si="53"/>
        <v/>
      </c>
    </row>
    <row r="680" spans="11:15" x14ac:dyDescent="0.3">
      <c r="K680" t="str">
        <f t="shared" si="54"/>
        <v/>
      </c>
      <c r="L680" t="str">
        <f t="shared" si="50"/>
        <v/>
      </c>
      <c r="M680" t="str">
        <f t="shared" si="51"/>
        <v/>
      </c>
      <c r="N680" t="str">
        <f t="shared" si="52"/>
        <v/>
      </c>
      <c r="O680" t="str">
        <f t="shared" si="53"/>
        <v/>
      </c>
    </row>
    <row r="681" spans="11:15" x14ac:dyDescent="0.3">
      <c r="K681" t="str">
        <f t="shared" si="54"/>
        <v/>
      </c>
      <c r="L681" t="str">
        <f t="shared" si="50"/>
        <v/>
      </c>
      <c r="M681" t="str">
        <f t="shared" si="51"/>
        <v/>
      </c>
      <c r="N681" t="str">
        <f t="shared" si="52"/>
        <v/>
      </c>
      <c r="O681" t="str">
        <f t="shared" si="53"/>
        <v/>
      </c>
    </row>
    <row r="682" spans="11:15" x14ac:dyDescent="0.3">
      <c r="K682" t="str">
        <f t="shared" si="54"/>
        <v/>
      </c>
      <c r="L682" t="str">
        <f t="shared" si="50"/>
        <v/>
      </c>
      <c r="M682" t="str">
        <f t="shared" si="51"/>
        <v/>
      </c>
      <c r="N682" t="str">
        <f t="shared" si="52"/>
        <v/>
      </c>
      <c r="O682" t="str">
        <f t="shared" si="53"/>
        <v/>
      </c>
    </row>
    <row r="683" spans="11:15" x14ac:dyDescent="0.3">
      <c r="K683" t="str">
        <f t="shared" si="54"/>
        <v/>
      </c>
      <c r="L683" t="str">
        <f t="shared" si="50"/>
        <v/>
      </c>
      <c r="M683" t="str">
        <f t="shared" si="51"/>
        <v/>
      </c>
      <c r="N683" t="str">
        <f t="shared" si="52"/>
        <v/>
      </c>
      <c r="O683" t="str">
        <f t="shared" si="53"/>
        <v/>
      </c>
    </row>
    <row r="684" spans="11:15" x14ac:dyDescent="0.3">
      <c r="K684" t="str">
        <f t="shared" si="54"/>
        <v/>
      </c>
      <c r="L684" t="str">
        <f t="shared" si="50"/>
        <v/>
      </c>
      <c r="M684" t="str">
        <f t="shared" si="51"/>
        <v/>
      </c>
      <c r="N684" t="str">
        <f t="shared" si="52"/>
        <v/>
      </c>
      <c r="O684" t="str">
        <f t="shared" si="53"/>
        <v/>
      </c>
    </row>
    <row r="685" spans="11:15" x14ac:dyDescent="0.3">
      <c r="K685" t="str">
        <f t="shared" si="54"/>
        <v/>
      </c>
      <c r="L685" t="str">
        <f t="shared" si="50"/>
        <v/>
      </c>
      <c r="M685" t="str">
        <f t="shared" si="51"/>
        <v/>
      </c>
      <c r="N685" t="str">
        <f t="shared" si="52"/>
        <v/>
      </c>
      <c r="O685" t="str">
        <f t="shared" si="53"/>
        <v/>
      </c>
    </row>
    <row r="686" spans="11:15" x14ac:dyDescent="0.3">
      <c r="K686" t="str">
        <f t="shared" si="54"/>
        <v/>
      </c>
      <c r="L686" t="str">
        <f t="shared" si="50"/>
        <v/>
      </c>
      <c r="M686" t="str">
        <f t="shared" si="51"/>
        <v/>
      </c>
      <c r="N686" t="str">
        <f t="shared" si="52"/>
        <v/>
      </c>
      <c r="O686" t="str">
        <f t="shared" si="53"/>
        <v/>
      </c>
    </row>
    <row r="687" spans="11:15" x14ac:dyDescent="0.3">
      <c r="K687" t="str">
        <f t="shared" si="54"/>
        <v/>
      </c>
      <c r="L687" t="str">
        <f t="shared" si="50"/>
        <v/>
      </c>
      <c r="M687" t="str">
        <f t="shared" si="51"/>
        <v/>
      </c>
      <c r="N687" t="str">
        <f t="shared" si="52"/>
        <v/>
      </c>
      <c r="O687" t="str">
        <f t="shared" si="53"/>
        <v/>
      </c>
    </row>
    <row r="688" spans="11:15" x14ac:dyDescent="0.3">
      <c r="K688" t="str">
        <f t="shared" si="54"/>
        <v/>
      </c>
      <c r="L688" t="str">
        <f t="shared" si="50"/>
        <v/>
      </c>
      <c r="M688" t="str">
        <f t="shared" si="51"/>
        <v/>
      </c>
      <c r="N688" t="str">
        <f t="shared" si="52"/>
        <v/>
      </c>
      <c r="O688" t="str">
        <f t="shared" si="53"/>
        <v/>
      </c>
    </row>
    <row r="689" spans="11:15" x14ac:dyDescent="0.3">
      <c r="K689" t="str">
        <f t="shared" si="54"/>
        <v/>
      </c>
      <c r="L689" t="str">
        <f t="shared" si="50"/>
        <v/>
      </c>
      <c r="M689" t="str">
        <f t="shared" si="51"/>
        <v/>
      </c>
      <c r="N689" t="str">
        <f t="shared" si="52"/>
        <v/>
      </c>
      <c r="O689" t="str">
        <f t="shared" si="53"/>
        <v/>
      </c>
    </row>
    <row r="690" spans="11:15" x14ac:dyDescent="0.3">
      <c r="K690" t="str">
        <f t="shared" si="54"/>
        <v/>
      </c>
      <c r="L690" t="str">
        <f t="shared" si="50"/>
        <v/>
      </c>
      <c r="M690" t="str">
        <f t="shared" si="51"/>
        <v/>
      </c>
      <c r="N690" t="str">
        <f t="shared" si="52"/>
        <v/>
      </c>
      <c r="O690" t="str">
        <f t="shared" si="53"/>
        <v/>
      </c>
    </row>
    <row r="691" spans="11:15" x14ac:dyDescent="0.3">
      <c r="K691" t="str">
        <f t="shared" si="54"/>
        <v/>
      </c>
      <c r="L691" t="str">
        <f t="shared" si="50"/>
        <v/>
      </c>
      <c r="M691" t="str">
        <f t="shared" si="51"/>
        <v/>
      </c>
      <c r="N691" t="str">
        <f t="shared" si="52"/>
        <v/>
      </c>
      <c r="O691" t="str">
        <f t="shared" si="53"/>
        <v/>
      </c>
    </row>
    <row r="692" spans="11:15" x14ac:dyDescent="0.3">
      <c r="K692" t="str">
        <f t="shared" si="54"/>
        <v/>
      </c>
      <c r="L692" t="str">
        <f t="shared" si="50"/>
        <v/>
      </c>
      <c r="M692" t="str">
        <f t="shared" si="51"/>
        <v/>
      </c>
      <c r="N692" t="str">
        <f t="shared" si="52"/>
        <v/>
      </c>
      <c r="O692" t="str">
        <f t="shared" si="53"/>
        <v/>
      </c>
    </row>
    <row r="693" spans="11:15" x14ac:dyDescent="0.3">
      <c r="K693" t="str">
        <f t="shared" si="54"/>
        <v/>
      </c>
      <c r="L693" t="str">
        <f t="shared" si="50"/>
        <v/>
      </c>
      <c r="M693" t="str">
        <f t="shared" si="51"/>
        <v/>
      </c>
      <c r="N693" t="str">
        <f t="shared" si="52"/>
        <v/>
      </c>
      <c r="O693" t="str">
        <f t="shared" si="53"/>
        <v/>
      </c>
    </row>
    <row r="694" spans="11:15" x14ac:dyDescent="0.3">
      <c r="K694" t="str">
        <f t="shared" si="54"/>
        <v/>
      </c>
      <c r="L694" t="str">
        <f t="shared" si="50"/>
        <v/>
      </c>
      <c r="M694" t="str">
        <f t="shared" si="51"/>
        <v/>
      </c>
      <c r="N694" t="str">
        <f t="shared" si="52"/>
        <v/>
      </c>
      <c r="O694" t="str">
        <f t="shared" si="53"/>
        <v/>
      </c>
    </row>
    <row r="695" spans="11:15" x14ac:dyDescent="0.3">
      <c r="K695" t="str">
        <f t="shared" si="54"/>
        <v/>
      </c>
      <c r="L695" t="str">
        <f t="shared" si="50"/>
        <v/>
      </c>
      <c r="M695" t="str">
        <f t="shared" si="51"/>
        <v/>
      </c>
      <c r="N695" t="str">
        <f t="shared" si="52"/>
        <v/>
      </c>
      <c r="O695" t="str">
        <f t="shared" si="53"/>
        <v/>
      </c>
    </row>
    <row r="696" spans="11:15" x14ac:dyDescent="0.3">
      <c r="K696" t="str">
        <f t="shared" si="54"/>
        <v/>
      </c>
      <c r="L696" t="str">
        <f t="shared" si="50"/>
        <v/>
      </c>
      <c r="M696" t="str">
        <f t="shared" si="51"/>
        <v/>
      </c>
      <c r="N696" t="str">
        <f t="shared" si="52"/>
        <v/>
      </c>
      <c r="O696" t="str">
        <f t="shared" si="53"/>
        <v/>
      </c>
    </row>
    <row r="697" spans="11:15" x14ac:dyDescent="0.3">
      <c r="K697" t="str">
        <f t="shared" si="54"/>
        <v/>
      </c>
      <c r="L697" t="str">
        <f t="shared" si="50"/>
        <v/>
      </c>
      <c r="M697" t="str">
        <f t="shared" si="51"/>
        <v/>
      </c>
      <c r="N697" t="str">
        <f t="shared" si="52"/>
        <v/>
      </c>
      <c r="O697" t="str">
        <f t="shared" si="53"/>
        <v/>
      </c>
    </row>
    <row r="698" spans="11:15" x14ac:dyDescent="0.3">
      <c r="K698" t="str">
        <f t="shared" si="54"/>
        <v/>
      </c>
      <c r="L698" t="str">
        <f t="shared" si="50"/>
        <v/>
      </c>
      <c r="M698" t="str">
        <f t="shared" si="51"/>
        <v/>
      </c>
      <c r="N698" t="str">
        <f t="shared" si="52"/>
        <v/>
      </c>
      <c r="O698" t="str">
        <f t="shared" si="53"/>
        <v/>
      </c>
    </row>
    <row r="699" spans="11:15" x14ac:dyDescent="0.3">
      <c r="K699" t="str">
        <f t="shared" si="54"/>
        <v/>
      </c>
      <c r="L699" t="str">
        <f t="shared" si="50"/>
        <v/>
      </c>
      <c r="M699" t="str">
        <f t="shared" si="51"/>
        <v/>
      </c>
      <c r="N699" t="str">
        <f t="shared" si="52"/>
        <v/>
      </c>
      <c r="O699" t="str">
        <f t="shared" si="53"/>
        <v/>
      </c>
    </row>
    <row r="700" spans="11:15" x14ac:dyDescent="0.3">
      <c r="K700" t="str">
        <f t="shared" si="54"/>
        <v/>
      </c>
      <c r="L700" t="str">
        <f t="shared" si="50"/>
        <v/>
      </c>
      <c r="M700" t="str">
        <f t="shared" si="51"/>
        <v/>
      </c>
      <c r="N700" t="str">
        <f t="shared" si="52"/>
        <v/>
      </c>
      <c r="O700" t="str">
        <f t="shared" si="53"/>
        <v/>
      </c>
    </row>
    <row r="701" spans="11:15" x14ac:dyDescent="0.3">
      <c r="K701" t="str">
        <f t="shared" si="54"/>
        <v/>
      </c>
      <c r="L701" t="str">
        <f t="shared" si="50"/>
        <v/>
      </c>
      <c r="M701" t="str">
        <f t="shared" si="51"/>
        <v/>
      </c>
      <c r="N701" t="str">
        <f t="shared" si="52"/>
        <v/>
      </c>
      <c r="O701" t="str">
        <f t="shared" si="53"/>
        <v/>
      </c>
    </row>
    <row r="702" spans="11:15" x14ac:dyDescent="0.3">
      <c r="K702" t="str">
        <f t="shared" si="54"/>
        <v/>
      </c>
      <c r="L702" t="str">
        <f t="shared" si="50"/>
        <v/>
      </c>
      <c r="M702" t="str">
        <f t="shared" si="51"/>
        <v/>
      </c>
      <c r="N702" t="str">
        <f t="shared" si="52"/>
        <v/>
      </c>
      <c r="O702" t="str">
        <f t="shared" si="53"/>
        <v/>
      </c>
    </row>
    <row r="703" spans="11:15" x14ac:dyDescent="0.3">
      <c r="K703" t="str">
        <f t="shared" si="54"/>
        <v/>
      </c>
      <c r="L703" t="str">
        <f t="shared" si="50"/>
        <v/>
      </c>
      <c r="M703" t="str">
        <f t="shared" si="51"/>
        <v/>
      </c>
      <c r="N703" t="str">
        <f t="shared" si="52"/>
        <v/>
      </c>
      <c r="O703" t="str">
        <f t="shared" si="53"/>
        <v/>
      </c>
    </row>
    <row r="704" spans="11:15" x14ac:dyDescent="0.3">
      <c r="K704" t="str">
        <f t="shared" si="54"/>
        <v/>
      </c>
      <c r="L704" t="str">
        <f t="shared" si="50"/>
        <v/>
      </c>
      <c r="M704" t="str">
        <f t="shared" si="51"/>
        <v/>
      </c>
      <c r="N704" t="str">
        <f t="shared" si="52"/>
        <v/>
      </c>
      <c r="O704" t="str">
        <f t="shared" si="53"/>
        <v/>
      </c>
    </row>
    <row r="705" spans="11:15" x14ac:dyDescent="0.3">
      <c r="K705" t="str">
        <f t="shared" si="54"/>
        <v/>
      </c>
      <c r="L705" t="str">
        <f t="shared" ref="L705:L768" si="55">IF(A705="","",IF(ISNUMBER(--LEFT(A705,FIND(" - ",A705&amp;" - ")-1)),LEFT(A705,FIND(" - ",A705&amp;" - ")-1),TRIM(A705)))</f>
        <v/>
      </c>
      <c r="M705" t="str">
        <f t="shared" ref="M705:M768" si="56">IF(OR(K705="",K705=A705,A705=""),"",K705&amp;"|"&amp;L705)</f>
        <v/>
      </c>
      <c r="N705" t="str">
        <f t="shared" ref="N705:N768" si="57">IF(M705="","",IF(ISNUMBER(B705),B705,IFERROR(_xlfn.NUMBERVALUE(B705,".",","),0)))</f>
        <v/>
      </c>
      <c r="O705" t="str">
        <f t="shared" ref="O705:O768" si="58">IF(M705="","",IF(ISNUMBER(C705),C705,IFERROR(_xlfn.NUMBERVALUE(C705,".",","),0)))</f>
        <v/>
      </c>
    </row>
    <row r="706" spans="11:15" x14ac:dyDescent="0.3">
      <c r="K706" t="str">
        <f t="shared" ref="K706:K769" si="59">IF(OR(LEFT(B706,9)="DOANH THU",LEFT(B706,8)="SỐ LƯỢNG"),A706,K705)</f>
        <v/>
      </c>
      <c r="L706" t="str">
        <f t="shared" si="55"/>
        <v/>
      </c>
      <c r="M706" t="str">
        <f t="shared" si="56"/>
        <v/>
      </c>
      <c r="N706" t="str">
        <f t="shared" si="57"/>
        <v/>
      </c>
      <c r="O706" t="str">
        <f t="shared" si="58"/>
        <v/>
      </c>
    </row>
    <row r="707" spans="11:15" x14ac:dyDescent="0.3">
      <c r="K707" t="str">
        <f t="shared" si="59"/>
        <v/>
      </c>
      <c r="L707" t="str">
        <f t="shared" si="55"/>
        <v/>
      </c>
      <c r="M707" t="str">
        <f t="shared" si="56"/>
        <v/>
      </c>
      <c r="N707" t="str">
        <f t="shared" si="57"/>
        <v/>
      </c>
      <c r="O707" t="str">
        <f t="shared" si="58"/>
        <v/>
      </c>
    </row>
    <row r="708" spans="11:15" x14ac:dyDescent="0.3">
      <c r="K708" t="str">
        <f t="shared" si="59"/>
        <v/>
      </c>
      <c r="L708" t="str">
        <f t="shared" si="55"/>
        <v/>
      </c>
      <c r="M708" t="str">
        <f t="shared" si="56"/>
        <v/>
      </c>
      <c r="N708" t="str">
        <f t="shared" si="57"/>
        <v/>
      </c>
      <c r="O708" t="str">
        <f t="shared" si="58"/>
        <v/>
      </c>
    </row>
    <row r="709" spans="11:15" x14ac:dyDescent="0.3">
      <c r="K709" t="str">
        <f t="shared" si="59"/>
        <v/>
      </c>
      <c r="L709" t="str">
        <f t="shared" si="55"/>
        <v/>
      </c>
      <c r="M709" t="str">
        <f t="shared" si="56"/>
        <v/>
      </c>
      <c r="N709" t="str">
        <f t="shared" si="57"/>
        <v/>
      </c>
      <c r="O709" t="str">
        <f t="shared" si="58"/>
        <v/>
      </c>
    </row>
    <row r="710" spans="11:15" x14ac:dyDescent="0.3">
      <c r="K710" t="str">
        <f t="shared" si="59"/>
        <v/>
      </c>
      <c r="L710" t="str">
        <f t="shared" si="55"/>
        <v/>
      </c>
      <c r="M710" t="str">
        <f t="shared" si="56"/>
        <v/>
      </c>
      <c r="N710" t="str">
        <f t="shared" si="57"/>
        <v/>
      </c>
      <c r="O710" t="str">
        <f t="shared" si="58"/>
        <v/>
      </c>
    </row>
    <row r="711" spans="11:15" x14ac:dyDescent="0.3">
      <c r="K711" t="str">
        <f t="shared" si="59"/>
        <v/>
      </c>
      <c r="L711" t="str">
        <f t="shared" si="55"/>
        <v/>
      </c>
      <c r="M711" t="str">
        <f t="shared" si="56"/>
        <v/>
      </c>
      <c r="N711" t="str">
        <f t="shared" si="57"/>
        <v/>
      </c>
      <c r="O711" t="str">
        <f t="shared" si="58"/>
        <v/>
      </c>
    </row>
    <row r="712" spans="11:15" x14ac:dyDescent="0.3">
      <c r="K712" t="str">
        <f t="shared" si="59"/>
        <v/>
      </c>
      <c r="L712" t="str">
        <f t="shared" si="55"/>
        <v/>
      </c>
      <c r="M712" t="str">
        <f t="shared" si="56"/>
        <v/>
      </c>
      <c r="N712" t="str">
        <f t="shared" si="57"/>
        <v/>
      </c>
      <c r="O712" t="str">
        <f t="shared" si="58"/>
        <v/>
      </c>
    </row>
    <row r="713" spans="11:15" x14ac:dyDescent="0.3">
      <c r="K713" t="str">
        <f t="shared" si="59"/>
        <v/>
      </c>
      <c r="L713" t="str">
        <f t="shared" si="55"/>
        <v/>
      </c>
      <c r="M713" t="str">
        <f t="shared" si="56"/>
        <v/>
      </c>
      <c r="N713" t="str">
        <f t="shared" si="57"/>
        <v/>
      </c>
      <c r="O713" t="str">
        <f t="shared" si="58"/>
        <v/>
      </c>
    </row>
    <row r="714" spans="11:15" x14ac:dyDescent="0.3">
      <c r="K714" t="str">
        <f t="shared" si="59"/>
        <v/>
      </c>
      <c r="L714" t="str">
        <f t="shared" si="55"/>
        <v/>
      </c>
      <c r="M714" t="str">
        <f t="shared" si="56"/>
        <v/>
      </c>
      <c r="N714" t="str">
        <f t="shared" si="57"/>
        <v/>
      </c>
      <c r="O714" t="str">
        <f t="shared" si="58"/>
        <v/>
      </c>
    </row>
    <row r="715" spans="11:15" x14ac:dyDescent="0.3">
      <c r="K715" t="str">
        <f t="shared" si="59"/>
        <v/>
      </c>
      <c r="L715" t="str">
        <f t="shared" si="55"/>
        <v/>
      </c>
      <c r="M715" t="str">
        <f t="shared" si="56"/>
        <v/>
      </c>
      <c r="N715" t="str">
        <f t="shared" si="57"/>
        <v/>
      </c>
      <c r="O715" t="str">
        <f t="shared" si="58"/>
        <v/>
      </c>
    </row>
    <row r="716" spans="11:15" x14ac:dyDescent="0.3">
      <c r="K716" t="str">
        <f t="shared" si="59"/>
        <v/>
      </c>
      <c r="L716" t="str">
        <f t="shared" si="55"/>
        <v/>
      </c>
      <c r="M716" t="str">
        <f t="shared" si="56"/>
        <v/>
      </c>
      <c r="N716" t="str">
        <f t="shared" si="57"/>
        <v/>
      </c>
      <c r="O716" t="str">
        <f t="shared" si="58"/>
        <v/>
      </c>
    </row>
    <row r="717" spans="11:15" x14ac:dyDescent="0.3">
      <c r="K717" t="str">
        <f t="shared" si="59"/>
        <v/>
      </c>
      <c r="L717" t="str">
        <f t="shared" si="55"/>
        <v/>
      </c>
      <c r="M717" t="str">
        <f t="shared" si="56"/>
        <v/>
      </c>
      <c r="N717" t="str">
        <f t="shared" si="57"/>
        <v/>
      </c>
      <c r="O717" t="str">
        <f t="shared" si="58"/>
        <v/>
      </c>
    </row>
    <row r="718" spans="11:15" x14ac:dyDescent="0.3">
      <c r="K718" t="str">
        <f t="shared" si="59"/>
        <v/>
      </c>
      <c r="L718" t="str">
        <f t="shared" si="55"/>
        <v/>
      </c>
      <c r="M718" t="str">
        <f t="shared" si="56"/>
        <v/>
      </c>
      <c r="N718" t="str">
        <f t="shared" si="57"/>
        <v/>
      </c>
      <c r="O718" t="str">
        <f t="shared" si="58"/>
        <v/>
      </c>
    </row>
    <row r="719" spans="11:15" x14ac:dyDescent="0.3">
      <c r="K719" t="str">
        <f t="shared" si="59"/>
        <v/>
      </c>
      <c r="L719" t="str">
        <f t="shared" si="55"/>
        <v/>
      </c>
      <c r="M719" t="str">
        <f t="shared" si="56"/>
        <v/>
      </c>
      <c r="N719" t="str">
        <f t="shared" si="57"/>
        <v/>
      </c>
      <c r="O719" t="str">
        <f t="shared" si="58"/>
        <v/>
      </c>
    </row>
    <row r="720" spans="11:15" x14ac:dyDescent="0.3">
      <c r="K720" t="str">
        <f t="shared" si="59"/>
        <v/>
      </c>
      <c r="L720" t="str">
        <f t="shared" si="55"/>
        <v/>
      </c>
      <c r="M720" t="str">
        <f t="shared" si="56"/>
        <v/>
      </c>
      <c r="N720" t="str">
        <f t="shared" si="57"/>
        <v/>
      </c>
      <c r="O720" t="str">
        <f t="shared" si="58"/>
        <v/>
      </c>
    </row>
    <row r="721" spans="11:15" x14ac:dyDescent="0.3">
      <c r="K721" t="str">
        <f t="shared" si="59"/>
        <v/>
      </c>
      <c r="L721" t="str">
        <f t="shared" si="55"/>
        <v/>
      </c>
      <c r="M721" t="str">
        <f t="shared" si="56"/>
        <v/>
      </c>
      <c r="N721" t="str">
        <f t="shared" si="57"/>
        <v/>
      </c>
      <c r="O721" t="str">
        <f t="shared" si="58"/>
        <v/>
      </c>
    </row>
    <row r="722" spans="11:15" x14ac:dyDescent="0.3">
      <c r="K722" t="str">
        <f t="shared" si="59"/>
        <v/>
      </c>
      <c r="L722" t="str">
        <f t="shared" si="55"/>
        <v/>
      </c>
      <c r="M722" t="str">
        <f t="shared" si="56"/>
        <v/>
      </c>
      <c r="N722" t="str">
        <f t="shared" si="57"/>
        <v/>
      </c>
      <c r="O722" t="str">
        <f t="shared" si="58"/>
        <v/>
      </c>
    </row>
    <row r="723" spans="11:15" x14ac:dyDescent="0.3">
      <c r="K723" t="str">
        <f t="shared" si="59"/>
        <v/>
      </c>
      <c r="L723" t="str">
        <f t="shared" si="55"/>
        <v/>
      </c>
      <c r="M723" t="str">
        <f t="shared" si="56"/>
        <v/>
      </c>
      <c r="N723" t="str">
        <f t="shared" si="57"/>
        <v/>
      </c>
      <c r="O723" t="str">
        <f t="shared" si="58"/>
        <v/>
      </c>
    </row>
    <row r="724" spans="11:15" x14ac:dyDescent="0.3">
      <c r="K724" t="str">
        <f t="shared" si="59"/>
        <v/>
      </c>
      <c r="L724" t="str">
        <f t="shared" si="55"/>
        <v/>
      </c>
      <c r="M724" t="str">
        <f t="shared" si="56"/>
        <v/>
      </c>
      <c r="N724" t="str">
        <f t="shared" si="57"/>
        <v/>
      </c>
      <c r="O724" t="str">
        <f t="shared" si="58"/>
        <v/>
      </c>
    </row>
    <row r="725" spans="11:15" x14ac:dyDescent="0.3">
      <c r="K725" t="str">
        <f t="shared" si="59"/>
        <v/>
      </c>
      <c r="L725" t="str">
        <f t="shared" si="55"/>
        <v/>
      </c>
      <c r="M725" t="str">
        <f t="shared" si="56"/>
        <v/>
      </c>
      <c r="N725" t="str">
        <f t="shared" si="57"/>
        <v/>
      </c>
      <c r="O725" t="str">
        <f t="shared" si="58"/>
        <v/>
      </c>
    </row>
    <row r="726" spans="11:15" x14ac:dyDescent="0.3">
      <c r="K726" t="str">
        <f t="shared" si="59"/>
        <v/>
      </c>
      <c r="L726" t="str">
        <f t="shared" si="55"/>
        <v/>
      </c>
      <c r="M726" t="str">
        <f t="shared" si="56"/>
        <v/>
      </c>
      <c r="N726" t="str">
        <f t="shared" si="57"/>
        <v/>
      </c>
      <c r="O726" t="str">
        <f t="shared" si="58"/>
        <v/>
      </c>
    </row>
    <row r="727" spans="11:15" x14ac:dyDescent="0.3">
      <c r="K727" t="str">
        <f t="shared" si="59"/>
        <v/>
      </c>
      <c r="L727" t="str">
        <f t="shared" si="55"/>
        <v/>
      </c>
      <c r="M727" t="str">
        <f t="shared" si="56"/>
        <v/>
      </c>
      <c r="N727" t="str">
        <f t="shared" si="57"/>
        <v/>
      </c>
      <c r="O727" t="str">
        <f t="shared" si="58"/>
        <v/>
      </c>
    </row>
    <row r="728" spans="11:15" x14ac:dyDescent="0.3">
      <c r="K728" t="str">
        <f t="shared" si="59"/>
        <v/>
      </c>
      <c r="L728" t="str">
        <f t="shared" si="55"/>
        <v/>
      </c>
      <c r="M728" t="str">
        <f t="shared" si="56"/>
        <v/>
      </c>
      <c r="N728" t="str">
        <f t="shared" si="57"/>
        <v/>
      </c>
      <c r="O728" t="str">
        <f t="shared" si="58"/>
        <v/>
      </c>
    </row>
    <row r="729" spans="11:15" x14ac:dyDescent="0.3">
      <c r="K729" t="str">
        <f t="shared" si="59"/>
        <v/>
      </c>
      <c r="L729" t="str">
        <f t="shared" si="55"/>
        <v/>
      </c>
      <c r="M729" t="str">
        <f t="shared" si="56"/>
        <v/>
      </c>
      <c r="N729" t="str">
        <f t="shared" si="57"/>
        <v/>
      </c>
      <c r="O729" t="str">
        <f t="shared" si="58"/>
        <v/>
      </c>
    </row>
    <row r="730" spans="11:15" x14ac:dyDescent="0.3">
      <c r="K730" t="str">
        <f t="shared" si="59"/>
        <v/>
      </c>
      <c r="L730" t="str">
        <f t="shared" si="55"/>
        <v/>
      </c>
      <c r="M730" t="str">
        <f t="shared" si="56"/>
        <v/>
      </c>
      <c r="N730" t="str">
        <f t="shared" si="57"/>
        <v/>
      </c>
      <c r="O730" t="str">
        <f t="shared" si="58"/>
        <v/>
      </c>
    </row>
    <row r="731" spans="11:15" x14ac:dyDescent="0.3">
      <c r="K731" t="str">
        <f t="shared" si="59"/>
        <v/>
      </c>
      <c r="L731" t="str">
        <f t="shared" si="55"/>
        <v/>
      </c>
      <c r="M731" t="str">
        <f t="shared" si="56"/>
        <v/>
      </c>
      <c r="N731" t="str">
        <f t="shared" si="57"/>
        <v/>
      </c>
      <c r="O731" t="str">
        <f t="shared" si="58"/>
        <v/>
      </c>
    </row>
    <row r="732" spans="11:15" x14ac:dyDescent="0.3">
      <c r="K732" t="str">
        <f t="shared" si="59"/>
        <v/>
      </c>
      <c r="L732" t="str">
        <f t="shared" si="55"/>
        <v/>
      </c>
      <c r="M732" t="str">
        <f t="shared" si="56"/>
        <v/>
      </c>
      <c r="N732" t="str">
        <f t="shared" si="57"/>
        <v/>
      </c>
      <c r="O732" t="str">
        <f t="shared" si="58"/>
        <v/>
      </c>
    </row>
    <row r="733" spans="11:15" x14ac:dyDescent="0.3">
      <c r="K733" t="str">
        <f t="shared" si="59"/>
        <v/>
      </c>
      <c r="L733" t="str">
        <f t="shared" si="55"/>
        <v/>
      </c>
      <c r="M733" t="str">
        <f t="shared" si="56"/>
        <v/>
      </c>
      <c r="N733" t="str">
        <f t="shared" si="57"/>
        <v/>
      </c>
      <c r="O733" t="str">
        <f t="shared" si="58"/>
        <v/>
      </c>
    </row>
    <row r="734" spans="11:15" x14ac:dyDescent="0.3">
      <c r="K734" t="str">
        <f t="shared" si="59"/>
        <v/>
      </c>
      <c r="L734" t="str">
        <f t="shared" si="55"/>
        <v/>
      </c>
      <c r="M734" t="str">
        <f t="shared" si="56"/>
        <v/>
      </c>
      <c r="N734" t="str">
        <f t="shared" si="57"/>
        <v/>
      </c>
      <c r="O734" t="str">
        <f t="shared" si="58"/>
        <v/>
      </c>
    </row>
    <row r="735" spans="11:15" x14ac:dyDescent="0.3">
      <c r="K735" t="str">
        <f t="shared" si="59"/>
        <v/>
      </c>
      <c r="L735" t="str">
        <f t="shared" si="55"/>
        <v/>
      </c>
      <c r="M735" t="str">
        <f t="shared" si="56"/>
        <v/>
      </c>
      <c r="N735" t="str">
        <f t="shared" si="57"/>
        <v/>
      </c>
      <c r="O735" t="str">
        <f t="shared" si="58"/>
        <v/>
      </c>
    </row>
    <row r="736" spans="11:15" x14ac:dyDescent="0.3">
      <c r="K736" t="str">
        <f t="shared" si="59"/>
        <v/>
      </c>
      <c r="L736" t="str">
        <f t="shared" si="55"/>
        <v/>
      </c>
      <c r="M736" t="str">
        <f t="shared" si="56"/>
        <v/>
      </c>
      <c r="N736" t="str">
        <f t="shared" si="57"/>
        <v/>
      </c>
      <c r="O736" t="str">
        <f t="shared" si="58"/>
        <v/>
      </c>
    </row>
    <row r="737" spans="11:15" x14ac:dyDescent="0.3">
      <c r="K737" t="str">
        <f t="shared" si="59"/>
        <v/>
      </c>
      <c r="L737" t="str">
        <f t="shared" si="55"/>
        <v/>
      </c>
      <c r="M737" t="str">
        <f t="shared" si="56"/>
        <v/>
      </c>
      <c r="N737" t="str">
        <f t="shared" si="57"/>
        <v/>
      </c>
      <c r="O737" t="str">
        <f t="shared" si="58"/>
        <v/>
      </c>
    </row>
    <row r="738" spans="11:15" x14ac:dyDescent="0.3">
      <c r="K738" t="str">
        <f t="shared" si="59"/>
        <v/>
      </c>
      <c r="L738" t="str">
        <f t="shared" si="55"/>
        <v/>
      </c>
      <c r="M738" t="str">
        <f t="shared" si="56"/>
        <v/>
      </c>
      <c r="N738" t="str">
        <f t="shared" si="57"/>
        <v/>
      </c>
      <c r="O738" t="str">
        <f t="shared" si="58"/>
        <v/>
      </c>
    </row>
    <row r="739" spans="11:15" x14ac:dyDescent="0.3">
      <c r="K739" t="str">
        <f t="shared" si="59"/>
        <v/>
      </c>
      <c r="L739" t="str">
        <f t="shared" si="55"/>
        <v/>
      </c>
      <c r="M739" t="str">
        <f t="shared" si="56"/>
        <v/>
      </c>
      <c r="N739" t="str">
        <f t="shared" si="57"/>
        <v/>
      </c>
      <c r="O739" t="str">
        <f t="shared" si="58"/>
        <v/>
      </c>
    </row>
    <row r="740" spans="11:15" x14ac:dyDescent="0.3">
      <c r="K740" t="str">
        <f t="shared" si="59"/>
        <v/>
      </c>
      <c r="L740" t="str">
        <f t="shared" si="55"/>
        <v/>
      </c>
      <c r="M740" t="str">
        <f t="shared" si="56"/>
        <v/>
      </c>
      <c r="N740" t="str">
        <f t="shared" si="57"/>
        <v/>
      </c>
      <c r="O740" t="str">
        <f t="shared" si="58"/>
        <v/>
      </c>
    </row>
    <row r="741" spans="11:15" x14ac:dyDescent="0.3">
      <c r="K741" t="str">
        <f t="shared" si="59"/>
        <v/>
      </c>
      <c r="L741" t="str">
        <f t="shared" si="55"/>
        <v/>
      </c>
      <c r="M741" t="str">
        <f t="shared" si="56"/>
        <v/>
      </c>
      <c r="N741" t="str">
        <f t="shared" si="57"/>
        <v/>
      </c>
      <c r="O741" t="str">
        <f t="shared" si="58"/>
        <v/>
      </c>
    </row>
    <row r="742" spans="11:15" x14ac:dyDescent="0.3">
      <c r="K742" t="str">
        <f t="shared" si="59"/>
        <v/>
      </c>
      <c r="L742" t="str">
        <f t="shared" si="55"/>
        <v/>
      </c>
      <c r="M742" t="str">
        <f t="shared" si="56"/>
        <v/>
      </c>
      <c r="N742" t="str">
        <f t="shared" si="57"/>
        <v/>
      </c>
      <c r="O742" t="str">
        <f t="shared" si="58"/>
        <v/>
      </c>
    </row>
    <row r="743" spans="11:15" x14ac:dyDescent="0.3">
      <c r="K743" t="str">
        <f t="shared" si="59"/>
        <v/>
      </c>
      <c r="L743" t="str">
        <f t="shared" si="55"/>
        <v/>
      </c>
      <c r="M743" t="str">
        <f t="shared" si="56"/>
        <v/>
      </c>
      <c r="N743" t="str">
        <f t="shared" si="57"/>
        <v/>
      </c>
      <c r="O743" t="str">
        <f t="shared" si="58"/>
        <v/>
      </c>
    </row>
    <row r="744" spans="11:15" x14ac:dyDescent="0.3">
      <c r="K744" t="str">
        <f t="shared" si="59"/>
        <v/>
      </c>
      <c r="L744" t="str">
        <f t="shared" si="55"/>
        <v/>
      </c>
      <c r="M744" t="str">
        <f t="shared" si="56"/>
        <v/>
      </c>
      <c r="N744" t="str">
        <f t="shared" si="57"/>
        <v/>
      </c>
      <c r="O744" t="str">
        <f t="shared" si="58"/>
        <v/>
      </c>
    </row>
    <row r="745" spans="11:15" x14ac:dyDescent="0.3">
      <c r="K745" t="str">
        <f t="shared" si="59"/>
        <v/>
      </c>
      <c r="L745" t="str">
        <f t="shared" si="55"/>
        <v/>
      </c>
      <c r="M745" t="str">
        <f t="shared" si="56"/>
        <v/>
      </c>
      <c r="N745" t="str">
        <f t="shared" si="57"/>
        <v/>
      </c>
      <c r="O745" t="str">
        <f t="shared" si="58"/>
        <v/>
      </c>
    </row>
    <row r="746" spans="11:15" x14ac:dyDescent="0.3">
      <c r="K746" t="str">
        <f t="shared" si="59"/>
        <v/>
      </c>
      <c r="L746" t="str">
        <f t="shared" si="55"/>
        <v/>
      </c>
      <c r="M746" t="str">
        <f t="shared" si="56"/>
        <v/>
      </c>
      <c r="N746" t="str">
        <f t="shared" si="57"/>
        <v/>
      </c>
      <c r="O746" t="str">
        <f t="shared" si="58"/>
        <v/>
      </c>
    </row>
    <row r="747" spans="11:15" x14ac:dyDescent="0.3">
      <c r="K747" t="str">
        <f t="shared" si="59"/>
        <v/>
      </c>
      <c r="L747" t="str">
        <f t="shared" si="55"/>
        <v/>
      </c>
      <c r="M747" t="str">
        <f t="shared" si="56"/>
        <v/>
      </c>
      <c r="N747" t="str">
        <f t="shared" si="57"/>
        <v/>
      </c>
      <c r="O747" t="str">
        <f t="shared" si="58"/>
        <v/>
      </c>
    </row>
    <row r="748" spans="11:15" x14ac:dyDescent="0.3">
      <c r="K748" t="str">
        <f t="shared" si="59"/>
        <v/>
      </c>
      <c r="L748" t="str">
        <f t="shared" si="55"/>
        <v/>
      </c>
      <c r="M748" t="str">
        <f t="shared" si="56"/>
        <v/>
      </c>
      <c r="N748" t="str">
        <f t="shared" si="57"/>
        <v/>
      </c>
      <c r="O748" t="str">
        <f t="shared" si="58"/>
        <v/>
      </c>
    </row>
    <row r="749" spans="11:15" x14ac:dyDescent="0.3">
      <c r="K749" t="str">
        <f t="shared" si="59"/>
        <v/>
      </c>
      <c r="L749" t="str">
        <f t="shared" si="55"/>
        <v/>
      </c>
      <c r="M749" t="str">
        <f t="shared" si="56"/>
        <v/>
      </c>
      <c r="N749" t="str">
        <f t="shared" si="57"/>
        <v/>
      </c>
      <c r="O749" t="str">
        <f t="shared" si="58"/>
        <v/>
      </c>
    </row>
    <row r="750" spans="11:15" x14ac:dyDescent="0.3">
      <c r="K750" t="str">
        <f t="shared" si="59"/>
        <v/>
      </c>
      <c r="L750" t="str">
        <f t="shared" si="55"/>
        <v/>
      </c>
      <c r="M750" t="str">
        <f t="shared" si="56"/>
        <v/>
      </c>
      <c r="N750" t="str">
        <f t="shared" si="57"/>
        <v/>
      </c>
      <c r="O750" t="str">
        <f t="shared" si="58"/>
        <v/>
      </c>
    </row>
    <row r="751" spans="11:15" x14ac:dyDescent="0.3">
      <c r="K751" t="str">
        <f t="shared" si="59"/>
        <v/>
      </c>
      <c r="L751" t="str">
        <f t="shared" si="55"/>
        <v/>
      </c>
      <c r="M751" t="str">
        <f t="shared" si="56"/>
        <v/>
      </c>
      <c r="N751" t="str">
        <f t="shared" si="57"/>
        <v/>
      </c>
      <c r="O751" t="str">
        <f t="shared" si="58"/>
        <v/>
      </c>
    </row>
    <row r="752" spans="11:15" x14ac:dyDescent="0.3">
      <c r="K752" t="str">
        <f t="shared" si="59"/>
        <v/>
      </c>
      <c r="L752" t="str">
        <f t="shared" si="55"/>
        <v/>
      </c>
      <c r="M752" t="str">
        <f t="shared" si="56"/>
        <v/>
      </c>
      <c r="N752" t="str">
        <f t="shared" si="57"/>
        <v/>
      </c>
      <c r="O752" t="str">
        <f t="shared" si="58"/>
        <v/>
      </c>
    </row>
    <row r="753" spans="11:15" x14ac:dyDescent="0.3">
      <c r="K753" t="str">
        <f t="shared" si="59"/>
        <v/>
      </c>
      <c r="L753" t="str">
        <f t="shared" si="55"/>
        <v/>
      </c>
      <c r="M753" t="str">
        <f t="shared" si="56"/>
        <v/>
      </c>
      <c r="N753" t="str">
        <f t="shared" si="57"/>
        <v/>
      </c>
      <c r="O753" t="str">
        <f t="shared" si="58"/>
        <v/>
      </c>
    </row>
    <row r="754" spans="11:15" x14ac:dyDescent="0.3">
      <c r="K754" t="str">
        <f t="shared" si="59"/>
        <v/>
      </c>
      <c r="L754" t="str">
        <f t="shared" si="55"/>
        <v/>
      </c>
      <c r="M754" t="str">
        <f t="shared" si="56"/>
        <v/>
      </c>
      <c r="N754" t="str">
        <f t="shared" si="57"/>
        <v/>
      </c>
      <c r="O754" t="str">
        <f t="shared" si="58"/>
        <v/>
      </c>
    </row>
    <row r="755" spans="11:15" x14ac:dyDescent="0.3">
      <c r="K755" t="str">
        <f t="shared" si="59"/>
        <v/>
      </c>
      <c r="L755" t="str">
        <f t="shared" si="55"/>
        <v/>
      </c>
      <c r="M755" t="str">
        <f t="shared" si="56"/>
        <v/>
      </c>
      <c r="N755" t="str">
        <f t="shared" si="57"/>
        <v/>
      </c>
      <c r="O755" t="str">
        <f t="shared" si="58"/>
        <v/>
      </c>
    </row>
    <row r="756" spans="11:15" x14ac:dyDescent="0.3">
      <c r="K756" t="str">
        <f t="shared" si="59"/>
        <v/>
      </c>
      <c r="L756" t="str">
        <f t="shared" si="55"/>
        <v/>
      </c>
      <c r="M756" t="str">
        <f t="shared" si="56"/>
        <v/>
      </c>
      <c r="N756" t="str">
        <f t="shared" si="57"/>
        <v/>
      </c>
      <c r="O756" t="str">
        <f t="shared" si="58"/>
        <v/>
      </c>
    </row>
    <row r="757" spans="11:15" x14ac:dyDescent="0.3">
      <c r="K757" t="str">
        <f t="shared" si="59"/>
        <v/>
      </c>
      <c r="L757" t="str">
        <f t="shared" si="55"/>
        <v/>
      </c>
      <c r="M757" t="str">
        <f t="shared" si="56"/>
        <v/>
      </c>
      <c r="N757" t="str">
        <f t="shared" si="57"/>
        <v/>
      </c>
      <c r="O757" t="str">
        <f t="shared" si="58"/>
        <v/>
      </c>
    </row>
    <row r="758" spans="11:15" x14ac:dyDescent="0.3">
      <c r="K758" t="str">
        <f t="shared" si="59"/>
        <v/>
      </c>
      <c r="L758" t="str">
        <f t="shared" si="55"/>
        <v/>
      </c>
      <c r="M758" t="str">
        <f t="shared" si="56"/>
        <v/>
      </c>
      <c r="N758" t="str">
        <f t="shared" si="57"/>
        <v/>
      </c>
      <c r="O758" t="str">
        <f t="shared" si="58"/>
        <v/>
      </c>
    </row>
    <row r="759" spans="11:15" x14ac:dyDescent="0.3">
      <c r="K759" t="str">
        <f t="shared" si="59"/>
        <v/>
      </c>
      <c r="L759" t="str">
        <f t="shared" si="55"/>
        <v/>
      </c>
      <c r="M759" t="str">
        <f t="shared" si="56"/>
        <v/>
      </c>
      <c r="N759" t="str">
        <f t="shared" si="57"/>
        <v/>
      </c>
      <c r="O759" t="str">
        <f t="shared" si="58"/>
        <v/>
      </c>
    </row>
    <row r="760" spans="11:15" x14ac:dyDescent="0.3">
      <c r="K760" t="str">
        <f t="shared" si="59"/>
        <v/>
      </c>
      <c r="L760" t="str">
        <f t="shared" si="55"/>
        <v/>
      </c>
      <c r="M760" t="str">
        <f t="shared" si="56"/>
        <v/>
      </c>
      <c r="N760" t="str">
        <f t="shared" si="57"/>
        <v/>
      </c>
      <c r="O760" t="str">
        <f t="shared" si="58"/>
        <v/>
      </c>
    </row>
    <row r="761" spans="11:15" x14ac:dyDescent="0.3">
      <c r="K761" t="str">
        <f t="shared" si="59"/>
        <v/>
      </c>
      <c r="L761" t="str">
        <f t="shared" si="55"/>
        <v/>
      </c>
      <c r="M761" t="str">
        <f t="shared" si="56"/>
        <v/>
      </c>
      <c r="N761" t="str">
        <f t="shared" si="57"/>
        <v/>
      </c>
      <c r="O761" t="str">
        <f t="shared" si="58"/>
        <v/>
      </c>
    </row>
    <row r="762" spans="11:15" x14ac:dyDescent="0.3">
      <c r="K762" t="str">
        <f t="shared" si="59"/>
        <v/>
      </c>
      <c r="L762" t="str">
        <f t="shared" si="55"/>
        <v/>
      </c>
      <c r="M762" t="str">
        <f t="shared" si="56"/>
        <v/>
      </c>
      <c r="N762" t="str">
        <f t="shared" si="57"/>
        <v/>
      </c>
      <c r="O762" t="str">
        <f t="shared" si="58"/>
        <v/>
      </c>
    </row>
    <row r="763" spans="11:15" x14ac:dyDescent="0.3">
      <c r="K763" t="str">
        <f t="shared" si="59"/>
        <v/>
      </c>
      <c r="L763" t="str">
        <f t="shared" si="55"/>
        <v/>
      </c>
      <c r="M763" t="str">
        <f t="shared" si="56"/>
        <v/>
      </c>
      <c r="N763" t="str">
        <f t="shared" si="57"/>
        <v/>
      </c>
      <c r="O763" t="str">
        <f t="shared" si="58"/>
        <v/>
      </c>
    </row>
    <row r="764" spans="11:15" x14ac:dyDescent="0.3">
      <c r="K764" t="str">
        <f t="shared" si="59"/>
        <v/>
      </c>
      <c r="L764" t="str">
        <f t="shared" si="55"/>
        <v/>
      </c>
      <c r="M764" t="str">
        <f t="shared" si="56"/>
        <v/>
      </c>
      <c r="N764" t="str">
        <f t="shared" si="57"/>
        <v/>
      </c>
      <c r="O764" t="str">
        <f t="shared" si="58"/>
        <v/>
      </c>
    </row>
    <row r="765" spans="11:15" x14ac:dyDescent="0.3">
      <c r="K765" t="str">
        <f t="shared" si="59"/>
        <v/>
      </c>
      <c r="L765" t="str">
        <f t="shared" si="55"/>
        <v/>
      </c>
      <c r="M765" t="str">
        <f t="shared" si="56"/>
        <v/>
      </c>
      <c r="N765" t="str">
        <f t="shared" si="57"/>
        <v/>
      </c>
      <c r="O765" t="str">
        <f t="shared" si="58"/>
        <v/>
      </c>
    </row>
    <row r="766" spans="11:15" x14ac:dyDescent="0.3">
      <c r="K766" t="str">
        <f t="shared" si="59"/>
        <v/>
      </c>
      <c r="L766" t="str">
        <f t="shared" si="55"/>
        <v/>
      </c>
      <c r="M766" t="str">
        <f t="shared" si="56"/>
        <v/>
      </c>
      <c r="N766" t="str">
        <f t="shared" si="57"/>
        <v/>
      </c>
      <c r="O766" t="str">
        <f t="shared" si="58"/>
        <v/>
      </c>
    </row>
    <row r="767" spans="11:15" x14ac:dyDescent="0.3">
      <c r="K767" t="str">
        <f t="shared" si="59"/>
        <v/>
      </c>
      <c r="L767" t="str">
        <f t="shared" si="55"/>
        <v/>
      </c>
      <c r="M767" t="str">
        <f t="shared" si="56"/>
        <v/>
      </c>
      <c r="N767" t="str">
        <f t="shared" si="57"/>
        <v/>
      </c>
      <c r="O767" t="str">
        <f t="shared" si="58"/>
        <v/>
      </c>
    </row>
    <row r="768" spans="11:15" x14ac:dyDescent="0.3">
      <c r="K768" t="str">
        <f t="shared" si="59"/>
        <v/>
      </c>
      <c r="L768" t="str">
        <f t="shared" si="55"/>
        <v/>
      </c>
      <c r="M768" t="str">
        <f t="shared" si="56"/>
        <v/>
      </c>
      <c r="N768" t="str">
        <f t="shared" si="57"/>
        <v/>
      </c>
      <c r="O768" t="str">
        <f t="shared" si="58"/>
        <v/>
      </c>
    </row>
    <row r="769" spans="11:15" x14ac:dyDescent="0.3">
      <c r="K769" t="str">
        <f t="shared" si="59"/>
        <v/>
      </c>
      <c r="L769" t="str">
        <f t="shared" ref="L769:L832" si="60">IF(A769="","",IF(ISNUMBER(--LEFT(A769,FIND(" - ",A769&amp;" - ")-1)),LEFT(A769,FIND(" - ",A769&amp;" - ")-1),TRIM(A769)))</f>
        <v/>
      </c>
      <c r="M769" t="str">
        <f t="shared" ref="M769:M832" si="61">IF(OR(K769="",K769=A769,A769=""),"",K769&amp;"|"&amp;L769)</f>
        <v/>
      </c>
      <c r="N769" t="str">
        <f t="shared" ref="N769:N832" si="62">IF(M769="","",IF(ISNUMBER(B769),B769,IFERROR(_xlfn.NUMBERVALUE(B769,".",","),0)))</f>
        <v/>
      </c>
      <c r="O769" t="str">
        <f t="shared" ref="O769:O832" si="63">IF(M769="","",IF(ISNUMBER(C769),C769,IFERROR(_xlfn.NUMBERVALUE(C769,".",","),0)))</f>
        <v/>
      </c>
    </row>
    <row r="770" spans="11:15" x14ac:dyDescent="0.3">
      <c r="K770" t="str">
        <f t="shared" ref="K770:K833" si="64">IF(OR(LEFT(B770,9)="DOANH THU",LEFT(B770,8)="SỐ LƯỢNG"),A770,K769)</f>
        <v/>
      </c>
      <c r="L770" t="str">
        <f t="shared" si="60"/>
        <v/>
      </c>
      <c r="M770" t="str">
        <f t="shared" si="61"/>
        <v/>
      </c>
      <c r="N770" t="str">
        <f t="shared" si="62"/>
        <v/>
      </c>
      <c r="O770" t="str">
        <f t="shared" si="63"/>
        <v/>
      </c>
    </row>
    <row r="771" spans="11:15" x14ac:dyDescent="0.3">
      <c r="K771" t="str">
        <f t="shared" si="64"/>
        <v/>
      </c>
      <c r="L771" t="str">
        <f t="shared" si="60"/>
        <v/>
      </c>
      <c r="M771" t="str">
        <f t="shared" si="61"/>
        <v/>
      </c>
      <c r="N771" t="str">
        <f t="shared" si="62"/>
        <v/>
      </c>
      <c r="O771" t="str">
        <f t="shared" si="63"/>
        <v/>
      </c>
    </row>
    <row r="772" spans="11:15" x14ac:dyDescent="0.3">
      <c r="K772" t="str">
        <f t="shared" si="64"/>
        <v/>
      </c>
      <c r="L772" t="str">
        <f t="shared" si="60"/>
        <v/>
      </c>
      <c r="M772" t="str">
        <f t="shared" si="61"/>
        <v/>
      </c>
      <c r="N772" t="str">
        <f t="shared" si="62"/>
        <v/>
      </c>
      <c r="O772" t="str">
        <f t="shared" si="63"/>
        <v/>
      </c>
    </row>
    <row r="773" spans="11:15" x14ac:dyDescent="0.3">
      <c r="K773" t="str">
        <f t="shared" si="64"/>
        <v/>
      </c>
      <c r="L773" t="str">
        <f t="shared" si="60"/>
        <v/>
      </c>
      <c r="M773" t="str">
        <f t="shared" si="61"/>
        <v/>
      </c>
      <c r="N773" t="str">
        <f t="shared" si="62"/>
        <v/>
      </c>
      <c r="O773" t="str">
        <f t="shared" si="63"/>
        <v/>
      </c>
    </row>
    <row r="774" spans="11:15" x14ac:dyDescent="0.3">
      <c r="K774" t="str">
        <f t="shared" si="64"/>
        <v/>
      </c>
      <c r="L774" t="str">
        <f t="shared" si="60"/>
        <v/>
      </c>
      <c r="M774" t="str">
        <f t="shared" si="61"/>
        <v/>
      </c>
      <c r="N774" t="str">
        <f t="shared" si="62"/>
        <v/>
      </c>
      <c r="O774" t="str">
        <f t="shared" si="63"/>
        <v/>
      </c>
    </row>
    <row r="775" spans="11:15" x14ac:dyDescent="0.3">
      <c r="K775" t="str">
        <f t="shared" si="64"/>
        <v/>
      </c>
      <c r="L775" t="str">
        <f t="shared" si="60"/>
        <v/>
      </c>
      <c r="M775" t="str">
        <f t="shared" si="61"/>
        <v/>
      </c>
      <c r="N775" t="str">
        <f t="shared" si="62"/>
        <v/>
      </c>
      <c r="O775" t="str">
        <f t="shared" si="63"/>
        <v/>
      </c>
    </row>
    <row r="776" spans="11:15" x14ac:dyDescent="0.3">
      <c r="K776" t="str">
        <f t="shared" si="64"/>
        <v/>
      </c>
      <c r="L776" t="str">
        <f t="shared" si="60"/>
        <v/>
      </c>
      <c r="M776" t="str">
        <f t="shared" si="61"/>
        <v/>
      </c>
      <c r="N776" t="str">
        <f t="shared" si="62"/>
        <v/>
      </c>
      <c r="O776" t="str">
        <f t="shared" si="63"/>
        <v/>
      </c>
    </row>
    <row r="777" spans="11:15" x14ac:dyDescent="0.3">
      <c r="K777" t="str">
        <f t="shared" si="64"/>
        <v/>
      </c>
      <c r="L777" t="str">
        <f t="shared" si="60"/>
        <v/>
      </c>
      <c r="M777" t="str">
        <f t="shared" si="61"/>
        <v/>
      </c>
      <c r="N777" t="str">
        <f t="shared" si="62"/>
        <v/>
      </c>
      <c r="O777" t="str">
        <f t="shared" si="63"/>
        <v/>
      </c>
    </row>
    <row r="778" spans="11:15" x14ac:dyDescent="0.3">
      <c r="K778" t="str">
        <f t="shared" si="64"/>
        <v/>
      </c>
      <c r="L778" t="str">
        <f t="shared" si="60"/>
        <v/>
      </c>
      <c r="M778" t="str">
        <f t="shared" si="61"/>
        <v/>
      </c>
      <c r="N778" t="str">
        <f t="shared" si="62"/>
        <v/>
      </c>
      <c r="O778" t="str">
        <f t="shared" si="63"/>
        <v/>
      </c>
    </row>
    <row r="779" spans="11:15" x14ac:dyDescent="0.3">
      <c r="K779" t="str">
        <f t="shared" si="64"/>
        <v/>
      </c>
      <c r="L779" t="str">
        <f t="shared" si="60"/>
        <v/>
      </c>
      <c r="M779" t="str">
        <f t="shared" si="61"/>
        <v/>
      </c>
      <c r="N779" t="str">
        <f t="shared" si="62"/>
        <v/>
      </c>
      <c r="O779" t="str">
        <f t="shared" si="63"/>
        <v/>
      </c>
    </row>
    <row r="780" spans="11:15" x14ac:dyDescent="0.3">
      <c r="K780" t="str">
        <f t="shared" si="64"/>
        <v/>
      </c>
      <c r="L780" t="str">
        <f t="shared" si="60"/>
        <v/>
      </c>
      <c r="M780" t="str">
        <f t="shared" si="61"/>
        <v/>
      </c>
      <c r="N780" t="str">
        <f t="shared" si="62"/>
        <v/>
      </c>
      <c r="O780" t="str">
        <f t="shared" si="63"/>
        <v/>
      </c>
    </row>
    <row r="781" spans="11:15" x14ac:dyDescent="0.3">
      <c r="K781" t="str">
        <f t="shared" si="64"/>
        <v/>
      </c>
      <c r="L781" t="str">
        <f t="shared" si="60"/>
        <v/>
      </c>
      <c r="M781" t="str">
        <f t="shared" si="61"/>
        <v/>
      </c>
      <c r="N781" t="str">
        <f t="shared" si="62"/>
        <v/>
      </c>
      <c r="O781" t="str">
        <f t="shared" si="63"/>
        <v/>
      </c>
    </row>
    <row r="782" spans="11:15" x14ac:dyDescent="0.3">
      <c r="K782" t="str">
        <f t="shared" si="64"/>
        <v/>
      </c>
      <c r="L782" t="str">
        <f t="shared" si="60"/>
        <v/>
      </c>
      <c r="M782" t="str">
        <f t="shared" si="61"/>
        <v/>
      </c>
      <c r="N782" t="str">
        <f t="shared" si="62"/>
        <v/>
      </c>
      <c r="O782" t="str">
        <f t="shared" si="63"/>
        <v/>
      </c>
    </row>
    <row r="783" spans="11:15" x14ac:dyDescent="0.3">
      <c r="K783" t="str">
        <f t="shared" si="64"/>
        <v/>
      </c>
      <c r="L783" t="str">
        <f t="shared" si="60"/>
        <v/>
      </c>
      <c r="M783" t="str">
        <f t="shared" si="61"/>
        <v/>
      </c>
      <c r="N783" t="str">
        <f t="shared" si="62"/>
        <v/>
      </c>
      <c r="O783" t="str">
        <f t="shared" si="63"/>
        <v/>
      </c>
    </row>
    <row r="784" spans="11:15" x14ac:dyDescent="0.3">
      <c r="K784" t="str">
        <f t="shared" si="64"/>
        <v/>
      </c>
      <c r="L784" t="str">
        <f t="shared" si="60"/>
        <v/>
      </c>
      <c r="M784" t="str">
        <f t="shared" si="61"/>
        <v/>
      </c>
      <c r="N784" t="str">
        <f t="shared" si="62"/>
        <v/>
      </c>
      <c r="O784" t="str">
        <f t="shared" si="63"/>
        <v/>
      </c>
    </row>
    <row r="785" spans="11:15" x14ac:dyDescent="0.3">
      <c r="K785" t="str">
        <f t="shared" si="64"/>
        <v/>
      </c>
      <c r="L785" t="str">
        <f t="shared" si="60"/>
        <v/>
      </c>
      <c r="M785" t="str">
        <f t="shared" si="61"/>
        <v/>
      </c>
      <c r="N785" t="str">
        <f t="shared" si="62"/>
        <v/>
      </c>
      <c r="O785" t="str">
        <f t="shared" si="63"/>
        <v/>
      </c>
    </row>
    <row r="786" spans="11:15" x14ac:dyDescent="0.3">
      <c r="K786" t="str">
        <f t="shared" si="64"/>
        <v/>
      </c>
      <c r="L786" t="str">
        <f t="shared" si="60"/>
        <v/>
      </c>
      <c r="M786" t="str">
        <f t="shared" si="61"/>
        <v/>
      </c>
      <c r="N786" t="str">
        <f t="shared" si="62"/>
        <v/>
      </c>
      <c r="O786" t="str">
        <f t="shared" si="63"/>
        <v/>
      </c>
    </row>
    <row r="787" spans="11:15" x14ac:dyDescent="0.3">
      <c r="K787" t="str">
        <f t="shared" si="64"/>
        <v/>
      </c>
      <c r="L787" t="str">
        <f t="shared" si="60"/>
        <v/>
      </c>
      <c r="M787" t="str">
        <f t="shared" si="61"/>
        <v/>
      </c>
      <c r="N787" t="str">
        <f t="shared" si="62"/>
        <v/>
      </c>
      <c r="O787" t="str">
        <f t="shared" si="63"/>
        <v/>
      </c>
    </row>
    <row r="788" spans="11:15" x14ac:dyDescent="0.3">
      <c r="K788" t="str">
        <f t="shared" si="64"/>
        <v/>
      </c>
      <c r="L788" t="str">
        <f t="shared" si="60"/>
        <v/>
      </c>
      <c r="M788" t="str">
        <f t="shared" si="61"/>
        <v/>
      </c>
      <c r="N788" t="str">
        <f t="shared" si="62"/>
        <v/>
      </c>
      <c r="O788" t="str">
        <f t="shared" si="63"/>
        <v/>
      </c>
    </row>
    <row r="789" spans="11:15" x14ac:dyDescent="0.3">
      <c r="K789" t="str">
        <f t="shared" si="64"/>
        <v/>
      </c>
      <c r="L789" t="str">
        <f t="shared" si="60"/>
        <v/>
      </c>
      <c r="M789" t="str">
        <f t="shared" si="61"/>
        <v/>
      </c>
      <c r="N789" t="str">
        <f t="shared" si="62"/>
        <v/>
      </c>
      <c r="O789" t="str">
        <f t="shared" si="63"/>
        <v/>
      </c>
    </row>
    <row r="790" spans="11:15" x14ac:dyDescent="0.3">
      <c r="K790" t="str">
        <f t="shared" si="64"/>
        <v/>
      </c>
      <c r="L790" t="str">
        <f t="shared" si="60"/>
        <v/>
      </c>
      <c r="M790" t="str">
        <f t="shared" si="61"/>
        <v/>
      </c>
      <c r="N790" t="str">
        <f t="shared" si="62"/>
        <v/>
      </c>
      <c r="O790" t="str">
        <f t="shared" si="63"/>
        <v/>
      </c>
    </row>
    <row r="791" spans="11:15" x14ac:dyDescent="0.3">
      <c r="K791" t="str">
        <f t="shared" si="64"/>
        <v/>
      </c>
      <c r="L791" t="str">
        <f t="shared" si="60"/>
        <v/>
      </c>
      <c r="M791" t="str">
        <f t="shared" si="61"/>
        <v/>
      </c>
      <c r="N791" t="str">
        <f t="shared" si="62"/>
        <v/>
      </c>
      <c r="O791" t="str">
        <f t="shared" si="63"/>
        <v/>
      </c>
    </row>
    <row r="792" spans="11:15" x14ac:dyDescent="0.3">
      <c r="K792" t="str">
        <f t="shared" si="64"/>
        <v/>
      </c>
      <c r="L792" t="str">
        <f t="shared" si="60"/>
        <v/>
      </c>
      <c r="M792" t="str">
        <f t="shared" si="61"/>
        <v/>
      </c>
      <c r="N792" t="str">
        <f t="shared" si="62"/>
        <v/>
      </c>
      <c r="O792" t="str">
        <f t="shared" si="63"/>
        <v/>
      </c>
    </row>
    <row r="793" spans="11:15" x14ac:dyDescent="0.3">
      <c r="K793" t="str">
        <f t="shared" si="64"/>
        <v/>
      </c>
      <c r="L793" t="str">
        <f t="shared" si="60"/>
        <v/>
      </c>
      <c r="M793" t="str">
        <f t="shared" si="61"/>
        <v/>
      </c>
      <c r="N793" t="str">
        <f t="shared" si="62"/>
        <v/>
      </c>
      <c r="O793" t="str">
        <f t="shared" si="63"/>
        <v/>
      </c>
    </row>
    <row r="794" spans="11:15" x14ac:dyDescent="0.3">
      <c r="K794" t="str">
        <f t="shared" si="64"/>
        <v/>
      </c>
      <c r="L794" t="str">
        <f t="shared" si="60"/>
        <v/>
      </c>
      <c r="M794" t="str">
        <f t="shared" si="61"/>
        <v/>
      </c>
      <c r="N794" t="str">
        <f t="shared" si="62"/>
        <v/>
      </c>
      <c r="O794" t="str">
        <f t="shared" si="63"/>
        <v/>
      </c>
    </row>
    <row r="795" spans="11:15" x14ac:dyDescent="0.3">
      <c r="K795" t="str">
        <f t="shared" si="64"/>
        <v/>
      </c>
      <c r="L795" t="str">
        <f t="shared" si="60"/>
        <v/>
      </c>
      <c r="M795" t="str">
        <f t="shared" si="61"/>
        <v/>
      </c>
      <c r="N795" t="str">
        <f t="shared" si="62"/>
        <v/>
      </c>
      <c r="O795" t="str">
        <f t="shared" si="63"/>
        <v/>
      </c>
    </row>
    <row r="796" spans="11:15" x14ac:dyDescent="0.3">
      <c r="K796" t="str">
        <f t="shared" si="64"/>
        <v/>
      </c>
      <c r="L796" t="str">
        <f t="shared" si="60"/>
        <v/>
      </c>
      <c r="M796" t="str">
        <f t="shared" si="61"/>
        <v/>
      </c>
      <c r="N796" t="str">
        <f t="shared" si="62"/>
        <v/>
      </c>
      <c r="O796" t="str">
        <f t="shared" si="63"/>
        <v/>
      </c>
    </row>
    <row r="797" spans="11:15" x14ac:dyDescent="0.3">
      <c r="K797" t="str">
        <f t="shared" si="64"/>
        <v/>
      </c>
      <c r="L797" t="str">
        <f t="shared" si="60"/>
        <v/>
      </c>
      <c r="M797" t="str">
        <f t="shared" si="61"/>
        <v/>
      </c>
      <c r="N797" t="str">
        <f t="shared" si="62"/>
        <v/>
      </c>
      <c r="O797" t="str">
        <f t="shared" si="63"/>
        <v/>
      </c>
    </row>
    <row r="798" spans="11:15" x14ac:dyDescent="0.3">
      <c r="K798" t="str">
        <f t="shared" si="64"/>
        <v/>
      </c>
      <c r="L798" t="str">
        <f t="shared" si="60"/>
        <v/>
      </c>
      <c r="M798" t="str">
        <f t="shared" si="61"/>
        <v/>
      </c>
      <c r="N798" t="str">
        <f t="shared" si="62"/>
        <v/>
      </c>
      <c r="O798" t="str">
        <f t="shared" si="63"/>
        <v/>
      </c>
    </row>
    <row r="799" spans="11:15" x14ac:dyDescent="0.3">
      <c r="K799" t="str">
        <f t="shared" si="64"/>
        <v/>
      </c>
      <c r="L799" t="str">
        <f t="shared" si="60"/>
        <v/>
      </c>
      <c r="M799" t="str">
        <f t="shared" si="61"/>
        <v/>
      </c>
      <c r="N799" t="str">
        <f t="shared" si="62"/>
        <v/>
      </c>
      <c r="O799" t="str">
        <f t="shared" si="63"/>
        <v/>
      </c>
    </row>
    <row r="800" spans="11:15" x14ac:dyDescent="0.3">
      <c r="K800" t="str">
        <f t="shared" si="64"/>
        <v/>
      </c>
      <c r="L800" t="str">
        <f t="shared" si="60"/>
        <v/>
      </c>
      <c r="M800" t="str">
        <f t="shared" si="61"/>
        <v/>
      </c>
      <c r="N800" t="str">
        <f t="shared" si="62"/>
        <v/>
      </c>
      <c r="O800" t="str">
        <f t="shared" si="63"/>
        <v/>
      </c>
    </row>
    <row r="801" spans="11:15" x14ac:dyDescent="0.3">
      <c r="K801" t="str">
        <f t="shared" si="64"/>
        <v/>
      </c>
      <c r="L801" t="str">
        <f t="shared" si="60"/>
        <v/>
      </c>
      <c r="M801" t="str">
        <f t="shared" si="61"/>
        <v/>
      </c>
      <c r="N801" t="str">
        <f t="shared" si="62"/>
        <v/>
      </c>
      <c r="O801" t="str">
        <f t="shared" si="63"/>
        <v/>
      </c>
    </row>
    <row r="802" spans="11:15" x14ac:dyDescent="0.3">
      <c r="K802" t="str">
        <f t="shared" si="64"/>
        <v/>
      </c>
      <c r="L802" t="str">
        <f t="shared" si="60"/>
        <v/>
      </c>
      <c r="M802" t="str">
        <f t="shared" si="61"/>
        <v/>
      </c>
      <c r="N802" t="str">
        <f t="shared" si="62"/>
        <v/>
      </c>
      <c r="O802" t="str">
        <f t="shared" si="63"/>
        <v/>
      </c>
    </row>
    <row r="803" spans="11:15" x14ac:dyDescent="0.3">
      <c r="K803" t="str">
        <f t="shared" si="64"/>
        <v/>
      </c>
      <c r="L803" t="str">
        <f t="shared" si="60"/>
        <v/>
      </c>
      <c r="M803" t="str">
        <f t="shared" si="61"/>
        <v/>
      </c>
      <c r="N803" t="str">
        <f t="shared" si="62"/>
        <v/>
      </c>
      <c r="O803" t="str">
        <f t="shared" si="63"/>
        <v/>
      </c>
    </row>
    <row r="804" spans="11:15" x14ac:dyDescent="0.3">
      <c r="K804" t="str">
        <f t="shared" si="64"/>
        <v/>
      </c>
      <c r="L804" t="str">
        <f t="shared" si="60"/>
        <v/>
      </c>
      <c r="M804" t="str">
        <f t="shared" si="61"/>
        <v/>
      </c>
      <c r="N804" t="str">
        <f t="shared" si="62"/>
        <v/>
      </c>
      <c r="O804" t="str">
        <f t="shared" si="63"/>
        <v/>
      </c>
    </row>
    <row r="805" spans="11:15" x14ac:dyDescent="0.3">
      <c r="K805" t="str">
        <f t="shared" si="64"/>
        <v/>
      </c>
      <c r="L805" t="str">
        <f t="shared" si="60"/>
        <v/>
      </c>
      <c r="M805" t="str">
        <f t="shared" si="61"/>
        <v/>
      </c>
      <c r="N805" t="str">
        <f t="shared" si="62"/>
        <v/>
      </c>
      <c r="O805" t="str">
        <f t="shared" si="63"/>
        <v/>
      </c>
    </row>
    <row r="806" spans="11:15" x14ac:dyDescent="0.3">
      <c r="K806" t="str">
        <f t="shared" si="64"/>
        <v/>
      </c>
      <c r="L806" t="str">
        <f t="shared" si="60"/>
        <v/>
      </c>
      <c r="M806" t="str">
        <f t="shared" si="61"/>
        <v/>
      </c>
      <c r="N806" t="str">
        <f t="shared" si="62"/>
        <v/>
      </c>
      <c r="O806" t="str">
        <f t="shared" si="63"/>
        <v/>
      </c>
    </row>
    <row r="807" spans="11:15" x14ac:dyDescent="0.3">
      <c r="K807" t="str">
        <f t="shared" si="64"/>
        <v/>
      </c>
      <c r="L807" t="str">
        <f t="shared" si="60"/>
        <v/>
      </c>
      <c r="M807" t="str">
        <f t="shared" si="61"/>
        <v/>
      </c>
      <c r="N807" t="str">
        <f t="shared" si="62"/>
        <v/>
      </c>
      <c r="O807" t="str">
        <f t="shared" si="63"/>
        <v/>
      </c>
    </row>
    <row r="808" spans="11:15" x14ac:dyDescent="0.3">
      <c r="K808" t="str">
        <f t="shared" si="64"/>
        <v/>
      </c>
      <c r="L808" t="str">
        <f t="shared" si="60"/>
        <v/>
      </c>
      <c r="M808" t="str">
        <f t="shared" si="61"/>
        <v/>
      </c>
      <c r="N808" t="str">
        <f t="shared" si="62"/>
        <v/>
      </c>
      <c r="O808" t="str">
        <f t="shared" si="63"/>
        <v/>
      </c>
    </row>
    <row r="809" spans="11:15" x14ac:dyDescent="0.3">
      <c r="K809" t="str">
        <f t="shared" si="64"/>
        <v/>
      </c>
      <c r="L809" t="str">
        <f t="shared" si="60"/>
        <v/>
      </c>
      <c r="M809" t="str">
        <f t="shared" si="61"/>
        <v/>
      </c>
      <c r="N809" t="str">
        <f t="shared" si="62"/>
        <v/>
      </c>
      <c r="O809" t="str">
        <f t="shared" si="63"/>
        <v/>
      </c>
    </row>
    <row r="810" spans="11:15" x14ac:dyDescent="0.3">
      <c r="K810" t="str">
        <f t="shared" si="64"/>
        <v/>
      </c>
      <c r="L810" t="str">
        <f t="shared" si="60"/>
        <v/>
      </c>
      <c r="M810" t="str">
        <f t="shared" si="61"/>
        <v/>
      </c>
      <c r="N810" t="str">
        <f t="shared" si="62"/>
        <v/>
      </c>
      <c r="O810" t="str">
        <f t="shared" si="63"/>
        <v/>
      </c>
    </row>
    <row r="811" spans="11:15" x14ac:dyDescent="0.3">
      <c r="K811" t="str">
        <f t="shared" si="64"/>
        <v/>
      </c>
      <c r="L811" t="str">
        <f t="shared" si="60"/>
        <v/>
      </c>
      <c r="M811" t="str">
        <f t="shared" si="61"/>
        <v/>
      </c>
      <c r="N811" t="str">
        <f t="shared" si="62"/>
        <v/>
      </c>
      <c r="O811" t="str">
        <f t="shared" si="63"/>
        <v/>
      </c>
    </row>
    <row r="812" spans="11:15" x14ac:dyDescent="0.3">
      <c r="K812" t="str">
        <f t="shared" si="64"/>
        <v/>
      </c>
      <c r="L812" t="str">
        <f t="shared" si="60"/>
        <v/>
      </c>
      <c r="M812" t="str">
        <f t="shared" si="61"/>
        <v/>
      </c>
      <c r="N812" t="str">
        <f t="shared" si="62"/>
        <v/>
      </c>
      <c r="O812" t="str">
        <f t="shared" si="63"/>
        <v/>
      </c>
    </row>
    <row r="813" spans="11:15" x14ac:dyDescent="0.3">
      <c r="K813" t="str">
        <f t="shared" si="64"/>
        <v/>
      </c>
      <c r="L813" t="str">
        <f t="shared" si="60"/>
        <v/>
      </c>
      <c r="M813" t="str">
        <f t="shared" si="61"/>
        <v/>
      </c>
      <c r="N813" t="str">
        <f t="shared" si="62"/>
        <v/>
      </c>
      <c r="O813" t="str">
        <f t="shared" si="63"/>
        <v/>
      </c>
    </row>
    <row r="814" spans="11:15" x14ac:dyDescent="0.3">
      <c r="K814" t="str">
        <f t="shared" si="64"/>
        <v/>
      </c>
      <c r="L814" t="str">
        <f t="shared" si="60"/>
        <v/>
      </c>
      <c r="M814" t="str">
        <f t="shared" si="61"/>
        <v/>
      </c>
      <c r="N814" t="str">
        <f t="shared" si="62"/>
        <v/>
      </c>
      <c r="O814" t="str">
        <f t="shared" si="63"/>
        <v/>
      </c>
    </row>
    <row r="815" spans="11:15" x14ac:dyDescent="0.3">
      <c r="K815" t="str">
        <f t="shared" si="64"/>
        <v/>
      </c>
      <c r="L815" t="str">
        <f t="shared" si="60"/>
        <v/>
      </c>
      <c r="M815" t="str">
        <f t="shared" si="61"/>
        <v/>
      </c>
      <c r="N815" t="str">
        <f t="shared" si="62"/>
        <v/>
      </c>
      <c r="O815" t="str">
        <f t="shared" si="63"/>
        <v/>
      </c>
    </row>
    <row r="816" spans="11:15" x14ac:dyDescent="0.3">
      <c r="K816" t="str">
        <f t="shared" si="64"/>
        <v/>
      </c>
      <c r="L816" t="str">
        <f t="shared" si="60"/>
        <v/>
      </c>
      <c r="M816" t="str">
        <f t="shared" si="61"/>
        <v/>
      </c>
      <c r="N816" t="str">
        <f t="shared" si="62"/>
        <v/>
      </c>
      <c r="O816" t="str">
        <f t="shared" si="63"/>
        <v/>
      </c>
    </row>
    <row r="817" spans="11:15" x14ac:dyDescent="0.3">
      <c r="K817" t="str">
        <f t="shared" si="64"/>
        <v/>
      </c>
      <c r="L817" t="str">
        <f t="shared" si="60"/>
        <v/>
      </c>
      <c r="M817" t="str">
        <f t="shared" si="61"/>
        <v/>
      </c>
      <c r="N817" t="str">
        <f t="shared" si="62"/>
        <v/>
      </c>
      <c r="O817" t="str">
        <f t="shared" si="63"/>
        <v/>
      </c>
    </row>
    <row r="818" spans="11:15" x14ac:dyDescent="0.3">
      <c r="K818" t="str">
        <f t="shared" si="64"/>
        <v/>
      </c>
      <c r="L818" t="str">
        <f t="shared" si="60"/>
        <v/>
      </c>
      <c r="M818" t="str">
        <f t="shared" si="61"/>
        <v/>
      </c>
      <c r="N818" t="str">
        <f t="shared" si="62"/>
        <v/>
      </c>
      <c r="O818" t="str">
        <f t="shared" si="63"/>
        <v/>
      </c>
    </row>
    <row r="819" spans="11:15" x14ac:dyDescent="0.3">
      <c r="K819" t="str">
        <f t="shared" si="64"/>
        <v/>
      </c>
      <c r="L819" t="str">
        <f t="shared" si="60"/>
        <v/>
      </c>
      <c r="M819" t="str">
        <f t="shared" si="61"/>
        <v/>
      </c>
      <c r="N819" t="str">
        <f t="shared" si="62"/>
        <v/>
      </c>
      <c r="O819" t="str">
        <f t="shared" si="63"/>
        <v/>
      </c>
    </row>
    <row r="820" spans="11:15" x14ac:dyDescent="0.3">
      <c r="K820" t="str">
        <f t="shared" si="64"/>
        <v/>
      </c>
      <c r="L820" t="str">
        <f t="shared" si="60"/>
        <v/>
      </c>
      <c r="M820" t="str">
        <f t="shared" si="61"/>
        <v/>
      </c>
      <c r="N820" t="str">
        <f t="shared" si="62"/>
        <v/>
      </c>
      <c r="O820" t="str">
        <f t="shared" si="63"/>
        <v/>
      </c>
    </row>
    <row r="821" spans="11:15" x14ac:dyDescent="0.3">
      <c r="K821" t="str">
        <f t="shared" si="64"/>
        <v/>
      </c>
      <c r="L821" t="str">
        <f t="shared" si="60"/>
        <v/>
      </c>
      <c r="M821" t="str">
        <f t="shared" si="61"/>
        <v/>
      </c>
      <c r="N821" t="str">
        <f t="shared" si="62"/>
        <v/>
      </c>
      <c r="O821" t="str">
        <f t="shared" si="63"/>
        <v/>
      </c>
    </row>
    <row r="822" spans="11:15" x14ac:dyDescent="0.3">
      <c r="K822" t="str">
        <f t="shared" si="64"/>
        <v/>
      </c>
      <c r="L822" t="str">
        <f t="shared" si="60"/>
        <v/>
      </c>
      <c r="M822" t="str">
        <f t="shared" si="61"/>
        <v/>
      </c>
      <c r="N822" t="str">
        <f t="shared" si="62"/>
        <v/>
      </c>
      <c r="O822" t="str">
        <f t="shared" si="63"/>
        <v/>
      </c>
    </row>
    <row r="823" spans="11:15" x14ac:dyDescent="0.3">
      <c r="K823" t="str">
        <f t="shared" si="64"/>
        <v/>
      </c>
      <c r="L823" t="str">
        <f t="shared" si="60"/>
        <v/>
      </c>
      <c r="M823" t="str">
        <f t="shared" si="61"/>
        <v/>
      </c>
      <c r="N823" t="str">
        <f t="shared" si="62"/>
        <v/>
      </c>
      <c r="O823" t="str">
        <f t="shared" si="63"/>
        <v/>
      </c>
    </row>
    <row r="824" spans="11:15" x14ac:dyDescent="0.3">
      <c r="K824" t="str">
        <f t="shared" si="64"/>
        <v/>
      </c>
      <c r="L824" t="str">
        <f t="shared" si="60"/>
        <v/>
      </c>
      <c r="M824" t="str">
        <f t="shared" si="61"/>
        <v/>
      </c>
      <c r="N824" t="str">
        <f t="shared" si="62"/>
        <v/>
      </c>
      <c r="O824" t="str">
        <f t="shared" si="63"/>
        <v/>
      </c>
    </row>
    <row r="825" spans="11:15" x14ac:dyDescent="0.3">
      <c r="K825" t="str">
        <f t="shared" si="64"/>
        <v/>
      </c>
      <c r="L825" t="str">
        <f t="shared" si="60"/>
        <v/>
      </c>
      <c r="M825" t="str">
        <f t="shared" si="61"/>
        <v/>
      </c>
      <c r="N825" t="str">
        <f t="shared" si="62"/>
        <v/>
      </c>
      <c r="O825" t="str">
        <f t="shared" si="63"/>
        <v/>
      </c>
    </row>
    <row r="826" spans="11:15" x14ac:dyDescent="0.3">
      <c r="K826" t="str">
        <f t="shared" si="64"/>
        <v/>
      </c>
      <c r="L826" t="str">
        <f t="shared" si="60"/>
        <v/>
      </c>
      <c r="M826" t="str">
        <f t="shared" si="61"/>
        <v/>
      </c>
      <c r="N826" t="str">
        <f t="shared" si="62"/>
        <v/>
      </c>
      <c r="O826" t="str">
        <f t="shared" si="63"/>
        <v/>
      </c>
    </row>
    <row r="827" spans="11:15" x14ac:dyDescent="0.3">
      <c r="K827" t="str">
        <f t="shared" si="64"/>
        <v/>
      </c>
      <c r="L827" t="str">
        <f t="shared" si="60"/>
        <v/>
      </c>
      <c r="M827" t="str">
        <f t="shared" si="61"/>
        <v/>
      </c>
      <c r="N827" t="str">
        <f t="shared" si="62"/>
        <v/>
      </c>
      <c r="O827" t="str">
        <f t="shared" si="63"/>
        <v/>
      </c>
    </row>
    <row r="828" spans="11:15" x14ac:dyDescent="0.3">
      <c r="K828" t="str">
        <f t="shared" si="64"/>
        <v/>
      </c>
      <c r="L828" t="str">
        <f t="shared" si="60"/>
        <v/>
      </c>
      <c r="M828" t="str">
        <f t="shared" si="61"/>
        <v/>
      </c>
      <c r="N828" t="str">
        <f t="shared" si="62"/>
        <v/>
      </c>
      <c r="O828" t="str">
        <f t="shared" si="63"/>
        <v/>
      </c>
    </row>
    <row r="829" spans="11:15" x14ac:dyDescent="0.3">
      <c r="K829" t="str">
        <f t="shared" si="64"/>
        <v/>
      </c>
      <c r="L829" t="str">
        <f t="shared" si="60"/>
        <v/>
      </c>
      <c r="M829" t="str">
        <f t="shared" si="61"/>
        <v/>
      </c>
      <c r="N829" t="str">
        <f t="shared" si="62"/>
        <v/>
      </c>
      <c r="O829" t="str">
        <f t="shared" si="63"/>
        <v/>
      </c>
    </row>
    <row r="830" spans="11:15" x14ac:dyDescent="0.3">
      <c r="K830" t="str">
        <f t="shared" si="64"/>
        <v/>
      </c>
      <c r="L830" t="str">
        <f t="shared" si="60"/>
        <v/>
      </c>
      <c r="M830" t="str">
        <f t="shared" si="61"/>
        <v/>
      </c>
      <c r="N830" t="str">
        <f t="shared" si="62"/>
        <v/>
      </c>
      <c r="O830" t="str">
        <f t="shared" si="63"/>
        <v/>
      </c>
    </row>
    <row r="831" spans="11:15" x14ac:dyDescent="0.3">
      <c r="K831" t="str">
        <f t="shared" si="64"/>
        <v/>
      </c>
      <c r="L831" t="str">
        <f t="shared" si="60"/>
        <v/>
      </c>
      <c r="M831" t="str">
        <f t="shared" si="61"/>
        <v/>
      </c>
      <c r="N831" t="str">
        <f t="shared" si="62"/>
        <v/>
      </c>
      <c r="O831" t="str">
        <f t="shared" si="63"/>
        <v/>
      </c>
    </row>
    <row r="832" spans="11:15" x14ac:dyDescent="0.3">
      <c r="K832" t="str">
        <f t="shared" si="64"/>
        <v/>
      </c>
      <c r="L832" t="str">
        <f t="shared" si="60"/>
        <v/>
      </c>
      <c r="M832" t="str">
        <f t="shared" si="61"/>
        <v/>
      </c>
      <c r="N832" t="str">
        <f t="shared" si="62"/>
        <v/>
      </c>
      <c r="O832" t="str">
        <f t="shared" si="63"/>
        <v/>
      </c>
    </row>
    <row r="833" spans="11:15" x14ac:dyDescent="0.3">
      <c r="K833" t="str">
        <f t="shared" si="64"/>
        <v/>
      </c>
      <c r="L833" t="str">
        <f t="shared" ref="L833:L896" si="65">IF(A833="","",IF(ISNUMBER(--LEFT(A833,FIND(" - ",A833&amp;" - ")-1)),LEFT(A833,FIND(" - ",A833&amp;" - ")-1),TRIM(A833)))</f>
        <v/>
      </c>
      <c r="M833" t="str">
        <f t="shared" ref="M833:M896" si="66">IF(OR(K833="",K833=A833,A833=""),"",K833&amp;"|"&amp;L833)</f>
        <v/>
      </c>
      <c r="N833" t="str">
        <f t="shared" ref="N833:N896" si="67">IF(M833="","",IF(ISNUMBER(B833),B833,IFERROR(_xlfn.NUMBERVALUE(B833,".",","),0)))</f>
        <v/>
      </c>
      <c r="O833" t="str">
        <f t="shared" ref="O833:O896" si="68">IF(M833="","",IF(ISNUMBER(C833),C833,IFERROR(_xlfn.NUMBERVALUE(C833,".",","),0)))</f>
        <v/>
      </c>
    </row>
    <row r="834" spans="11:15" x14ac:dyDescent="0.3">
      <c r="K834" t="str">
        <f t="shared" ref="K834:K897" si="69">IF(OR(LEFT(B834,9)="DOANH THU",LEFT(B834,8)="SỐ LƯỢNG"),A834,K833)</f>
        <v/>
      </c>
      <c r="L834" t="str">
        <f t="shared" si="65"/>
        <v/>
      </c>
      <c r="M834" t="str">
        <f t="shared" si="66"/>
        <v/>
      </c>
      <c r="N834" t="str">
        <f t="shared" si="67"/>
        <v/>
      </c>
      <c r="O834" t="str">
        <f t="shared" si="68"/>
        <v/>
      </c>
    </row>
    <row r="835" spans="11:15" x14ac:dyDescent="0.3">
      <c r="K835" t="str">
        <f t="shared" si="69"/>
        <v/>
      </c>
      <c r="L835" t="str">
        <f t="shared" si="65"/>
        <v/>
      </c>
      <c r="M835" t="str">
        <f t="shared" si="66"/>
        <v/>
      </c>
      <c r="N835" t="str">
        <f t="shared" si="67"/>
        <v/>
      </c>
      <c r="O835" t="str">
        <f t="shared" si="68"/>
        <v/>
      </c>
    </row>
    <row r="836" spans="11:15" x14ac:dyDescent="0.3">
      <c r="K836" t="str">
        <f t="shared" si="69"/>
        <v/>
      </c>
      <c r="L836" t="str">
        <f t="shared" si="65"/>
        <v/>
      </c>
      <c r="M836" t="str">
        <f t="shared" si="66"/>
        <v/>
      </c>
      <c r="N836" t="str">
        <f t="shared" si="67"/>
        <v/>
      </c>
      <c r="O836" t="str">
        <f t="shared" si="68"/>
        <v/>
      </c>
    </row>
    <row r="837" spans="11:15" x14ac:dyDescent="0.3">
      <c r="K837" t="str">
        <f t="shared" si="69"/>
        <v/>
      </c>
      <c r="L837" t="str">
        <f t="shared" si="65"/>
        <v/>
      </c>
      <c r="M837" t="str">
        <f t="shared" si="66"/>
        <v/>
      </c>
      <c r="N837" t="str">
        <f t="shared" si="67"/>
        <v/>
      </c>
      <c r="O837" t="str">
        <f t="shared" si="68"/>
        <v/>
      </c>
    </row>
    <row r="838" spans="11:15" x14ac:dyDescent="0.3">
      <c r="K838" t="str">
        <f t="shared" si="69"/>
        <v/>
      </c>
      <c r="L838" t="str">
        <f t="shared" si="65"/>
        <v/>
      </c>
      <c r="M838" t="str">
        <f t="shared" si="66"/>
        <v/>
      </c>
      <c r="N838" t="str">
        <f t="shared" si="67"/>
        <v/>
      </c>
      <c r="O838" t="str">
        <f t="shared" si="68"/>
        <v/>
      </c>
    </row>
    <row r="839" spans="11:15" x14ac:dyDescent="0.3">
      <c r="K839" t="str">
        <f t="shared" si="69"/>
        <v/>
      </c>
      <c r="L839" t="str">
        <f t="shared" si="65"/>
        <v/>
      </c>
      <c r="M839" t="str">
        <f t="shared" si="66"/>
        <v/>
      </c>
      <c r="N839" t="str">
        <f t="shared" si="67"/>
        <v/>
      </c>
      <c r="O839" t="str">
        <f t="shared" si="68"/>
        <v/>
      </c>
    </row>
    <row r="840" spans="11:15" x14ac:dyDescent="0.3">
      <c r="K840" t="str">
        <f t="shared" si="69"/>
        <v/>
      </c>
      <c r="L840" t="str">
        <f t="shared" si="65"/>
        <v/>
      </c>
      <c r="M840" t="str">
        <f t="shared" si="66"/>
        <v/>
      </c>
      <c r="N840" t="str">
        <f t="shared" si="67"/>
        <v/>
      </c>
      <c r="O840" t="str">
        <f t="shared" si="68"/>
        <v/>
      </c>
    </row>
    <row r="841" spans="11:15" x14ac:dyDescent="0.3">
      <c r="K841" t="str">
        <f t="shared" si="69"/>
        <v/>
      </c>
      <c r="L841" t="str">
        <f t="shared" si="65"/>
        <v/>
      </c>
      <c r="M841" t="str">
        <f t="shared" si="66"/>
        <v/>
      </c>
      <c r="N841" t="str">
        <f t="shared" si="67"/>
        <v/>
      </c>
      <c r="O841" t="str">
        <f t="shared" si="68"/>
        <v/>
      </c>
    </row>
    <row r="842" spans="11:15" x14ac:dyDescent="0.3">
      <c r="K842" t="str">
        <f t="shared" si="69"/>
        <v/>
      </c>
      <c r="L842" t="str">
        <f t="shared" si="65"/>
        <v/>
      </c>
      <c r="M842" t="str">
        <f t="shared" si="66"/>
        <v/>
      </c>
      <c r="N842" t="str">
        <f t="shared" si="67"/>
        <v/>
      </c>
      <c r="O842" t="str">
        <f t="shared" si="68"/>
        <v/>
      </c>
    </row>
    <row r="843" spans="11:15" x14ac:dyDescent="0.3">
      <c r="K843" t="str">
        <f t="shared" si="69"/>
        <v/>
      </c>
      <c r="L843" t="str">
        <f t="shared" si="65"/>
        <v/>
      </c>
      <c r="M843" t="str">
        <f t="shared" si="66"/>
        <v/>
      </c>
      <c r="N843" t="str">
        <f t="shared" si="67"/>
        <v/>
      </c>
      <c r="O843" t="str">
        <f t="shared" si="68"/>
        <v/>
      </c>
    </row>
    <row r="844" spans="11:15" x14ac:dyDescent="0.3">
      <c r="K844" t="str">
        <f t="shared" si="69"/>
        <v/>
      </c>
      <c r="L844" t="str">
        <f t="shared" si="65"/>
        <v/>
      </c>
      <c r="M844" t="str">
        <f t="shared" si="66"/>
        <v/>
      </c>
      <c r="N844" t="str">
        <f t="shared" si="67"/>
        <v/>
      </c>
      <c r="O844" t="str">
        <f t="shared" si="68"/>
        <v/>
      </c>
    </row>
    <row r="845" spans="11:15" x14ac:dyDescent="0.3">
      <c r="K845" t="str">
        <f t="shared" si="69"/>
        <v/>
      </c>
      <c r="L845" t="str">
        <f t="shared" si="65"/>
        <v/>
      </c>
      <c r="M845" t="str">
        <f t="shared" si="66"/>
        <v/>
      </c>
      <c r="N845" t="str">
        <f t="shared" si="67"/>
        <v/>
      </c>
      <c r="O845" t="str">
        <f t="shared" si="68"/>
        <v/>
      </c>
    </row>
    <row r="846" spans="11:15" x14ac:dyDescent="0.3">
      <c r="K846" t="str">
        <f t="shared" si="69"/>
        <v/>
      </c>
      <c r="L846" t="str">
        <f t="shared" si="65"/>
        <v/>
      </c>
      <c r="M846" t="str">
        <f t="shared" si="66"/>
        <v/>
      </c>
      <c r="N846" t="str">
        <f t="shared" si="67"/>
        <v/>
      </c>
      <c r="O846" t="str">
        <f t="shared" si="68"/>
        <v/>
      </c>
    </row>
    <row r="847" spans="11:15" x14ac:dyDescent="0.3">
      <c r="K847" t="str">
        <f t="shared" si="69"/>
        <v/>
      </c>
      <c r="L847" t="str">
        <f t="shared" si="65"/>
        <v/>
      </c>
      <c r="M847" t="str">
        <f t="shared" si="66"/>
        <v/>
      </c>
      <c r="N847" t="str">
        <f t="shared" si="67"/>
        <v/>
      </c>
      <c r="O847" t="str">
        <f t="shared" si="68"/>
        <v/>
      </c>
    </row>
    <row r="848" spans="11:15" x14ac:dyDescent="0.3">
      <c r="K848" t="str">
        <f t="shared" si="69"/>
        <v/>
      </c>
      <c r="L848" t="str">
        <f t="shared" si="65"/>
        <v/>
      </c>
      <c r="M848" t="str">
        <f t="shared" si="66"/>
        <v/>
      </c>
      <c r="N848" t="str">
        <f t="shared" si="67"/>
        <v/>
      </c>
      <c r="O848" t="str">
        <f t="shared" si="68"/>
        <v/>
      </c>
    </row>
    <row r="849" spans="11:15" x14ac:dyDescent="0.3">
      <c r="K849" t="str">
        <f t="shared" si="69"/>
        <v/>
      </c>
      <c r="L849" t="str">
        <f t="shared" si="65"/>
        <v/>
      </c>
      <c r="M849" t="str">
        <f t="shared" si="66"/>
        <v/>
      </c>
      <c r="N849" t="str">
        <f t="shared" si="67"/>
        <v/>
      </c>
      <c r="O849" t="str">
        <f t="shared" si="68"/>
        <v/>
      </c>
    </row>
    <row r="850" spans="11:15" x14ac:dyDescent="0.3">
      <c r="K850" t="str">
        <f t="shared" si="69"/>
        <v/>
      </c>
      <c r="L850" t="str">
        <f t="shared" si="65"/>
        <v/>
      </c>
      <c r="M850" t="str">
        <f t="shared" si="66"/>
        <v/>
      </c>
      <c r="N850" t="str">
        <f t="shared" si="67"/>
        <v/>
      </c>
      <c r="O850" t="str">
        <f t="shared" si="68"/>
        <v/>
      </c>
    </row>
    <row r="851" spans="11:15" x14ac:dyDescent="0.3">
      <c r="K851" t="str">
        <f t="shared" si="69"/>
        <v/>
      </c>
      <c r="L851" t="str">
        <f t="shared" si="65"/>
        <v/>
      </c>
      <c r="M851" t="str">
        <f t="shared" si="66"/>
        <v/>
      </c>
      <c r="N851" t="str">
        <f t="shared" si="67"/>
        <v/>
      </c>
      <c r="O851" t="str">
        <f t="shared" si="68"/>
        <v/>
      </c>
    </row>
    <row r="852" spans="11:15" x14ac:dyDescent="0.3">
      <c r="K852" t="str">
        <f t="shared" si="69"/>
        <v/>
      </c>
      <c r="L852" t="str">
        <f t="shared" si="65"/>
        <v/>
      </c>
      <c r="M852" t="str">
        <f t="shared" si="66"/>
        <v/>
      </c>
      <c r="N852" t="str">
        <f t="shared" si="67"/>
        <v/>
      </c>
      <c r="O852" t="str">
        <f t="shared" si="68"/>
        <v/>
      </c>
    </row>
    <row r="853" spans="11:15" x14ac:dyDescent="0.3">
      <c r="K853" t="str">
        <f t="shared" si="69"/>
        <v/>
      </c>
      <c r="L853" t="str">
        <f t="shared" si="65"/>
        <v/>
      </c>
      <c r="M853" t="str">
        <f t="shared" si="66"/>
        <v/>
      </c>
      <c r="N853" t="str">
        <f t="shared" si="67"/>
        <v/>
      </c>
      <c r="O853" t="str">
        <f t="shared" si="68"/>
        <v/>
      </c>
    </row>
    <row r="854" spans="11:15" x14ac:dyDescent="0.3">
      <c r="K854" t="str">
        <f t="shared" si="69"/>
        <v/>
      </c>
      <c r="L854" t="str">
        <f t="shared" si="65"/>
        <v/>
      </c>
      <c r="M854" t="str">
        <f t="shared" si="66"/>
        <v/>
      </c>
      <c r="N854" t="str">
        <f t="shared" si="67"/>
        <v/>
      </c>
      <c r="O854" t="str">
        <f t="shared" si="68"/>
        <v/>
      </c>
    </row>
    <row r="855" spans="11:15" x14ac:dyDescent="0.3">
      <c r="K855" t="str">
        <f t="shared" si="69"/>
        <v/>
      </c>
      <c r="L855" t="str">
        <f t="shared" si="65"/>
        <v/>
      </c>
      <c r="M855" t="str">
        <f t="shared" si="66"/>
        <v/>
      </c>
      <c r="N855" t="str">
        <f t="shared" si="67"/>
        <v/>
      </c>
      <c r="O855" t="str">
        <f t="shared" si="68"/>
        <v/>
      </c>
    </row>
    <row r="856" spans="11:15" x14ac:dyDescent="0.3">
      <c r="K856" t="str">
        <f t="shared" si="69"/>
        <v/>
      </c>
      <c r="L856" t="str">
        <f t="shared" si="65"/>
        <v/>
      </c>
      <c r="M856" t="str">
        <f t="shared" si="66"/>
        <v/>
      </c>
      <c r="N856" t="str">
        <f t="shared" si="67"/>
        <v/>
      </c>
      <c r="O856" t="str">
        <f t="shared" si="68"/>
        <v/>
      </c>
    </row>
    <row r="857" spans="11:15" x14ac:dyDescent="0.3">
      <c r="K857" t="str">
        <f t="shared" si="69"/>
        <v/>
      </c>
      <c r="L857" t="str">
        <f t="shared" si="65"/>
        <v/>
      </c>
      <c r="M857" t="str">
        <f t="shared" si="66"/>
        <v/>
      </c>
      <c r="N857" t="str">
        <f t="shared" si="67"/>
        <v/>
      </c>
      <c r="O857" t="str">
        <f t="shared" si="68"/>
        <v/>
      </c>
    </row>
    <row r="858" spans="11:15" x14ac:dyDescent="0.3">
      <c r="K858" t="str">
        <f t="shared" si="69"/>
        <v/>
      </c>
      <c r="L858" t="str">
        <f t="shared" si="65"/>
        <v/>
      </c>
      <c r="M858" t="str">
        <f t="shared" si="66"/>
        <v/>
      </c>
      <c r="N858" t="str">
        <f t="shared" si="67"/>
        <v/>
      </c>
      <c r="O858" t="str">
        <f t="shared" si="68"/>
        <v/>
      </c>
    </row>
    <row r="859" spans="11:15" x14ac:dyDescent="0.3">
      <c r="K859" t="str">
        <f t="shared" si="69"/>
        <v/>
      </c>
      <c r="L859" t="str">
        <f t="shared" si="65"/>
        <v/>
      </c>
      <c r="M859" t="str">
        <f t="shared" si="66"/>
        <v/>
      </c>
      <c r="N859" t="str">
        <f t="shared" si="67"/>
        <v/>
      </c>
      <c r="O859" t="str">
        <f t="shared" si="68"/>
        <v/>
      </c>
    </row>
    <row r="860" spans="11:15" x14ac:dyDescent="0.3">
      <c r="K860" t="str">
        <f t="shared" si="69"/>
        <v/>
      </c>
      <c r="L860" t="str">
        <f t="shared" si="65"/>
        <v/>
      </c>
      <c r="M860" t="str">
        <f t="shared" si="66"/>
        <v/>
      </c>
      <c r="N860" t="str">
        <f t="shared" si="67"/>
        <v/>
      </c>
      <c r="O860" t="str">
        <f t="shared" si="68"/>
        <v/>
      </c>
    </row>
    <row r="861" spans="11:15" x14ac:dyDescent="0.3">
      <c r="K861" t="str">
        <f t="shared" si="69"/>
        <v/>
      </c>
      <c r="L861" t="str">
        <f t="shared" si="65"/>
        <v/>
      </c>
      <c r="M861" t="str">
        <f t="shared" si="66"/>
        <v/>
      </c>
      <c r="N861" t="str">
        <f t="shared" si="67"/>
        <v/>
      </c>
      <c r="O861" t="str">
        <f t="shared" si="68"/>
        <v/>
      </c>
    </row>
    <row r="862" spans="11:15" x14ac:dyDescent="0.3">
      <c r="K862" t="str">
        <f t="shared" si="69"/>
        <v/>
      </c>
      <c r="L862" t="str">
        <f t="shared" si="65"/>
        <v/>
      </c>
      <c r="M862" t="str">
        <f t="shared" si="66"/>
        <v/>
      </c>
      <c r="N862" t="str">
        <f t="shared" si="67"/>
        <v/>
      </c>
      <c r="O862" t="str">
        <f t="shared" si="68"/>
        <v/>
      </c>
    </row>
    <row r="863" spans="11:15" x14ac:dyDescent="0.3">
      <c r="K863" t="str">
        <f t="shared" si="69"/>
        <v/>
      </c>
      <c r="L863" t="str">
        <f t="shared" si="65"/>
        <v/>
      </c>
      <c r="M863" t="str">
        <f t="shared" si="66"/>
        <v/>
      </c>
      <c r="N863" t="str">
        <f t="shared" si="67"/>
        <v/>
      </c>
      <c r="O863" t="str">
        <f t="shared" si="68"/>
        <v/>
      </c>
    </row>
    <row r="864" spans="11:15" x14ac:dyDescent="0.3">
      <c r="K864" t="str">
        <f t="shared" si="69"/>
        <v/>
      </c>
      <c r="L864" t="str">
        <f t="shared" si="65"/>
        <v/>
      </c>
      <c r="M864" t="str">
        <f t="shared" si="66"/>
        <v/>
      </c>
      <c r="N864" t="str">
        <f t="shared" si="67"/>
        <v/>
      </c>
      <c r="O864" t="str">
        <f t="shared" si="68"/>
        <v/>
      </c>
    </row>
    <row r="865" spans="11:15" x14ac:dyDescent="0.3">
      <c r="K865" t="str">
        <f t="shared" si="69"/>
        <v/>
      </c>
      <c r="L865" t="str">
        <f t="shared" si="65"/>
        <v/>
      </c>
      <c r="M865" t="str">
        <f t="shared" si="66"/>
        <v/>
      </c>
      <c r="N865" t="str">
        <f t="shared" si="67"/>
        <v/>
      </c>
      <c r="O865" t="str">
        <f t="shared" si="68"/>
        <v/>
      </c>
    </row>
    <row r="866" spans="11:15" x14ac:dyDescent="0.3">
      <c r="K866" t="str">
        <f t="shared" si="69"/>
        <v/>
      </c>
      <c r="L866" t="str">
        <f t="shared" si="65"/>
        <v/>
      </c>
      <c r="M866" t="str">
        <f t="shared" si="66"/>
        <v/>
      </c>
      <c r="N866" t="str">
        <f t="shared" si="67"/>
        <v/>
      </c>
      <c r="O866" t="str">
        <f t="shared" si="68"/>
        <v/>
      </c>
    </row>
    <row r="867" spans="11:15" x14ac:dyDescent="0.3">
      <c r="K867" t="str">
        <f t="shared" si="69"/>
        <v/>
      </c>
      <c r="L867" t="str">
        <f t="shared" si="65"/>
        <v/>
      </c>
      <c r="M867" t="str">
        <f t="shared" si="66"/>
        <v/>
      </c>
      <c r="N867" t="str">
        <f t="shared" si="67"/>
        <v/>
      </c>
      <c r="O867" t="str">
        <f t="shared" si="68"/>
        <v/>
      </c>
    </row>
    <row r="868" spans="11:15" x14ac:dyDescent="0.3">
      <c r="K868" t="str">
        <f t="shared" si="69"/>
        <v/>
      </c>
      <c r="L868" t="str">
        <f t="shared" si="65"/>
        <v/>
      </c>
      <c r="M868" t="str">
        <f t="shared" si="66"/>
        <v/>
      </c>
      <c r="N868" t="str">
        <f t="shared" si="67"/>
        <v/>
      </c>
      <c r="O868" t="str">
        <f t="shared" si="68"/>
        <v/>
      </c>
    </row>
    <row r="869" spans="11:15" x14ac:dyDescent="0.3">
      <c r="K869" t="str">
        <f t="shared" si="69"/>
        <v/>
      </c>
      <c r="L869" t="str">
        <f t="shared" si="65"/>
        <v/>
      </c>
      <c r="M869" t="str">
        <f t="shared" si="66"/>
        <v/>
      </c>
      <c r="N869" t="str">
        <f t="shared" si="67"/>
        <v/>
      </c>
      <c r="O869" t="str">
        <f t="shared" si="68"/>
        <v/>
      </c>
    </row>
    <row r="870" spans="11:15" x14ac:dyDescent="0.3">
      <c r="K870" t="str">
        <f t="shared" si="69"/>
        <v/>
      </c>
      <c r="L870" t="str">
        <f t="shared" si="65"/>
        <v/>
      </c>
      <c r="M870" t="str">
        <f t="shared" si="66"/>
        <v/>
      </c>
      <c r="N870" t="str">
        <f t="shared" si="67"/>
        <v/>
      </c>
      <c r="O870" t="str">
        <f t="shared" si="68"/>
        <v/>
      </c>
    </row>
    <row r="871" spans="11:15" x14ac:dyDescent="0.3">
      <c r="K871" t="str">
        <f t="shared" si="69"/>
        <v/>
      </c>
      <c r="L871" t="str">
        <f t="shared" si="65"/>
        <v/>
      </c>
      <c r="M871" t="str">
        <f t="shared" si="66"/>
        <v/>
      </c>
      <c r="N871" t="str">
        <f t="shared" si="67"/>
        <v/>
      </c>
      <c r="O871" t="str">
        <f t="shared" si="68"/>
        <v/>
      </c>
    </row>
    <row r="872" spans="11:15" x14ac:dyDescent="0.3">
      <c r="K872" t="str">
        <f t="shared" si="69"/>
        <v/>
      </c>
      <c r="L872" t="str">
        <f t="shared" si="65"/>
        <v/>
      </c>
      <c r="M872" t="str">
        <f t="shared" si="66"/>
        <v/>
      </c>
      <c r="N872" t="str">
        <f t="shared" si="67"/>
        <v/>
      </c>
      <c r="O872" t="str">
        <f t="shared" si="68"/>
        <v/>
      </c>
    </row>
    <row r="873" spans="11:15" x14ac:dyDescent="0.3">
      <c r="K873" t="str">
        <f t="shared" si="69"/>
        <v/>
      </c>
      <c r="L873" t="str">
        <f t="shared" si="65"/>
        <v/>
      </c>
      <c r="M873" t="str">
        <f t="shared" si="66"/>
        <v/>
      </c>
      <c r="N873" t="str">
        <f t="shared" si="67"/>
        <v/>
      </c>
      <c r="O873" t="str">
        <f t="shared" si="68"/>
        <v/>
      </c>
    </row>
    <row r="874" spans="11:15" x14ac:dyDescent="0.3">
      <c r="K874" t="str">
        <f t="shared" si="69"/>
        <v/>
      </c>
      <c r="L874" t="str">
        <f t="shared" si="65"/>
        <v/>
      </c>
      <c r="M874" t="str">
        <f t="shared" si="66"/>
        <v/>
      </c>
      <c r="N874" t="str">
        <f t="shared" si="67"/>
        <v/>
      </c>
      <c r="O874" t="str">
        <f t="shared" si="68"/>
        <v/>
      </c>
    </row>
    <row r="875" spans="11:15" x14ac:dyDescent="0.3">
      <c r="K875" t="str">
        <f t="shared" si="69"/>
        <v/>
      </c>
      <c r="L875" t="str">
        <f t="shared" si="65"/>
        <v/>
      </c>
      <c r="M875" t="str">
        <f t="shared" si="66"/>
        <v/>
      </c>
      <c r="N875" t="str">
        <f t="shared" si="67"/>
        <v/>
      </c>
      <c r="O875" t="str">
        <f t="shared" si="68"/>
        <v/>
      </c>
    </row>
    <row r="876" spans="11:15" x14ac:dyDescent="0.3">
      <c r="K876" t="str">
        <f t="shared" si="69"/>
        <v/>
      </c>
      <c r="L876" t="str">
        <f t="shared" si="65"/>
        <v/>
      </c>
      <c r="M876" t="str">
        <f t="shared" si="66"/>
        <v/>
      </c>
      <c r="N876" t="str">
        <f t="shared" si="67"/>
        <v/>
      </c>
      <c r="O876" t="str">
        <f t="shared" si="68"/>
        <v/>
      </c>
    </row>
    <row r="877" spans="11:15" x14ac:dyDescent="0.3">
      <c r="K877" t="str">
        <f t="shared" si="69"/>
        <v/>
      </c>
      <c r="L877" t="str">
        <f t="shared" si="65"/>
        <v/>
      </c>
      <c r="M877" t="str">
        <f t="shared" si="66"/>
        <v/>
      </c>
      <c r="N877" t="str">
        <f t="shared" si="67"/>
        <v/>
      </c>
      <c r="O877" t="str">
        <f t="shared" si="68"/>
        <v/>
      </c>
    </row>
    <row r="878" spans="11:15" x14ac:dyDescent="0.3">
      <c r="K878" t="str">
        <f t="shared" si="69"/>
        <v/>
      </c>
      <c r="L878" t="str">
        <f t="shared" si="65"/>
        <v/>
      </c>
      <c r="M878" t="str">
        <f t="shared" si="66"/>
        <v/>
      </c>
      <c r="N878" t="str">
        <f t="shared" si="67"/>
        <v/>
      </c>
      <c r="O878" t="str">
        <f t="shared" si="68"/>
        <v/>
      </c>
    </row>
    <row r="879" spans="11:15" x14ac:dyDescent="0.3">
      <c r="K879" t="str">
        <f t="shared" si="69"/>
        <v/>
      </c>
      <c r="L879" t="str">
        <f t="shared" si="65"/>
        <v/>
      </c>
      <c r="M879" t="str">
        <f t="shared" si="66"/>
        <v/>
      </c>
      <c r="N879" t="str">
        <f t="shared" si="67"/>
        <v/>
      </c>
      <c r="O879" t="str">
        <f t="shared" si="68"/>
        <v/>
      </c>
    </row>
    <row r="880" spans="11:15" x14ac:dyDescent="0.3">
      <c r="K880" t="str">
        <f t="shared" si="69"/>
        <v/>
      </c>
      <c r="L880" t="str">
        <f t="shared" si="65"/>
        <v/>
      </c>
      <c r="M880" t="str">
        <f t="shared" si="66"/>
        <v/>
      </c>
      <c r="N880" t="str">
        <f t="shared" si="67"/>
        <v/>
      </c>
      <c r="O880" t="str">
        <f t="shared" si="68"/>
        <v/>
      </c>
    </row>
    <row r="881" spans="11:15" x14ac:dyDescent="0.3">
      <c r="K881" t="str">
        <f t="shared" si="69"/>
        <v/>
      </c>
      <c r="L881" t="str">
        <f t="shared" si="65"/>
        <v/>
      </c>
      <c r="M881" t="str">
        <f t="shared" si="66"/>
        <v/>
      </c>
      <c r="N881" t="str">
        <f t="shared" si="67"/>
        <v/>
      </c>
      <c r="O881" t="str">
        <f t="shared" si="68"/>
        <v/>
      </c>
    </row>
    <row r="882" spans="11:15" x14ac:dyDescent="0.3">
      <c r="K882" t="str">
        <f t="shared" si="69"/>
        <v/>
      </c>
      <c r="L882" t="str">
        <f t="shared" si="65"/>
        <v/>
      </c>
      <c r="M882" t="str">
        <f t="shared" si="66"/>
        <v/>
      </c>
      <c r="N882" t="str">
        <f t="shared" si="67"/>
        <v/>
      </c>
      <c r="O882" t="str">
        <f t="shared" si="68"/>
        <v/>
      </c>
    </row>
    <row r="883" spans="11:15" x14ac:dyDescent="0.3">
      <c r="K883" t="str">
        <f t="shared" si="69"/>
        <v/>
      </c>
      <c r="L883" t="str">
        <f t="shared" si="65"/>
        <v/>
      </c>
      <c r="M883" t="str">
        <f t="shared" si="66"/>
        <v/>
      </c>
      <c r="N883" t="str">
        <f t="shared" si="67"/>
        <v/>
      </c>
      <c r="O883" t="str">
        <f t="shared" si="68"/>
        <v/>
      </c>
    </row>
    <row r="884" spans="11:15" x14ac:dyDescent="0.3">
      <c r="K884" t="str">
        <f t="shared" si="69"/>
        <v/>
      </c>
      <c r="L884" t="str">
        <f t="shared" si="65"/>
        <v/>
      </c>
      <c r="M884" t="str">
        <f t="shared" si="66"/>
        <v/>
      </c>
      <c r="N884" t="str">
        <f t="shared" si="67"/>
        <v/>
      </c>
      <c r="O884" t="str">
        <f t="shared" si="68"/>
        <v/>
      </c>
    </row>
    <row r="885" spans="11:15" x14ac:dyDescent="0.3">
      <c r="K885" t="str">
        <f t="shared" si="69"/>
        <v/>
      </c>
      <c r="L885" t="str">
        <f t="shared" si="65"/>
        <v/>
      </c>
      <c r="M885" t="str">
        <f t="shared" si="66"/>
        <v/>
      </c>
      <c r="N885" t="str">
        <f t="shared" si="67"/>
        <v/>
      </c>
      <c r="O885" t="str">
        <f t="shared" si="68"/>
        <v/>
      </c>
    </row>
    <row r="886" spans="11:15" x14ac:dyDescent="0.3">
      <c r="K886" t="str">
        <f t="shared" si="69"/>
        <v/>
      </c>
      <c r="L886" t="str">
        <f t="shared" si="65"/>
        <v/>
      </c>
      <c r="M886" t="str">
        <f t="shared" si="66"/>
        <v/>
      </c>
      <c r="N886" t="str">
        <f t="shared" si="67"/>
        <v/>
      </c>
      <c r="O886" t="str">
        <f t="shared" si="68"/>
        <v/>
      </c>
    </row>
    <row r="887" spans="11:15" x14ac:dyDescent="0.3">
      <c r="K887" t="str">
        <f t="shared" si="69"/>
        <v/>
      </c>
      <c r="L887" t="str">
        <f t="shared" si="65"/>
        <v/>
      </c>
      <c r="M887" t="str">
        <f t="shared" si="66"/>
        <v/>
      </c>
      <c r="N887" t="str">
        <f t="shared" si="67"/>
        <v/>
      </c>
      <c r="O887" t="str">
        <f t="shared" si="68"/>
        <v/>
      </c>
    </row>
    <row r="888" spans="11:15" x14ac:dyDescent="0.3">
      <c r="K888" t="str">
        <f t="shared" si="69"/>
        <v/>
      </c>
      <c r="L888" t="str">
        <f t="shared" si="65"/>
        <v/>
      </c>
      <c r="M888" t="str">
        <f t="shared" si="66"/>
        <v/>
      </c>
      <c r="N888" t="str">
        <f t="shared" si="67"/>
        <v/>
      </c>
      <c r="O888" t="str">
        <f t="shared" si="68"/>
        <v/>
      </c>
    </row>
    <row r="889" spans="11:15" x14ac:dyDescent="0.3">
      <c r="K889" t="str">
        <f t="shared" si="69"/>
        <v/>
      </c>
      <c r="L889" t="str">
        <f t="shared" si="65"/>
        <v/>
      </c>
      <c r="M889" t="str">
        <f t="shared" si="66"/>
        <v/>
      </c>
      <c r="N889" t="str">
        <f t="shared" si="67"/>
        <v/>
      </c>
      <c r="O889" t="str">
        <f t="shared" si="68"/>
        <v/>
      </c>
    </row>
    <row r="890" spans="11:15" x14ac:dyDescent="0.3">
      <c r="K890" t="str">
        <f t="shared" si="69"/>
        <v/>
      </c>
      <c r="L890" t="str">
        <f t="shared" si="65"/>
        <v/>
      </c>
      <c r="M890" t="str">
        <f t="shared" si="66"/>
        <v/>
      </c>
      <c r="N890" t="str">
        <f t="shared" si="67"/>
        <v/>
      </c>
      <c r="O890" t="str">
        <f t="shared" si="68"/>
        <v/>
      </c>
    </row>
    <row r="891" spans="11:15" x14ac:dyDescent="0.3">
      <c r="K891" t="str">
        <f t="shared" si="69"/>
        <v/>
      </c>
      <c r="L891" t="str">
        <f t="shared" si="65"/>
        <v/>
      </c>
      <c r="M891" t="str">
        <f t="shared" si="66"/>
        <v/>
      </c>
      <c r="N891" t="str">
        <f t="shared" si="67"/>
        <v/>
      </c>
      <c r="O891" t="str">
        <f t="shared" si="68"/>
        <v/>
      </c>
    </row>
    <row r="892" spans="11:15" x14ac:dyDescent="0.3">
      <c r="K892" t="str">
        <f t="shared" si="69"/>
        <v/>
      </c>
      <c r="L892" t="str">
        <f t="shared" si="65"/>
        <v/>
      </c>
      <c r="M892" t="str">
        <f t="shared" si="66"/>
        <v/>
      </c>
      <c r="N892" t="str">
        <f t="shared" si="67"/>
        <v/>
      </c>
      <c r="O892" t="str">
        <f t="shared" si="68"/>
        <v/>
      </c>
    </row>
    <row r="893" spans="11:15" x14ac:dyDescent="0.3">
      <c r="K893" t="str">
        <f t="shared" si="69"/>
        <v/>
      </c>
      <c r="L893" t="str">
        <f t="shared" si="65"/>
        <v/>
      </c>
      <c r="M893" t="str">
        <f t="shared" si="66"/>
        <v/>
      </c>
      <c r="N893" t="str">
        <f t="shared" si="67"/>
        <v/>
      </c>
      <c r="O893" t="str">
        <f t="shared" si="68"/>
        <v/>
      </c>
    </row>
    <row r="894" spans="11:15" x14ac:dyDescent="0.3">
      <c r="K894" t="str">
        <f t="shared" si="69"/>
        <v/>
      </c>
      <c r="L894" t="str">
        <f t="shared" si="65"/>
        <v/>
      </c>
      <c r="M894" t="str">
        <f t="shared" si="66"/>
        <v/>
      </c>
      <c r="N894" t="str">
        <f t="shared" si="67"/>
        <v/>
      </c>
      <c r="O894" t="str">
        <f t="shared" si="68"/>
        <v/>
      </c>
    </row>
    <row r="895" spans="11:15" x14ac:dyDescent="0.3">
      <c r="K895" t="str">
        <f t="shared" si="69"/>
        <v/>
      </c>
      <c r="L895" t="str">
        <f t="shared" si="65"/>
        <v/>
      </c>
      <c r="M895" t="str">
        <f t="shared" si="66"/>
        <v/>
      </c>
      <c r="N895" t="str">
        <f t="shared" si="67"/>
        <v/>
      </c>
      <c r="O895" t="str">
        <f t="shared" si="68"/>
        <v/>
      </c>
    </row>
    <row r="896" spans="11:15" x14ac:dyDescent="0.3">
      <c r="K896" t="str">
        <f t="shared" si="69"/>
        <v/>
      </c>
      <c r="L896" t="str">
        <f t="shared" si="65"/>
        <v/>
      </c>
      <c r="M896" t="str">
        <f t="shared" si="66"/>
        <v/>
      </c>
      <c r="N896" t="str">
        <f t="shared" si="67"/>
        <v/>
      </c>
      <c r="O896" t="str">
        <f t="shared" si="68"/>
        <v/>
      </c>
    </row>
    <row r="897" spans="11:15" x14ac:dyDescent="0.3">
      <c r="K897" t="str">
        <f t="shared" si="69"/>
        <v/>
      </c>
      <c r="L897" t="str">
        <f t="shared" ref="L897:L960" si="70">IF(A897="","",IF(ISNUMBER(--LEFT(A897,FIND(" - ",A897&amp;" - ")-1)),LEFT(A897,FIND(" - ",A897&amp;" - ")-1),TRIM(A897)))</f>
        <v/>
      </c>
      <c r="M897" t="str">
        <f t="shared" ref="M897:M960" si="71">IF(OR(K897="",K897=A897,A897=""),"",K897&amp;"|"&amp;L897)</f>
        <v/>
      </c>
      <c r="N897" t="str">
        <f t="shared" ref="N897:N960" si="72">IF(M897="","",IF(ISNUMBER(B897),B897,IFERROR(_xlfn.NUMBERVALUE(B897,".",","),0)))</f>
        <v/>
      </c>
      <c r="O897" t="str">
        <f t="shared" ref="O897:O960" si="73">IF(M897="","",IF(ISNUMBER(C897),C897,IFERROR(_xlfn.NUMBERVALUE(C897,".",","),0)))</f>
        <v/>
      </c>
    </row>
    <row r="898" spans="11:15" x14ac:dyDescent="0.3">
      <c r="K898" t="str">
        <f t="shared" ref="K898:K961" si="74">IF(OR(LEFT(B898,9)="DOANH THU",LEFT(B898,8)="SỐ LƯỢNG"),A898,K897)</f>
        <v/>
      </c>
      <c r="L898" t="str">
        <f t="shared" si="70"/>
        <v/>
      </c>
      <c r="M898" t="str">
        <f t="shared" si="71"/>
        <v/>
      </c>
      <c r="N898" t="str">
        <f t="shared" si="72"/>
        <v/>
      </c>
      <c r="O898" t="str">
        <f t="shared" si="73"/>
        <v/>
      </c>
    </row>
    <row r="899" spans="11:15" x14ac:dyDescent="0.3">
      <c r="K899" t="str">
        <f t="shared" si="74"/>
        <v/>
      </c>
      <c r="L899" t="str">
        <f t="shared" si="70"/>
        <v/>
      </c>
      <c r="M899" t="str">
        <f t="shared" si="71"/>
        <v/>
      </c>
      <c r="N899" t="str">
        <f t="shared" si="72"/>
        <v/>
      </c>
      <c r="O899" t="str">
        <f t="shared" si="73"/>
        <v/>
      </c>
    </row>
    <row r="900" spans="11:15" x14ac:dyDescent="0.3">
      <c r="K900" t="str">
        <f t="shared" si="74"/>
        <v/>
      </c>
      <c r="L900" t="str">
        <f t="shared" si="70"/>
        <v/>
      </c>
      <c r="M900" t="str">
        <f t="shared" si="71"/>
        <v/>
      </c>
      <c r="N900" t="str">
        <f t="shared" si="72"/>
        <v/>
      </c>
      <c r="O900" t="str">
        <f t="shared" si="73"/>
        <v/>
      </c>
    </row>
    <row r="901" spans="11:15" x14ac:dyDescent="0.3">
      <c r="K901" t="str">
        <f t="shared" si="74"/>
        <v/>
      </c>
      <c r="L901" t="str">
        <f t="shared" si="70"/>
        <v/>
      </c>
      <c r="M901" t="str">
        <f t="shared" si="71"/>
        <v/>
      </c>
      <c r="N901" t="str">
        <f t="shared" si="72"/>
        <v/>
      </c>
      <c r="O901" t="str">
        <f t="shared" si="73"/>
        <v/>
      </c>
    </row>
    <row r="902" spans="11:15" x14ac:dyDescent="0.3">
      <c r="K902" t="str">
        <f t="shared" si="74"/>
        <v/>
      </c>
      <c r="L902" t="str">
        <f t="shared" si="70"/>
        <v/>
      </c>
      <c r="M902" t="str">
        <f t="shared" si="71"/>
        <v/>
      </c>
      <c r="N902" t="str">
        <f t="shared" si="72"/>
        <v/>
      </c>
      <c r="O902" t="str">
        <f t="shared" si="73"/>
        <v/>
      </c>
    </row>
    <row r="903" spans="11:15" x14ac:dyDescent="0.3">
      <c r="K903" t="str">
        <f t="shared" si="74"/>
        <v/>
      </c>
      <c r="L903" t="str">
        <f t="shared" si="70"/>
        <v/>
      </c>
      <c r="M903" t="str">
        <f t="shared" si="71"/>
        <v/>
      </c>
      <c r="N903" t="str">
        <f t="shared" si="72"/>
        <v/>
      </c>
      <c r="O903" t="str">
        <f t="shared" si="73"/>
        <v/>
      </c>
    </row>
    <row r="904" spans="11:15" x14ac:dyDescent="0.3">
      <c r="K904" t="str">
        <f t="shared" si="74"/>
        <v/>
      </c>
      <c r="L904" t="str">
        <f t="shared" si="70"/>
        <v/>
      </c>
      <c r="M904" t="str">
        <f t="shared" si="71"/>
        <v/>
      </c>
      <c r="N904" t="str">
        <f t="shared" si="72"/>
        <v/>
      </c>
      <c r="O904" t="str">
        <f t="shared" si="73"/>
        <v/>
      </c>
    </row>
    <row r="905" spans="11:15" x14ac:dyDescent="0.3">
      <c r="K905" t="str">
        <f t="shared" si="74"/>
        <v/>
      </c>
      <c r="L905" t="str">
        <f t="shared" si="70"/>
        <v/>
      </c>
      <c r="M905" t="str">
        <f t="shared" si="71"/>
        <v/>
      </c>
      <c r="N905" t="str">
        <f t="shared" si="72"/>
        <v/>
      </c>
      <c r="O905" t="str">
        <f t="shared" si="73"/>
        <v/>
      </c>
    </row>
    <row r="906" spans="11:15" x14ac:dyDescent="0.3">
      <c r="K906" t="str">
        <f t="shared" si="74"/>
        <v/>
      </c>
      <c r="L906" t="str">
        <f t="shared" si="70"/>
        <v/>
      </c>
      <c r="M906" t="str">
        <f t="shared" si="71"/>
        <v/>
      </c>
      <c r="N906" t="str">
        <f t="shared" si="72"/>
        <v/>
      </c>
      <c r="O906" t="str">
        <f t="shared" si="73"/>
        <v/>
      </c>
    </row>
    <row r="907" spans="11:15" x14ac:dyDescent="0.3">
      <c r="K907" t="str">
        <f t="shared" si="74"/>
        <v/>
      </c>
      <c r="L907" t="str">
        <f t="shared" si="70"/>
        <v/>
      </c>
      <c r="M907" t="str">
        <f t="shared" si="71"/>
        <v/>
      </c>
      <c r="N907" t="str">
        <f t="shared" si="72"/>
        <v/>
      </c>
      <c r="O907" t="str">
        <f t="shared" si="73"/>
        <v/>
      </c>
    </row>
    <row r="908" spans="11:15" x14ac:dyDescent="0.3">
      <c r="K908" t="str">
        <f t="shared" si="74"/>
        <v/>
      </c>
      <c r="L908" t="str">
        <f t="shared" si="70"/>
        <v/>
      </c>
      <c r="M908" t="str">
        <f t="shared" si="71"/>
        <v/>
      </c>
      <c r="N908" t="str">
        <f t="shared" si="72"/>
        <v/>
      </c>
      <c r="O908" t="str">
        <f t="shared" si="73"/>
        <v/>
      </c>
    </row>
    <row r="909" spans="11:15" x14ac:dyDescent="0.3">
      <c r="K909" t="str">
        <f t="shared" si="74"/>
        <v/>
      </c>
      <c r="L909" t="str">
        <f t="shared" si="70"/>
        <v/>
      </c>
      <c r="M909" t="str">
        <f t="shared" si="71"/>
        <v/>
      </c>
      <c r="N909" t="str">
        <f t="shared" si="72"/>
        <v/>
      </c>
      <c r="O909" t="str">
        <f t="shared" si="73"/>
        <v/>
      </c>
    </row>
    <row r="910" spans="11:15" x14ac:dyDescent="0.3">
      <c r="K910" t="str">
        <f t="shared" si="74"/>
        <v/>
      </c>
      <c r="L910" t="str">
        <f t="shared" si="70"/>
        <v/>
      </c>
      <c r="M910" t="str">
        <f t="shared" si="71"/>
        <v/>
      </c>
      <c r="N910" t="str">
        <f t="shared" si="72"/>
        <v/>
      </c>
      <c r="O910" t="str">
        <f t="shared" si="73"/>
        <v/>
      </c>
    </row>
    <row r="911" spans="11:15" x14ac:dyDescent="0.3">
      <c r="K911" t="str">
        <f t="shared" si="74"/>
        <v/>
      </c>
      <c r="L911" t="str">
        <f t="shared" si="70"/>
        <v/>
      </c>
      <c r="M911" t="str">
        <f t="shared" si="71"/>
        <v/>
      </c>
      <c r="N911" t="str">
        <f t="shared" si="72"/>
        <v/>
      </c>
      <c r="O911" t="str">
        <f t="shared" si="73"/>
        <v/>
      </c>
    </row>
    <row r="912" spans="11:15" x14ac:dyDescent="0.3">
      <c r="K912" t="str">
        <f t="shared" si="74"/>
        <v/>
      </c>
      <c r="L912" t="str">
        <f t="shared" si="70"/>
        <v/>
      </c>
      <c r="M912" t="str">
        <f t="shared" si="71"/>
        <v/>
      </c>
      <c r="N912" t="str">
        <f t="shared" si="72"/>
        <v/>
      </c>
      <c r="O912" t="str">
        <f t="shared" si="73"/>
        <v/>
      </c>
    </row>
    <row r="913" spans="11:15" x14ac:dyDescent="0.3">
      <c r="K913" t="str">
        <f t="shared" si="74"/>
        <v/>
      </c>
      <c r="L913" t="str">
        <f t="shared" si="70"/>
        <v/>
      </c>
      <c r="M913" t="str">
        <f t="shared" si="71"/>
        <v/>
      </c>
      <c r="N913" t="str">
        <f t="shared" si="72"/>
        <v/>
      </c>
      <c r="O913" t="str">
        <f t="shared" si="73"/>
        <v/>
      </c>
    </row>
    <row r="914" spans="11:15" x14ac:dyDescent="0.3">
      <c r="K914" t="str">
        <f t="shared" si="74"/>
        <v/>
      </c>
      <c r="L914" t="str">
        <f t="shared" si="70"/>
        <v/>
      </c>
      <c r="M914" t="str">
        <f t="shared" si="71"/>
        <v/>
      </c>
      <c r="N914" t="str">
        <f t="shared" si="72"/>
        <v/>
      </c>
      <c r="O914" t="str">
        <f t="shared" si="73"/>
        <v/>
      </c>
    </row>
    <row r="915" spans="11:15" x14ac:dyDescent="0.3">
      <c r="K915" t="str">
        <f t="shared" si="74"/>
        <v/>
      </c>
      <c r="L915" t="str">
        <f t="shared" si="70"/>
        <v/>
      </c>
      <c r="M915" t="str">
        <f t="shared" si="71"/>
        <v/>
      </c>
      <c r="N915" t="str">
        <f t="shared" si="72"/>
        <v/>
      </c>
      <c r="O915" t="str">
        <f t="shared" si="73"/>
        <v/>
      </c>
    </row>
    <row r="916" spans="11:15" x14ac:dyDescent="0.3">
      <c r="K916" t="str">
        <f t="shared" si="74"/>
        <v/>
      </c>
      <c r="L916" t="str">
        <f t="shared" si="70"/>
        <v/>
      </c>
      <c r="M916" t="str">
        <f t="shared" si="71"/>
        <v/>
      </c>
      <c r="N916" t="str">
        <f t="shared" si="72"/>
        <v/>
      </c>
      <c r="O916" t="str">
        <f t="shared" si="73"/>
        <v/>
      </c>
    </row>
    <row r="917" spans="11:15" x14ac:dyDescent="0.3">
      <c r="K917" t="str">
        <f t="shared" si="74"/>
        <v/>
      </c>
      <c r="L917" t="str">
        <f t="shared" si="70"/>
        <v/>
      </c>
      <c r="M917" t="str">
        <f t="shared" si="71"/>
        <v/>
      </c>
      <c r="N917" t="str">
        <f t="shared" si="72"/>
        <v/>
      </c>
      <c r="O917" t="str">
        <f t="shared" si="73"/>
        <v/>
      </c>
    </row>
    <row r="918" spans="11:15" x14ac:dyDescent="0.3">
      <c r="K918" t="str">
        <f t="shared" si="74"/>
        <v/>
      </c>
      <c r="L918" t="str">
        <f t="shared" si="70"/>
        <v/>
      </c>
      <c r="M918" t="str">
        <f t="shared" si="71"/>
        <v/>
      </c>
      <c r="N918" t="str">
        <f t="shared" si="72"/>
        <v/>
      </c>
      <c r="O918" t="str">
        <f t="shared" si="73"/>
        <v/>
      </c>
    </row>
    <row r="919" spans="11:15" x14ac:dyDescent="0.3">
      <c r="K919" t="str">
        <f t="shared" si="74"/>
        <v/>
      </c>
      <c r="L919" t="str">
        <f t="shared" si="70"/>
        <v/>
      </c>
      <c r="M919" t="str">
        <f t="shared" si="71"/>
        <v/>
      </c>
      <c r="N919" t="str">
        <f t="shared" si="72"/>
        <v/>
      </c>
      <c r="O919" t="str">
        <f t="shared" si="73"/>
        <v/>
      </c>
    </row>
    <row r="920" spans="11:15" x14ac:dyDescent="0.3">
      <c r="K920" t="str">
        <f t="shared" si="74"/>
        <v/>
      </c>
      <c r="L920" t="str">
        <f t="shared" si="70"/>
        <v/>
      </c>
      <c r="M920" t="str">
        <f t="shared" si="71"/>
        <v/>
      </c>
      <c r="N920" t="str">
        <f t="shared" si="72"/>
        <v/>
      </c>
      <c r="O920" t="str">
        <f t="shared" si="73"/>
        <v/>
      </c>
    </row>
    <row r="921" spans="11:15" x14ac:dyDescent="0.3">
      <c r="K921" t="str">
        <f t="shared" si="74"/>
        <v/>
      </c>
      <c r="L921" t="str">
        <f t="shared" si="70"/>
        <v/>
      </c>
      <c r="M921" t="str">
        <f t="shared" si="71"/>
        <v/>
      </c>
      <c r="N921" t="str">
        <f t="shared" si="72"/>
        <v/>
      </c>
      <c r="O921" t="str">
        <f t="shared" si="73"/>
        <v/>
      </c>
    </row>
    <row r="922" spans="11:15" x14ac:dyDescent="0.3">
      <c r="K922" t="str">
        <f t="shared" si="74"/>
        <v/>
      </c>
      <c r="L922" t="str">
        <f t="shared" si="70"/>
        <v/>
      </c>
      <c r="M922" t="str">
        <f t="shared" si="71"/>
        <v/>
      </c>
      <c r="N922" t="str">
        <f t="shared" si="72"/>
        <v/>
      </c>
      <c r="O922" t="str">
        <f t="shared" si="73"/>
        <v/>
      </c>
    </row>
    <row r="923" spans="11:15" x14ac:dyDescent="0.3">
      <c r="K923" t="str">
        <f t="shared" si="74"/>
        <v/>
      </c>
      <c r="L923" t="str">
        <f t="shared" si="70"/>
        <v/>
      </c>
      <c r="M923" t="str">
        <f t="shared" si="71"/>
        <v/>
      </c>
      <c r="N923" t="str">
        <f t="shared" si="72"/>
        <v/>
      </c>
      <c r="O923" t="str">
        <f t="shared" si="73"/>
        <v/>
      </c>
    </row>
    <row r="924" spans="11:15" x14ac:dyDescent="0.3">
      <c r="K924" t="str">
        <f t="shared" si="74"/>
        <v/>
      </c>
      <c r="L924" t="str">
        <f t="shared" si="70"/>
        <v/>
      </c>
      <c r="M924" t="str">
        <f t="shared" si="71"/>
        <v/>
      </c>
      <c r="N924" t="str">
        <f t="shared" si="72"/>
        <v/>
      </c>
      <c r="O924" t="str">
        <f t="shared" si="73"/>
        <v/>
      </c>
    </row>
    <row r="925" spans="11:15" x14ac:dyDescent="0.3">
      <c r="K925" t="str">
        <f t="shared" si="74"/>
        <v/>
      </c>
      <c r="L925" t="str">
        <f t="shared" si="70"/>
        <v/>
      </c>
      <c r="M925" t="str">
        <f t="shared" si="71"/>
        <v/>
      </c>
      <c r="N925" t="str">
        <f t="shared" si="72"/>
        <v/>
      </c>
      <c r="O925" t="str">
        <f t="shared" si="73"/>
        <v/>
      </c>
    </row>
    <row r="926" spans="11:15" x14ac:dyDescent="0.3">
      <c r="K926" t="str">
        <f t="shared" si="74"/>
        <v/>
      </c>
      <c r="L926" t="str">
        <f t="shared" si="70"/>
        <v/>
      </c>
      <c r="M926" t="str">
        <f t="shared" si="71"/>
        <v/>
      </c>
      <c r="N926" t="str">
        <f t="shared" si="72"/>
        <v/>
      </c>
      <c r="O926" t="str">
        <f t="shared" si="73"/>
        <v/>
      </c>
    </row>
    <row r="927" spans="11:15" x14ac:dyDescent="0.3">
      <c r="K927" t="str">
        <f t="shared" si="74"/>
        <v/>
      </c>
      <c r="L927" t="str">
        <f t="shared" si="70"/>
        <v/>
      </c>
      <c r="M927" t="str">
        <f t="shared" si="71"/>
        <v/>
      </c>
      <c r="N927" t="str">
        <f t="shared" si="72"/>
        <v/>
      </c>
      <c r="O927" t="str">
        <f t="shared" si="73"/>
        <v/>
      </c>
    </row>
    <row r="928" spans="11:15" x14ac:dyDescent="0.3">
      <c r="K928" t="str">
        <f t="shared" si="74"/>
        <v/>
      </c>
      <c r="L928" t="str">
        <f t="shared" si="70"/>
        <v/>
      </c>
      <c r="M928" t="str">
        <f t="shared" si="71"/>
        <v/>
      </c>
      <c r="N928" t="str">
        <f t="shared" si="72"/>
        <v/>
      </c>
      <c r="O928" t="str">
        <f t="shared" si="73"/>
        <v/>
      </c>
    </row>
    <row r="929" spans="11:15" x14ac:dyDescent="0.3">
      <c r="K929" t="str">
        <f t="shared" si="74"/>
        <v/>
      </c>
      <c r="L929" t="str">
        <f t="shared" si="70"/>
        <v/>
      </c>
      <c r="M929" t="str">
        <f t="shared" si="71"/>
        <v/>
      </c>
      <c r="N929" t="str">
        <f t="shared" si="72"/>
        <v/>
      </c>
      <c r="O929" t="str">
        <f t="shared" si="73"/>
        <v/>
      </c>
    </row>
    <row r="930" spans="11:15" x14ac:dyDescent="0.3">
      <c r="K930" t="str">
        <f t="shared" si="74"/>
        <v/>
      </c>
      <c r="L930" t="str">
        <f t="shared" si="70"/>
        <v/>
      </c>
      <c r="M930" t="str">
        <f t="shared" si="71"/>
        <v/>
      </c>
      <c r="N930" t="str">
        <f t="shared" si="72"/>
        <v/>
      </c>
      <c r="O930" t="str">
        <f t="shared" si="73"/>
        <v/>
      </c>
    </row>
    <row r="931" spans="11:15" x14ac:dyDescent="0.3">
      <c r="K931" t="str">
        <f t="shared" si="74"/>
        <v/>
      </c>
      <c r="L931" t="str">
        <f t="shared" si="70"/>
        <v/>
      </c>
      <c r="M931" t="str">
        <f t="shared" si="71"/>
        <v/>
      </c>
      <c r="N931" t="str">
        <f t="shared" si="72"/>
        <v/>
      </c>
      <c r="O931" t="str">
        <f t="shared" si="73"/>
        <v/>
      </c>
    </row>
    <row r="932" spans="11:15" x14ac:dyDescent="0.3">
      <c r="K932" t="str">
        <f t="shared" si="74"/>
        <v/>
      </c>
      <c r="L932" t="str">
        <f t="shared" si="70"/>
        <v/>
      </c>
      <c r="M932" t="str">
        <f t="shared" si="71"/>
        <v/>
      </c>
      <c r="N932" t="str">
        <f t="shared" si="72"/>
        <v/>
      </c>
      <c r="O932" t="str">
        <f t="shared" si="73"/>
        <v/>
      </c>
    </row>
    <row r="933" spans="11:15" x14ac:dyDescent="0.3">
      <c r="K933" t="str">
        <f t="shared" si="74"/>
        <v/>
      </c>
      <c r="L933" t="str">
        <f t="shared" si="70"/>
        <v/>
      </c>
      <c r="M933" t="str">
        <f t="shared" si="71"/>
        <v/>
      </c>
      <c r="N933" t="str">
        <f t="shared" si="72"/>
        <v/>
      </c>
      <c r="O933" t="str">
        <f t="shared" si="73"/>
        <v/>
      </c>
    </row>
    <row r="934" spans="11:15" x14ac:dyDescent="0.3">
      <c r="K934" t="str">
        <f t="shared" si="74"/>
        <v/>
      </c>
      <c r="L934" t="str">
        <f t="shared" si="70"/>
        <v/>
      </c>
      <c r="M934" t="str">
        <f t="shared" si="71"/>
        <v/>
      </c>
      <c r="N934" t="str">
        <f t="shared" si="72"/>
        <v/>
      </c>
      <c r="O934" t="str">
        <f t="shared" si="73"/>
        <v/>
      </c>
    </row>
    <row r="935" spans="11:15" x14ac:dyDescent="0.3">
      <c r="K935" t="str">
        <f t="shared" si="74"/>
        <v/>
      </c>
      <c r="L935" t="str">
        <f t="shared" si="70"/>
        <v/>
      </c>
      <c r="M935" t="str">
        <f t="shared" si="71"/>
        <v/>
      </c>
      <c r="N935" t="str">
        <f t="shared" si="72"/>
        <v/>
      </c>
      <c r="O935" t="str">
        <f t="shared" si="73"/>
        <v/>
      </c>
    </row>
    <row r="936" spans="11:15" x14ac:dyDescent="0.3">
      <c r="K936" t="str">
        <f t="shared" si="74"/>
        <v/>
      </c>
      <c r="L936" t="str">
        <f t="shared" si="70"/>
        <v/>
      </c>
      <c r="M936" t="str">
        <f t="shared" si="71"/>
        <v/>
      </c>
      <c r="N936" t="str">
        <f t="shared" si="72"/>
        <v/>
      </c>
      <c r="O936" t="str">
        <f t="shared" si="73"/>
        <v/>
      </c>
    </row>
    <row r="937" spans="11:15" x14ac:dyDescent="0.3">
      <c r="K937" t="str">
        <f t="shared" si="74"/>
        <v/>
      </c>
      <c r="L937" t="str">
        <f t="shared" si="70"/>
        <v/>
      </c>
      <c r="M937" t="str">
        <f t="shared" si="71"/>
        <v/>
      </c>
      <c r="N937" t="str">
        <f t="shared" si="72"/>
        <v/>
      </c>
      <c r="O937" t="str">
        <f t="shared" si="73"/>
        <v/>
      </c>
    </row>
    <row r="938" spans="11:15" x14ac:dyDescent="0.3">
      <c r="K938" t="str">
        <f t="shared" si="74"/>
        <v/>
      </c>
      <c r="L938" t="str">
        <f t="shared" si="70"/>
        <v/>
      </c>
      <c r="M938" t="str">
        <f t="shared" si="71"/>
        <v/>
      </c>
      <c r="N938" t="str">
        <f t="shared" si="72"/>
        <v/>
      </c>
      <c r="O938" t="str">
        <f t="shared" si="73"/>
        <v/>
      </c>
    </row>
    <row r="939" spans="11:15" x14ac:dyDescent="0.3">
      <c r="K939" t="str">
        <f t="shared" si="74"/>
        <v/>
      </c>
      <c r="L939" t="str">
        <f t="shared" si="70"/>
        <v/>
      </c>
      <c r="M939" t="str">
        <f t="shared" si="71"/>
        <v/>
      </c>
      <c r="N939" t="str">
        <f t="shared" si="72"/>
        <v/>
      </c>
      <c r="O939" t="str">
        <f t="shared" si="73"/>
        <v/>
      </c>
    </row>
    <row r="940" spans="11:15" x14ac:dyDescent="0.3">
      <c r="K940" t="str">
        <f t="shared" si="74"/>
        <v/>
      </c>
      <c r="L940" t="str">
        <f t="shared" si="70"/>
        <v/>
      </c>
      <c r="M940" t="str">
        <f t="shared" si="71"/>
        <v/>
      </c>
      <c r="N940" t="str">
        <f t="shared" si="72"/>
        <v/>
      </c>
      <c r="O940" t="str">
        <f t="shared" si="73"/>
        <v/>
      </c>
    </row>
    <row r="941" spans="11:15" x14ac:dyDescent="0.3">
      <c r="K941" t="str">
        <f t="shared" si="74"/>
        <v/>
      </c>
      <c r="L941" t="str">
        <f t="shared" si="70"/>
        <v/>
      </c>
      <c r="M941" t="str">
        <f t="shared" si="71"/>
        <v/>
      </c>
      <c r="N941" t="str">
        <f t="shared" si="72"/>
        <v/>
      </c>
      <c r="O941" t="str">
        <f t="shared" si="73"/>
        <v/>
      </c>
    </row>
    <row r="942" spans="11:15" x14ac:dyDescent="0.3">
      <c r="K942" t="str">
        <f t="shared" si="74"/>
        <v/>
      </c>
      <c r="L942" t="str">
        <f t="shared" si="70"/>
        <v/>
      </c>
      <c r="M942" t="str">
        <f t="shared" si="71"/>
        <v/>
      </c>
      <c r="N942" t="str">
        <f t="shared" si="72"/>
        <v/>
      </c>
      <c r="O942" t="str">
        <f t="shared" si="73"/>
        <v/>
      </c>
    </row>
    <row r="943" spans="11:15" x14ac:dyDescent="0.3">
      <c r="K943" t="str">
        <f t="shared" si="74"/>
        <v/>
      </c>
      <c r="L943" t="str">
        <f t="shared" si="70"/>
        <v/>
      </c>
      <c r="M943" t="str">
        <f t="shared" si="71"/>
        <v/>
      </c>
      <c r="N943" t="str">
        <f t="shared" si="72"/>
        <v/>
      </c>
      <c r="O943" t="str">
        <f t="shared" si="73"/>
        <v/>
      </c>
    </row>
    <row r="944" spans="11:15" x14ac:dyDescent="0.3">
      <c r="K944" t="str">
        <f t="shared" si="74"/>
        <v/>
      </c>
      <c r="L944" t="str">
        <f t="shared" si="70"/>
        <v/>
      </c>
      <c r="M944" t="str">
        <f t="shared" si="71"/>
        <v/>
      </c>
      <c r="N944" t="str">
        <f t="shared" si="72"/>
        <v/>
      </c>
      <c r="O944" t="str">
        <f t="shared" si="73"/>
        <v/>
      </c>
    </row>
    <row r="945" spans="11:15" x14ac:dyDescent="0.3">
      <c r="K945" t="str">
        <f t="shared" si="74"/>
        <v/>
      </c>
      <c r="L945" t="str">
        <f t="shared" si="70"/>
        <v/>
      </c>
      <c r="M945" t="str">
        <f t="shared" si="71"/>
        <v/>
      </c>
      <c r="N945" t="str">
        <f t="shared" si="72"/>
        <v/>
      </c>
      <c r="O945" t="str">
        <f t="shared" si="73"/>
        <v/>
      </c>
    </row>
    <row r="946" spans="11:15" x14ac:dyDescent="0.3">
      <c r="K946" t="str">
        <f t="shared" si="74"/>
        <v/>
      </c>
      <c r="L946" t="str">
        <f t="shared" si="70"/>
        <v/>
      </c>
      <c r="M946" t="str">
        <f t="shared" si="71"/>
        <v/>
      </c>
      <c r="N946" t="str">
        <f t="shared" si="72"/>
        <v/>
      </c>
      <c r="O946" t="str">
        <f t="shared" si="73"/>
        <v/>
      </c>
    </row>
    <row r="947" spans="11:15" x14ac:dyDescent="0.3">
      <c r="K947" t="str">
        <f t="shared" si="74"/>
        <v/>
      </c>
      <c r="L947" t="str">
        <f t="shared" si="70"/>
        <v/>
      </c>
      <c r="M947" t="str">
        <f t="shared" si="71"/>
        <v/>
      </c>
      <c r="N947" t="str">
        <f t="shared" si="72"/>
        <v/>
      </c>
      <c r="O947" t="str">
        <f t="shared" si="73"/>
        <v/>
      </c>
    </row>
    <row r="948" spans="11:15" x14ac:dyDescent="0.3">
      <c r="K948" t="str">
        <f t="shared" si="74"/>
        <v/>
      </c>
      <c r="L948" t="str">
        <f t="shared" si="70"/>
        <v/>
      </c>
      <c r="M948" t="str">
        <f t="shared" si="71"/>
        <v/>
      </c>
      <c r="N948" t="str">
        <f t="shared" si="72"/>
        <v/>
      </c>
      <c r="O948" t="str">
        <f t="shared" si="73"/>
        <v/>
      </c>
    </row>
    <row r="949" spans="11:15" x14ac:dyDescent="0.3">
      <c r="K949" t="str">
        <f t="shared" si="74"/>
        <v/>
      </c>
      <c r="L949" t="str">
        <f t="shared" si="70"/>
        <v/>
      </c>
      <c r="M949" t="str">
        <f t="shared" si="71"/>
        <v/>
      </c>
      <c r="N949" t="str">
        <f t="shared" si="72"/>
        <v/>
      </c>
      <c r="O949" t="str">
        <f t="shared" si="73"/>
        <v/>
      </c>
    </row>
    <row r="950" spans="11:15" x14ac:dyDescent="0.3">
      <c r="K950" t="str">
        <f t="shared" si="74"/>
        <v/>
      </c>
      <c r="L950" t="str">
        <f t="shared" si="70"/>
        <v/>
      </c>
      <c r="M950" t="str">
        <f t="shared" si="71"/>
        <v/>
      </c>
      <c r="N950" t="str">
        <f t="shared" si="72"/>
        <v/>
      </c>
      <c r="O950" t="str">
        <f t="shared" si="73"/>
        <v/>
      </c>
    </row>
    <row r="951" spans="11:15" x14ac:dyDescent="0.3">
      <c r="K951" t="str">
        <f t="shared" si="74"/>
        <v/>
      </c>
      <c r="L951" t="str">
        <f t="shared" si="70"/>
        <v/>
      </c>
      <c r="M951" t="str">
        <f t="shared" si="71"/>
        <v/>
      </c>
      <c r="N951" t="str">
        <f t="shared" si="72"/>
        <v/>
      </c>
      <c r="O951" t="str">
        <f t="shared" si="73"/>
        <v/>
      </c>
    </row>
    <row r="952" spans="11:15" x14ac:dyDescent="0.3">
      <c r="K952" t="str">
        <f t="shared" si="74"/>
        <v/>
      </c>
      <c r="L952" t="str">
        <f t="shared" si="70"/>
        <v/>
      </c>
      <c r="M952" t="str">
        <f t="shared" si="71"/>
        <v/>
      </c>
      <c r="N952" t="str">
        <f t="shared" si="72"/>
        <v/>
      </c>
      <c r="O952" t="str">
        <f t="shared" si="73"/>
        <v/>
      </c>
    </row>
    <row r="953" spans="11:15" x14ac:dyDescent="0.3">
      <c r="K953" t="str">
        <f t="shared" si="74"/>
        <v/>
      </c>
      <c r="L953" t="str">
        <f t="shared" si="70"/>
        <v/>
      </c>
      <c r="M953" t="str">
        <f t="shared" si="71"/>
        <v/>
      </c>
      <c r="N953" t="str">
        <f t="shared" si="72"/>
        <v/>
      </c>
      <c r="O953" t="str">
        <f t="shared" si="73"/>
        <v/>
      </c>
    </row>
    <row r="954" spans="11:15" x14ac:dyDescent="0.3">
      <c r="K954" t="str">
        <f t="shared" si="74"/>
        <v/>
      </c>
      <c r="L954" t="str">
        <f t="shared" si="70"/>
        <v/>
      </c>
      <c r="M954" t="str">
        <f t="shared" si="71"/>
        <v/>
      </c>
      <c r="N954" t="str">
        <f t="shared" si="72"/>
        <v/>
      </c>
      <c r="O954" t="str">
        <f t="shared" si="73"/>
        <v/>
      </c>
    </row>
    <row r="955" spans="11:15" x14ac:dyDescent="0.3">
      <c r="K955" t="str">
        <f t="shared" si="74"/>
        <v/>
      </c>
      <c r="L955" t="str">
        <f t="shared" si="70"/>
        <v/>
      </c>
      <c r="M955" t="str">
        <f t="shared" si="71"/>
        <v/>
      </c>
      <c r="N955" t="str">
        <f t="shared" si="72"/>
        <v/>
      </c>
      <c r="O955" t="str">
        <f t="shared" si="73"/>
        <v/>
      </c>
    </row>
    <row r="956" spans="11:15" x14ac:dyDescent="0.3">
      <c r="K956" t="str">
        <f t="shared" si="74"/>
        <v/>
      </c>
      <c r="L956" t="str">
        <f t="shared" si="70"/>
        <v/>
      </c>
      <c r="M956" t="str">
        <f t="shared" si="71"/>
        <v/>
      </c>
      <c r="N956" t="str">
        <f t="shared" si="72"/>
        <v/>
      </c>
      <c r="O956" t="str">
        <f t="shared" si="73"/>
        <v/>
      </c>
    </row>
    <row r="957" spans="11:15" x14ac:dyDescent="0.3">
      <c r="K957" t="str">
        <f t="shared" si="74"/>
        <v/>
      </c>
      <c r="L957" t="str">
        <f t="shared" si="70"/>
        <v/>
      </c>
      <c r="M957" t="str">
        <f t="shared" si="71"/>
        <v/>
      </c>
      <c r="N957" t="str">
        <f t="shared" si="72"/>
        <v/>
      </c>
      <c r="O957" t="str">
        <f t="shared" si="73"/>
        <v/>
      </c>
    </row>
    <row r="958" spans="11:15" x14ac:dyDescent="0.3">
      <c r="K958" t="str">
        <f t="shared" si="74"/>
        <v/>
      </c>
      <c r="L958" t="str">
        <f t="shared" si="70"/>
        <v/>
      </c>
      <c r="M958" t="str">
        <f t="shared" si="71"/>
        <v/>
      </c>
      <c r="N958" t="str">
        <f t="shared" si="72"/>
        <v/>
      </c>
      <c r="O958" t="str">
        <f t="shared" si="73"/>
        <v/>
      </c>
    </row>
    <row r="959" spans="11:15" x14ac:dyDescent="0.3">
      <c r="K959" t="str">
        <f t="shared" si="74"/>
        <v/>
      </c>
      <c r="L959" t="str">
        <f t="shared" si="70"/>
        <v/>
      </c>
      <c r="M959" t="str">
        <f t="shared" si="71"/>
        <v/>
      </c>
      <c r="N959" t="str">
        <f t="shared" si="72"/>
        <v/>
      </c>
      <c r="O959" t="str">
        <f t="shared" si="73"/>
        <v/>
      </c>
    </row>
    <row r="960" spans="11:15" x14ac:dyDescent="0.3">
      <c r="K960" t="str">
        <f t="shared" si="74"/>
        <v/>
      </c>
      <c r="L960" t="str">
        <f t="shared" si="70"/>
        <v/>
      </c>
      <c r="M960" t="str">
        <f t="shared" si="71"/>
        <v/>
      </c>
      <c r="N960" t="str">
        <f t="shared" si="72"/>
        <v/>
      </c>
      <c r="O960" t="str">
        <f t="shared" si="73"/>
        <v/>
      </c>
    </row>
    <row r="961" spans="11:15" x14ac:dyDescent="0.3">
      <c r="K961" t="str">
        <f t="shared" si="74"/>
        <v/>
      </c>
      <c r="L961" t="str">
        <f t="shared" ref="L961:L1024" si="75">IF(A961="","",IF(ISNUMBER(--LEFT(A961,FIND(" - ",A961&amp;" - ")-1)),LEFT(A961,FIND(" - ",A961&amp;" - ")-1),TRIM(A961)))</f>
        <v/>
      </c>
      <c r="M961" t="str">
        <f t="shared" ref="M961:M1024" si="76">IF(OR(K961="",K961=A961,A961=""),"",K961&amp;"|"&amp;L961)</f>
        <v/>
      </c>
      <c r="N961" t="str">
        <f t="shared" ref="N961:N1024" si="77">IF(M961="","",IF(ISNUMBER(B961),B961,IFERROR(_xlfn.NUMBERVALUE(B961,".",","),0)))</f>
        <v/>
      </c>
      <c r="O961" t="str">
        <f t="shared" ref="O961:O1024" si="78">IF(M961="","",IF(ISNUMBER(C961),C961,IFERROR(_xlfn.NUMBERVALUE(C961,".",","),0)))</f>
        <v/>
      </c>
    </row>
    <row r="962" spans="11:15" x14ac:dyDescent="0.3">
      <c r="K962" t="str">
        <f t="shared" ref="K962:K1025" si="79">IF(OR(LEFT(B962,9)="DOANH THU",LEFT(B962,8)="SỐ LƯỢNG"),A962,K961)</f>
        <v/>
      </c>
      <c r="L962" t="str">
        <f t="shared" si="75"/>
        <v/>
      </c>
      <c r="M962" t="str">
        <f t="shared" si="76"/>
        <v/>
      </c>
      <c r="N962" t="str">
        <f t="shared" si="77"/>
        <v/>
      </c>
      <c r="O962" t="str">
        <f t="shared" si="78"/>
        <v/>
      </c>
    </row>
    <row r="963" spans="11:15" x14ac:dyDescent="0.3">
      <c r="K963" t="str">
        <f t="shared" si="79"/>
        <v/>
      </c>
      <c r="L963" t="str">
        <f t="shared" si="75"/>
        <v/>
      </c>
      <c r="M963" t="str">
        <f t="shared" si="76"/>
        <v/>
      </c>
      <c r="N963" t="str">
        <f t="shared" si="77"/>
        <v/>
      </c>
      <c r="O963" t="str">
        <f t="shared" si="78"/>
        <v/>
      </c>
    </row>
    <row r="964" spans="11:15" x14ac:dyDescent="0.3">
      <c r="K964" t="str">
        <f t="shared" si="79"/>
        <v/>
      </c>
      <c r="L964" t="str">
        <f t="shared" si="75"/>
        <v/>
      </c>
      <c r="M964" t="str">
        <f t="shared" si="76"/>
        <v/>
      </c>
      <c r="N964" t="str">
        <f t="shared" si="77"/>
        <v/>
      </c>
      <c r="O964" t="str">
        <f t="shared" si="78"/>
        <v/>
      </c>
    </row>
    <row r="965" spans="11:15" x14ac:dyDescent="0.3">
      <c r="K965" t="str">
        <f t="shared" si="79"/>
        <v/>
      </c>
      <c r="L965" t="str">
        <f t="shared" si="75"/>
        <v/>
      </c>
      <c r="M965" t="str">
        <f t="shared" si="76"/>
        <v/>
      </c>
      <c r="N965" t="str">
        <f t="shared" si="77"/>
        <v/>
      </c>
      <c r="O965" t="str">
        <f t="shared" si="78"/>
        <v/>
      </c>
    </row>
    <row r="966" spans="11:15" x14ac:dyDescent="0.3">
      <c r="K966" t="str">
        <f t="shared" si="79"/>
        <v/>
      </c>
      <c r="L966" t="str">
        <f t="shared" si="75"/>
        <v/>
      </c>
      <c r="M966" t="str">
        <f t="shared" si="76"/>
        <v/>
      </c>
      <c r="N966" t="str">
        <f t="shared" si="77"/>
        <v/>
      </c>
      <c r="O966" t="str">
        <f t="shared" si="78"/>
        <v/>
      </c>
    </row>
    <row r="967" spans="11:15" x14ac:dyDescent="0.3">
      <c r="K967" t="str">
        <f t="shared" si="79"/>
        <v/>
      </c>
      <c r="L967" t="str">
        <f t="shared" si="75"/>
        <v/>
      </c>
      <c r="M967" t="str">
        <f t="shared" si="76"/>
        <v/>
      </c>
      <c r="N967" t="str">
        <f t="shared" si="77"/>
        <v/>
      </c>
      <c r="O967" t="str">
        <f t="shared" si="78"/>
        <v/>
      </c>
    </row>
    <row r="968" spans="11:15" x14ac:dyDescent="0.3">
      <c r="K968" t="str">
        <f t="shared" si="79"/>
        <v/>
      </c>
      <c r="L968" t="str">
        <f t="shared" si="75"/>
        <v/>
      </c>
      <c r="M968" t="str">
        <f t="shared" si="76"/>
        <v/>
      </c>
      <c r="N968" t="str">
        <f t="shared" si="77"/>
        <v/>
      </c>
      <c r="O968" t="str">
        <f t="shared" si="78"/>
        <v/>
      </c>
    </row>
    <row r="969" spans="11:15" x14ac:dyDescent="0.3">
      <c r="K969" t="str">
        <f t="shared" si="79"/>
        <v/>
      </c>
      <c r="L969" t="str">
        <f t="shared" si="75"/>
        <v/>
      </c>
      <c r="M969" t="str">
        <f t="shared" si="76"/>
        <v/>
      </c>
      <c r="N969" t="str">
        <f t="shared" si="77"/>
        <v/>
      </c>
      <c r="O969" t="str">
        <f t="shared" si="78"/>
        <v/>
      </c>
    </row>
    <row r="970" spans="11:15" x14ac:dyDescent="0.3">
      <c r="K970" t="str">
        <f t="shared" si="79"/>
        <v/>
      </c>
      <c r="L970" t="str">
        <f t="shared" si="75"/>
        <v/>
      </c>
      <c r="M970" t="str">
        <f t="shared" si="76"/>
        <v/>
      </c>
      <c r="N970" t="str">
        <f t="shared" si="77"/>
        <v/>
      </c>
      <c r="O970" t="str">
        <f t="shared" si="78"/>
        <v/>
      </c>
    </row>
    <row r="971" spans="11:15" x14ac:dyDescent="0.3">
      <c r="K971" t="str">
        <f t="shared" si="79"/>
        <v/>
      </c>
      <c r="L971" t="str">
        <f t="shared" si="75"/>
        <v/>
      </c>
      <c r="M971" t="str">
        <f t="shared" si="76"/>
        <v/>
      </c>
      <c r="N971" t="str">
        <f t="shared" si="77"/>
        <v/>
      </c>
      <c r="O971" t="str">
        <f t="shared" si="78"/>
        <v/>
      </c>
    </row>
    <row r="972" spans="11:15" x14ac:dyDescent="0.3">
      <c r="K972" t="str">
        <f t="shared" si="79"/>
        <v/>
      </c>
      <c r="L972" t="str">
        <f t="shared" si="75"/>
        <v/>
      </c>
      <c r="M972" t="str">
        <f t="shared" si="76"/>
        <v/>
      </c>
      <c r="N972" t="str">
        <f t="shared" si="77"/>
        <v/>
      </c>
      <c r="O972" t="str">
        <f t="shared" si="78"/>
        <v/>
      </c>
    </row>
    <row r="973" spans="11:15" x14ac:dyDescent="0.3">
      <c r="K973" t="str">
        <f t="shared" si="79"/>
        <v/>
      </c>
      <c r="L973" t="str">
        <f t="shared" si="75"/>
        <v/>
      </c>
      <c r="M973" t="str">
        <f t="shared" si="76"/>
        <v/>
      </c>
      <c r="N973" t="str">
        <f t="shared" si="77"/>
        <v/>
      </c>
      <c r="O973" t="str">
        <f t="shared" si="78"/>
        <v/>
      </c>
    </row>
    <row r="974" spans="11:15" x14ac:dyDescent="0.3">
      <c r="K974" t="str">
        <f t="shared" si="79"/>
        <v/>
      </c>
      <c r="L974" t="str">
        <f t="shared" si="75"/>
        <v/>
      </c>
      <c r="M974" t="str">
        <f t="shared" si="76"/>
        <v/>
      </c>
      <c r="N974" t="str">
        <f t="shared" si="77"/>
        <v/>
      </c>
      <c r="O974" t="str">
        <f t="shared" si="78"/>
        <v/>
      </c>
    </row>
    <row r="975" spans="11:15" x14ac:dyDescent="0.3">
      <c r="K975" t="str">
        <f t="shared" si="79"/>
        <v/>
      </c>
      <c r="L975" t="str">
        <f t="shared" si="75"/>
        <v/>
      </c>
      <c r="M975" t="str">
        <f t="shared" si="76"/>
        <v/>
      </c>
      <c r="N975" t="str">
        <f t="shared" si="77"/>
        <v/>
      </c>
      <c r="O975" t="str">
        <f t="shared" si="78"/>
        <v/>
      </c>
    </row>
    <row r="976" spans="11:15" x14ac:dyDescent="0.3">
      <c r="K976" t="str">
        <f t="shared" si="79"/>
        <v/>
      </c>
      <c r="L976" t="str">
        <f t="shared" si="75"/>
        <v/>
      </c>
      <c r="M976" t="str">
        <f t="shared" si="76"/>
        <v/>
      </c>
      <c r="N976" t="str">
        <f t="shared" si="77"/>
        <v/>
      </c>
      <c r="O976" t="str">
        <f t="shared" si="78"/>
        <v/>
      </c>
    </row>
    <row r="977" spans="11:15" x14ac:dyDescent="0.3">
      <c r="K977" t="str">
        <f t="shared" si="79"/>
        <v/>
      </c>
      <c r="L977" t="str">
        <f t="shared" si="75"/>
        <v/>
      </c>
      <c r="M977" t="str">
        <f t="shared" si="76"/>
        <v/>
      </c>
      <c r="N977" t="str">
        <f t="shared" si="77"/>
        <v/>
      </c>
      <c r="O977" t="str">
        <f t="shared" si="78"/>
        <v/>
      </c>
    </row>
    <row r="978" spans="11:15" x14ac:dyDescent="0.3">
      <c r="K978" t="str">
        <f t="shared" si="79"/>
        <v/>
      </c>
      <c r="L978" t="str">
        <f t="shared" si="75"/>
        <v/>
      </c>
      <c r="M978" t="str">
        <f t="shared" si="76"/>
        <v/>
      </c>
      <c r="N978" t="str">
        <f t="shared" si="77"/>
        <v/>
      </c>
      <c r="O978" t="str">
        <f t="shared" si="78"/>
        <v/>
      </c>
    </row>
    <row r="979" spans="11:15" x14ac:dyDescent="0.3">
      <c r="K979" t="str">
        <f t="shared" si="79"/>
        <v/>
      </c>
      <c r="L979" t="str">
        <f t="shared" si="75"/>
        <v/>
      </c>
      <c r="M979" t="str">
        <f t="shared" si="76"/>
        <v/>
      </c>
      <c r="N979" t="str">
        <f t="shared" si="77"/>
        <v/>
      </c>
      <c r="O979" t="str">
        <f t="shared" si="78"/>
        <v/>
      </c>
    </row>
    <row r="980" spans="11:15" x14ac:dyDescent="0.3">
      <c r="K980" t="str">
        <f t="shared" si="79"/>
        <v/>
      </c>
      <c r="L980" t="str">
        <f t="shared" si="75"/>
        <v/>
      </c>
      <c r="M980" t="str">
        <f t="shared" si="76"/>
        <v/>
      </c>
      <c r="N980" t="str">
        <f t="shared" si="77"/>
        <v/>
      </c>
      <c r="O980" t="str">
        <f t="shared" si="78"/>
        <v/>
      </c>
    </row>
    <row r="981" spans="11:15" x14ac:dyDescent="0.3">
      <c r="K981" t="str">
        <f t="shared" si="79"/>
        <v/>
      </c>
      <c r="L981" t="str">
        <f t="shared" si="75"/>
        <v/>
      </c>
      <c r="M981" t="str">
        <f t="shared" si="76"/>
        <v/>
      </c>
      <c r="N981" t="str">
        <f t="shared" si="77"/>
        <v/>
      </c>
      <c r="O981" t="str">
        <f t="shared" si="78"/>
        <v/>
      </c>
    </row>
    <row r="982" spans="11:15" x14ac:dyDescent="0.3">
      <c r="K982" t="str">
        <f t="shared" si="79"/>
        <v/>
      </c>
      <c r="L982" t="str">
        <f t="shared" si="75"/>
        <v/>
      </c>
      <c r="M982" t="str">
        <f t="shared" si="76"/>
        <v/>
      </c>
      <c r="N982" t="str">
        <f t="shared" si="77"/>
        <v/>
      </c>
      <c r="O982" t="str">
        <f t="shared" si="78"/>
        <v/>
      </c>
    </row>
    <row r="983" spans="11:15" x14ac:dyDescent="0.3">
      <c r="K983" t="str">
        <f t="shared" si="79"/>
        <v/>
      </c>
      <c r="L983" t="str">
        <f t="shared" si="75"/>
        <v/>
      </c>
      <c r="M983" t="str">
        <f t="shared" si="76"/>
        <v/>
      </c>
      <c r="N983" t="str">
        <f t="shared" si="77"/>
        <v/>
      </c>
      <c r="O983" t="str">
        <f t="shared" si="78"/>
        <v/>
      </c>
    </row>
    <row r="984" spans="11:15" x14ac:dyDescent="0.3">
      <c r="K984" t="str">
        <f t="shared" si="79"/>
        <v/>
      </c>
      <c r="L984" t="str">
        <f t="shared" si="75"/>
        <v/>
      </c>
      <c r="M984" t="str">
        <f t="shared" si="76"/>
        <v/>
      </c>
      <c r="N984" t="str">
        <f t="shared" si="77"/>
        <v/>
      </c>
      <c r="O984" t="str">
        <f t="shared" si="78"/>
        <v/>
      </c>
    </row>
    <row r="985" spans="11:15" x14ac:dyDescent="0.3">
      <c r="K985" t="str">
        <f t="shared" si="79"/>
        <v/>
      </c>
      <c r="L985" t="str">
        <f t="shared" si="75"/>
        <v/>
      </c>
      <c r="M985" t="str">
        <f t="shared" si="76"/>
        <v/>
      </c>
      <c r="N985" t="str">
        <f t="shared" si="77"/>
        <v/>
      </c>
      <c r="O985" t="str">
        <f t="shared" si="78"/>
        <v/>
      </c>
    </row>
    <row r="986" spans="11:15" x14ac:dyDescent="0.3">
      <c r="K986" t="str">
        <f t="shared" si="79"/>
        <v/>
      </c>
      <c r="L986" t="str">
        <f t="shared" si="75"/>
        <v/>
      </c>
      <c r="M986" t="str">
        <f t="shared" si="76"/>
        <v/>
      </c>
      <c r="N986" t="str">
        <f t="shared" si="77"/>
        <v/>
      </c>
      <c r="O986" t="str">
        <f t="shared" si="78"/>
        <v/>
      </c>
    </row>
    <row r="987" spans="11:15" x14ac:dyDescent="0.3">
      <c r="K987" t="str">
        <f t="shared" si="79"/>
        <v/>
      </c>
      <c r="L987" t="str">
        <f t="shared" si="75"/>
        <v/>
      </c>
      <c r="M987" t="str">
        <f t="shared" si="76"/>
        <v/>
      </c>
      <c r="N987" t="str">
        <f t="shared" si="77"/>
        <v/>
      </c>
      <c r="O987" t="str">
        <f t="shared" si="78"/>
        <v/>
      </c>
    </row>
    <row r="988" spans="11:15" x14ac:dyDescent="0.3">
      <c r="K988" t="str">
        <f t="shared" si="79"/>
        <v/>
      </c>
      <c r="L988" t="str">
        <f t="shared" si="75"/>
        <v/>
      </c>
      <c r="M988" t="str">
        <f t="shared" si="76"/>
        <v/>
      </c>
      <c r="N988" t="str">
        <f t="shared" si="77"/>
        <v/>
      </c>
      <c r="O988" t="str">
        <f t="shared" si="78"/>
        <v/>
      </c>
    </row>
    <row r="989" spans="11:15" x14ac:dyDescent="0.3">
      <c r="K989" t="str">
        <f t="shared" si="79"/>
        <v/>
      </c>
      <c r="L989" t="str">
        <f t="shared" si="75"/>
        <v/>
      </c>
      <c r="M989" t="str">
        <f t="shared" si="76"/>
        <v/>
      </c>
      <c r="N989" t="str">
        <f t="shared" si="77"/>
        <v/>
      </c>
      <c r="O989" t="str">
        <f t="shared" si="78"/>
        <v/>
      </c>
    </row>
    <row r="990" spans="11:15" x14ac:dyDescent="0.3">
      <c r="K990" t="str">
        <f t="shared" si="79"/>
        <v/>
      </c>
      <c r="L990" t="str">
        <f t="shared" si="75"/>
        <v/>
      </c>
      <c r="M990" t="str">
        <f t="shared" si="76"/>
        <v/>
      </c>
      <c r="N990" t="str">
        <f t="shared" si="77"/>
        <v/>
      </c>
      <c r="O990" t="str">
        <f t="shared" si="78"/>
        <v/>
      </c>
    </row>
    <row r="991" spans="11:15" x14ac:dyDescent="0.3">
      <c r="K991" t="str">
        <f t="shared" si="79"/>
        <v/>
      </c>
      <c r="L991" t="str">
        <f t="shared" si="75"/>
        <v/>
      </c>
      <c r="M991" t="str">
        <f t="shared" si="76"/>
        <v/>
      </c>
      <c r="N991" t="str">
        <f t="shared" si="77"/>
        <v/>
      </c>
      <c r="O991" t="str">
        <f t="shared" si="78"/>
        <v/>
      </c>
    </row>
    <row r="992" spans="11:15" x14ac:dyDescent="0.3">
      <c r="K992" t="str">
        <f t="shared" si="79"/>
        <v/>
      </c>
      <c r="L992" t="str">
        <f t="shared" si="75"/>
        <v/>
      </c>
      <c r="M992" t="str">
        <f t="shared" si="76"/>
        <v/>
      </c>
      <c r="N992" t="str">
        <f t="shared" si="77"/>
        <v/>
      </c>
      <c r="O992" t="str">
        <f t="shared" si="78"/>
        <v/>
      </c>
    </row>
    <row r="993" spans="11:15" x14ac:dyDescent="0.3">
      <c r="K993" t="str">
        <f t="shared" si="79"/>
        <v/>
      </c>
      <c r="L993" t="str">
        <f t="shared" si="75"/>
        <v/>
      </c>
      <c r="M993" t="str">
        <f t="shared" si="76"/>
        <v/>
      </c>
      <c r="N993" t="str">
        <f t="shared" si="77"/>
        <v/>
      </c>
      <c r="O993" t="str">
        <f t="shared" si="78"/>
        <v/>
      </c>
    </row>
    <row r="994" spans="11:15" x14ac:dyDescent="0.3">
      <c r="K994" t="str">
        <f t="shared" si="79"/>
        <v/>
      </c>
      <c r="L994" t="str">
        <f t="shared" si="75"/>
        <v/>
      </c>
      <c r="M994" t="str">
        <f t="shared" si="76"/>
        <v/>
      </c>
      <c r="N994" t="str">
        <f t="shared" si="77"/>
        <v/>
      </c>
      <c r="O994" t="str">
        <f t="shared" si="78"/>
        <v/>
      </c>
    </row>
    <row r="995" spans="11:15" x14ac:dyDescent="0.3">
      <c r="K995" t="str">
        <f t="shared" si="79"/>
        <v/>
      </c>
      <c r="L995" t="str">
        <f t="shared" si="75"/>
        <v/>
      </c>
      <c r="M995" t="str">
        <f t="shared" si="76"/>
        <v/>
      </c>
      <c r="N995" t="str">
        <f t="shared" si="77"/>
        <v/>
      </c>
      <c r="O995" t="str">
        <f t="shared" si="78"/>
        <v/>
      </c>
    </row>
    <row r="996" spans="11:15" x14ac:dyDescent="0.3">
      <c r="K996" t="str">
        <f t="shared" si="79"/>
        <v/>
      </c>
      <c r="L996" t="str">
        <f t="shared" si="75"/>
        <v/>
      </c>
      <c r="M996" t="str">
        <f t="shared" si="76"/>
        <v/>
      </c>
      <c r="N996" t="str">
        <f t="shared" si="77"/>
        <v/>
      </c>
      <c r="O996" t="str">
        <f t="shared" si="78"/>
        <v/>
      </c>
    </row>
    <row r="997" spans="11:15" x14ac:dyDescent="0.3">
      <c r="K997" t="str">
        <f t="shared" si="79"/>
        <v/>
      </c>
      <c r="L997" t="str">
        <f t="shared" si="75"/>
        <v/>
      </c>
      <c r="M997" t="str">
        <f t="shared" si="76"/>
        <v/>
      </c>
      <c r="N997" t="str">
        <f t="shared" si="77"/>
        <v/>
      </c>
      <c r="O997" t="str">
        <f t="shared" si="78"/>
        <v/>
      </c>
    </row>
    <row r="998" spans="11:15" x14ac:dyDescent="0.3">
      <c r="K998" t="str">
        <f t="shared" si="79"/>
        <v/>
      </c>
      <c r="L998" t="str">
        <f t="shared" si="75"/>
        <v/>
      </c>
      <c r="M998" t="str">
        <f t="shared" si="76"/>
        <v/>
      </c>
      <c r="N998" t="str">
        <f t="shared" si="77"/>
        <v/>
      </c>
      <c r="O998" t="str">
        <f t="shared" si="78"/>
        <v/>
      </c>
    </row>
    <row r="999" spans="11:15" x14ac:dyDescent="0.3">
      <c r="K999" t="str">
        <f t="shared" si="79"/>
        <v/>
      </c>
      <c r="L999" t="str">
        <f t="shared" si="75"/>
        <v/>
      </c>
      <c r="M999" t="str">
        <f t="shared" si="76"/>
        <v/>
      </c>
      <c r="N999" t="str">
        <f t="shared" si="77"/>
        <v/>
      </c>
      <c r="O999" t="str">
        <f t="shared" si="78"/>
        <v/>
      </c>
    </row>
    <row r="1000" spans="11:15" x14ac:dyDescent="0.3">
      <c r="K1000" t="str">
        <f t="shared" si="79"/>
        <v/>
      </c>
      <c r="L1000" t="str">
        <f t="shared" si="75"/>
        <v/>
      </c>
      <c r="M1000" t="str">
        <f t="shared" si="76"/>
        <v/>
      </c>
      <c r="N1000" t="str">
        <f t="shared" si="77"/>
        <v/>
      </c>
      <c r="O1000" t="str">
        <f t="shared" si="78"/>
        <v/>
      </c>
    </row>
    <row r="1001" spans="11:15" x14ac:dyDescent="0.3">
      <c r="K1001" t="str">
        <f t="shared" si="79"/>
        <v/>
      </c>
      <c r="L1001" t="str">
        <f t="shared" si="75"/>
        <v/>
      </c>
      <c r="M1001" t="str">
        <f t="shared" si="76"/>
        <v/>
      </c>
      <c r="N1001" t="str">
        <f t="shared" si="77"/>
        <v/>
      </c>
      <c r="O1001" t="str">
        <f t="shared" si="78"/>
        <v/>
      </c>
    </row>
    <row r="1002" spans="11:15" x14ac:dyDescent="0.3">
      <c r="K1002" t="str">
        <f t="shared" si="79"/>
        <v/>
      </c>
      <c r="L1002" t="str">
        <f t="shared" si="75"/>
        <v/>
      </c>
      <c r="M1002" t="str">
        <f t="shared" si="76"/>
        <v/>
      </c>
      <c r="N1002" t="str">
        <f t="shared" si="77"/>
        <v/>
      </c>
      <c r="O1002" t="str">
        <f t="shared" si="78"/>
        <v/>
      </c>
    </row>
    <row r="1003" spans="11:15" x14ac:dyDescent="0.3">
      <c r="K1003" t="str">
        <f t="shared" si="79"/>
        <v/>
      </c>
      <c r="L1003" t="str">
        <f t="shared" si="75"/>
        <v/>
      </c>
      <c r="M1003" t="str">
        <f t="shared" si="76"/>
        <v/>
      </c>
      <c r="N1003" t="str">
        <f t="shared" si="77"/>
        <v/>
      </c>
      <c r="O1003" t="str">
        <f t="shared" si="78"/>
        <v/>
      </c>
    </row>
    <row r="1004" spans="11:15" x14ac:dyDescent="0.3">
      <c r="K1004" t="str">
        <f t="shared" si="79"/>
        <v/>
      </c>
      <c r="L1004" t="str">
        <f t="shared" si="75"/>
        <v/>
      </c>
      <c r="M1004" t="str">
        <f t="shared" si="76"/>
        <v/>
      </c>
      <c r="N1004" t="str">
        <f t="shared" si="77"/>
        <v/>
      </c>
      <c r="O1004" t="str">
        <f t="shared" si="78"/>
        <v/>
      </c>
    </row>
    <row r="1005" spans="11:15" x14ac:dyDescent="0.3">
      <c r="K1005" t="str">
        <f t="shared" si="79"/>
        <v/>
      </c>
      <c r="L1005" t="str">
        <f t="shared" si="75"/>
        <v/>
      </c>
      <c r="M1005" t="str">
        <f t="shared" si="76"/>
        <v/>
      </c>
      <c r="N1005" t="str">
        <f t="shared" si="77"/>
        <v/>
      </c>
      <c r="O1005" t="str">
        <f t="shared" si="78"/>
        <v/>
      </c>
    </row>
    <row r="1006" spans="11:15" x14ac:dyDescent="0.3">
      <c r="K1006" t="str">
        <f t="shared" si="79"/>
        <v/>
      </c>
      <c r="L1006" t="str">
        <f t="shared" si="75"/>
        <v/>
      </c>
      <c r="M1006" t="str">
        <f t="shared" si="76"/>
        <v/>
      </c>
      <c r="N1006" t="str">
        <f t="shared" si="77"/>
        <v/>
      </c>
      <c r="O1006" t="str">
        <f t="shared" si="78"/>
        <v/>
      </c>
    </row>
    <row r="1007" spans="11:15" x14ac:dyDescent="0.3">
      <c r="K1007" t="str">
        <f t="shared" si="79"/>
        <v/>
      </c>
      <c r="L1007" t="str">
        <f t="shared" si="75"/>
        <v/>
      </c>
      <c r="M1007" t="str">
        <f t="shared" si="76"/>
        <v/>
      </c>
      <c r="N1007" t="str">
        <f t="shared" si="77"/>
        <v/>
      </c>
      <c r="O1007" t="str">
        <f t="shared" si="78"/>
        <v/>
      </c>
    </row>
    <row r="1008" spans="11:15" x14ac:dyDescent="0.3">
      <c r="K1008" t="str">
        <f t="shared" si="79"/>
        <v/>
      </c>
      <c r="L1008" t="str">
        <f t="shared" si="75"/>
        <v/>
      </c>
      <c r="M1008" t="str">
        <f t="shared" si="76"/>
        <v/>
      </c>
      <c r="N1008" t="str">
        <f t="shared" si="77"/>
        <v/>
      </c>
      <c r="O1008" t="str">
        <f t="shared" si="78"/>
        <v/>
      </c>
    </row>
    <row r="1009" spans="11:15" x14ac:dyDescent="0.3">
      <c r="K1009" t="str">
        <f t="shared" si="79"/>
        <v/>
      </c>
      <c r="L1009" t="str">
        <f t="shared" si="75"/>
        <v/>
      </c>
      <c r="M1009" t="str">
        <f t="shared" si="76"/>
        <v/>
      </c>
      <c r="N1009" t="str">
        <f t="shared" si="77"/>
        <v/>
      </c>
      <c r="O1009" t="str">
        <f t="shared" si="78"/>
        <v/>
      </c>
    </row>
    <row r="1010" spans="11:15" x14ac:dyDescent="0.3">
      <c r="K1010" t="str">
        <f t="shared" si="79"/>
        <v/>
      </c>
      <c r="L1010" t="str">
        <f t="shared" si="75"/>
        <v/>
      </c>
      <c r="M1010" t="str">
        <f t="shared" si="76"/>
        <v/>
      </c>
      <c r="N1010" t="str">
        <f t="shared" si="77"/>
        <v/>
      </c>
      <c r="O1010" t="str">
        <f t="shared" si="78"/>
        <v/>
      </c>
    </row>
    <row r="1011" spans="11:15" x14ac:dyDescent="0.3">
      <c r="K1011" t="str">
        <f t="shared" si="79"/>
        <v/>
      </c>
      <c r="L1011" t="str">
        <f t="shared" si="75"/>
        <v/>
      </c>
      <c r="M1011" t="str">
        <f t="shared" si="76"/>
        <v/>
      </c>
      <c r="N1011" t="str">
        <f t="shared" si="77"/>
        <v/>
      </c>
      <c r="O1011" t="str">
        <f t="shared" si="78"/>
        <v/>
      </c>
    </row>
    <row r="1012" spans="11:15" x14ac:dyDescent="0.3">
      <c r="K1012" t="str">
        <f t="shared" si="79"/>
        <v/>
      </c>
      <c r="L1012" t="str">
        <f t="shared" si="75"/>
        <v/>
      </c>
      <c r="M1012" t="str">
        <f t="shared" si="76"/>
        <v/>
      </c>
      <c r="N1012" t="str">
        <f t="shared" si="77"/>
        <v/>
      </c>
      <c r="O1012" t="str">
        <f t="shared" si="78"/>
        <v/>
      </c>
    </row>
    <row r="1013" spans="11:15" x14ac:dyDescent="0.3">
      <c r="K1013" t="str">
        <f t="shared" si="79"/>
        <v/>
      </c>
      <c r="L1013" t="str">
        <f t="shared" si="75"/>
        <v/>
      </c>
      <c r="M1013" t="str">
        <f t="shared" si="76"/>
        <v/>
      </c>
      <c r="N1013" t="str">
        <f t="shared" si="77"/>
        <v/>
      </c>
      <c r="O1013" t="str">
        <f t="shared" si="78"/>
        <v/>
      </c>
    </row>
    <row r="1014" spans="11:15" x14ac:dyDescent="0.3">
      <c r="K1014" t="str">
        <f t="shared" si="79"/>
        <v/>
      </c>
      <c r="L1014" t="str">
        <f t="shared" si="75"/>
        <v/>
      </c>
      <c r="M1014" t="str">
        <f t="shared" si="76"/>
        <v/>
      </c>
      <c r="N1014" t="str">
        <f t="shared" si="77"/>
        <v/>
      </c>
      <c r="O1014" t="str">
        <f t="shared" si="78"/>
        <v/>
      </c>
    </row>
    <row r="1015" spans="11:15" x14ac:dyDescent="0.3">
      <c r="K1015" t="str">
        <f t="shared" si="79"/>
        <v/>
      </c>
      <c r="L1015" t="str">
        <f t="shared" si="75"/>
        <v/>
      </c>
      <c r="M1015" t="str">
        <f t="shared" si="76"/>
        <v/>
      </c>
      <c r="N1015" t="str">
        <f t="shared" si="77"/>
        <v/>
      </c>
      <c r="O1015" t="str">
        <f t="shared" si="78"/>
        <v/>
      </c>
    </row>
    <row r="1016" spans="11:15" x14ac:dyDescent="0.3">
      <c r="K1016" t="str">
        <f t="shared" si="79"/>
        <v/>
      </c>
      <c r="L1016" t="str">
        <f t="shared" si="75"/>
        <v/>
      </c>
      <c r="M1016" t="str">
        <f t="shared" si="76"/>
        <v/>
      </c>
      <c r="N1016" t="str">
        <f t="shared" si="77"/>
        <v/>
      </c>
      <c r="O1016" t="str">
        <f t="shared" si="78"/>
        <v/>
      </c>
    </row>
    <row r="1017" spans="11:15" x14ac:dyDescent="0.3">
      <c r="K1017" t="str">
        <f t="shared" si="79"/>
        <v/>
      </c>
      <c r="L1017" t="str">
        <f t="shared" si="75"/>
        <v/>
      </c>
      <c r="M1017" t="str">
        <f t="shared" si="76"/>
        <v/>
      </c>
      <c r="N1017" t="str">
        <f t="shared" si="77"/>
        <v/>
      </c>
      <c r="O1017" t="str">
        <f t="shared" si="78"/>
        <v/>
      </c>
    </row>
    <row r="1018" spans="11:15" x14ac:dyDescent="0.3">
      <c r="K1018" t="str">
        <f t="shared" si="79"/>
        <v/>
      </c>
      <c r="L1018" t="str">
        <f t="shared" si="75"/>
        <v/>
      </c>
      <c r="M1018" t="str">
        <f t="shared" si="76"/>
        <v/>
      </c>
      <c r="N1018" t="str">
        <f t="shared" si="77"/>
        <v/>
      </c>
      <c r="O1018" t="str">
        <f t="shared" si="78"/>
        <v/>
      </c>
    </row>
    <row r="1019" spans="11:15" x14ac:dyDescent="0.3">
      <c r="K1019" t="str">
        <f t="shared" si="79"/>
        <v/>
      </c>
      <c r="L1019" t="str">
        <f t="shared" si="75"/>
        <v/>
      </c>
      <c r="M1019" t="str">
        <f t="shared" si="76"/>
        <v/>
      </c>
      <c r="N1019" t="str">
        <f t="shared" si="77"/>
        <v/>
      </c>
      <c r="O1019" t="str">
        <f t="shared" si="78"/>
        <v/>
      </c>
    </row>
    <row r="1020" spans="11:15" x14ac:dyDescent="0.3">
      <c r="K1020" t="str">
        <f t="shared" si="79"/>
        <v/>
      </c>
      <c r="L1020" t="str">
        <f t="shared" si="75"/>
        <v/>
      </c>
      <c r="M1020" t="str">
        <f t="shared" si="76"/>
        <v/>
      </c>
      <c r="N1020" t="str">
        <f t="shared" si="77"/>
        <v/>
      </c>
      <c r="O1020" t="str">
        <f t="shared" si="78"/>
        <v/>
      </c>
    </row>
    <row r="1021" spans="11:15" x14ac:dyDescent="0.3">
      <c r="K1021" t="str">
        <f t="shared" si="79"/>
        <v/>
      </c>
      <c r="L1021" t="str">
        <f t="shared" si="75"/>
        <v/>
      </c>
      <c r="M1021" t="str">
        <f t="shared" si="76"/>
        <v/>
      </c>
      <c r="N1021" t="str">
        <f t="shared" si="77"/>
        <v/>
      </c>
      <c r="O1021" t="str">
        <f t="shared" si="78"/>
        <v/>
      </c>
    </row>
    <row r="1022" spans="11:15" x14ac:dyDescent="0.3">
      <c r="K1022" t="str">
        <f t="shared" si="79"/>
        <v/>
      </c>
      <c r="L1022" t="str">
        <f t="shared" si="75"/>
        <v/>
      </c>
      <c r="M1022" t="str">
        <f t="shared" si="76"/>
        <v/>
      </c>
      <c r="N1022" t="str">
        <f t="shared" si="77"/>
        <v/>
      </c>
      <c r="O1022" t="str">
        <f t="shared" si="78"/>
        <v/>
      </c>
    </row>
    <row r="1023" spans="11:15" x14ac:dyDescent="0.3">
      <c r="K1023" t="str">
        <f t="shared" si="79"/>
        <v/>
      </c>
      <c r="L1023" t="str">
        <f t="shared" si="75"/>
        <v/>
      </c>
      <c r="M1023" t="str">
        <f t="shared" si="76"/>
        <v/>
      </c>
      <c r="N1023" t="str">
        <f t="shared" si="77"/>
        <v/>
      </c>
      <c r="O1023" t="str">
        <f t="shared" si="78"/>
        <v/>
      </c>
    </row>
    <row r="1024" spans="11:15" x14ac:dyDescent="0.3">
      <c r="K1024" t="str">
        <f t="shared" si="79"/>
        <v/>
      </c>
      <c r="L1024" t="str">
        <f t="shared" si="75"/>
        <v/>
      </c>
      <c r="M1024" t="str">
        <f t="shared" si="76"/>
        <v/>
      </c>
      <c r="N1024" t="str">
        <f t="shared" si="77"/>
        <v/>
      </c>
      <c r="O1024" t="str">
        <f t="shared" si="78"/>
        <v/>
      </c>
    </row>
    <row r="1025" spans="11:15" x14ac:dyDescent="0.3">
      <c r="K1025" t="str">
        <f t="shared" si="79"/>
        <v/>
      </c>
      <c r="L1025" t="str">
        <f t="shared" ref="L1025:L1088" si="80">IF(A1025="","",IF(ISNUMBER(--LEFT(A1025,FIND(" - ",A1025&amp;" - ")-1)),LEFT(A1025,FIND(" - ",A1025&amp;" - ")-1),TRIM(A1025)))</f>
        <v/>
      </c>
      <c r="M1025" t="str">
        <f t="shared" ref="M1025:M1088" si="81">IF(OR(K1025="",K1025=A1025,A1025=""),"",K1025&amp;"|"&amp;L1025)</f>
        <v/>
      </c>
      <c r="N1025" t="str">
        <f t="shared" ref="N1025:N1088" si="82">IF(M1025="","",IF(ISNUMBER(B1025),B1025,IFERROR(_xlfn.NUMBERVALUE(B1025,".",","),0)))</f>
        <v/>
      </c>
      <c r="O1025" t="str">
        <f t="shared" ref="O1025:O1088" si="83">IF(M1025="","",IF(ISNUMBER(C1025),C1025,IFERROR(_xlfn.NUMBERVALUE(C1025,".",","),0)))</f>
        <v/>
      </c>
    </row>
    <row r="1026" spans="11:15" x14ac:dyDescent="0.3">
      <c r="K1026" t="str">
        <f t="shared" ref="K1026:K1089" si="84">IF(OR(LEFT(B1026,9)="DOANH THU",LEFT(B1026,8)="SỐ LƯỢNG"),A1026,K1025)</f>
        <v/>
      </c>
      <c r="L1026" t="str">
        <f t="shared" si="80"/>
        <v/>
      </c>
      <c r="M1026" t="str">
        <f t="shared" si="81"/>
        <v/>
      </c>
      <c r="N1026" t="str">
        <f t="shared" si="82"/>
        <v/>
      </c>
      <c r="O1026" t="str">
        <f t="shared" si="83"/>
        <v/>
      </c>
    </row>
    <row r="1027" spans="11:15" x14ac:dyDescent="0.3">
      <c r="K1027" t="str">
        <f t="shared" si="84"/>
        <v/>
      </c>
      <c r="L1027" t="str">
        <f t="shared" si="80"/>
        <v/>
      </c>
      <c r="M1027" t="str">
        <f t="shared" si="81"/>
        <v/>
      </c>
      <c r="N1027" t="str">
        <f t="shared" si="82"/>
        <v/>
      </c>
      <c r="O1027" t="str">
        <f t="shared" si="83"/>
        <v/>
      </c>
    </row>
    <row r="1028" spans="11:15" x14ac:dyDescent="0.3">
      <c r="K1028" t="str">
        <f t="shared" si="84"/>
        <v/>
      </c>
      <c r="L1028" t="str">
        <f t="shared" si="80"/>
        <v/>
      </c>
      <c r="M1028" t="str">
        <f t="shared" si="81"/>
        <v/>
      </c>
      <c r="N1028" t="str">
        <f t="shared" si="82"/>
        <v/>
      </c>
      <c r="O1028" t="str">
        <f t="shared" si="83"/>
        <v/>
      </c>
    </row>
    <row r="1029" spans="11:15" x14ac:dyDescent="0.3">
      <c r="K1029" t="str">
        <f t="shared" si="84"/>
        <v/>
      </c>
      <c r="L1029" t="str">
        <f t="shared" si="80"/>
        <v/>
      </c>
      <c r="M1029" t="str">
        <f t="shared" si="81"/>
        <v/>
      </c>
      <c r="N1029" t="str">
        <f t="shared" si="82"/>
        <v/>
      </c>
      <c r="O1029" t="str">
        <f t="shared" si="83"/>
        <v/>
      </c>
    </row>
    <row r="1030" spans="11:15" x14ac:dyDescent="0.3">
      <c r="K1030" t="str">
        <f t="shared" si="84"/>
        <v/>
      </c>
      <c r="L1030" t="str">
        <f t="shared" si="80"/>
        <v/>
      </c>
      <c r="M1030" t="str">
        <f t="shared" si="81"/>
        <v/>
      </c>
      <c r="N1030" t="str">
        <f t="shared" si="82"/>
        <v/>
      </c>
      <c r="O1030" t="str">
        <f t="shared" si="83"/>
        <v/>
      </c>
    </row>
    <row r="1031" spans="11:15" x14ac:dyDescent="0.3">
      <c r="K1031" t="str">
        <f t="shared" si="84"/>
        <v/>
      </c>
      <c r="L1031" t="str">
        <f t="shared" si="80"/>
        <v/>
      </c>
      <c r="M1031" t="str">
        <f t="shared" si="81"/>
        <v/>
      </c>
      <c r="N1031" t="str">
        <f t="shared" si="82"/>
        <v/>
      </c>
      <c r="O1031" t="str">
        <f t="shared" si="83"/>
        <v/>
      </c>
    </row>
    <row r="1032" spans="11:15" x14ac:dyDescent="0.3">
      <c r="K1032" t="str">
        <f t="shared" si="84"/>
        <v/>
      </c>
      <c r="L1032" t="str">
        <f t="shared" si="80"/>
        <v/>
      </c>
      <c r="M1032" t="str">
        <f t="shared" si="81"/>
        <v/>
      </c>
      <c r="N1032" t="str">
        <f t="shared" si="82"/>
        <v/>
      </c>
      <c r="O1032" t="str">
        <f t="shared" si="83"/>
        <v/>
      </c>
    </row>
    <row r="1033" spans="11:15" x14ac:dyDescent="0.3">
      <c r="K1033" t="str">
        <f t="shared" si="84"/>
        <v/>
      </c>
      <c r="L1033" t="str">
        <f t="shared" si="80"/>
        <v/>
      </c>
      <c r="M1033" t="str">
        <f t="shared" si="81"/>
        <v/>
      </c>
      <c r="N1033" t="str">
        <f t="shared" si="82"/>
        <v/>
      </c>
      <c r="O1033" t="str">
        <f t="shared" si="83"/>
        <v/>
      </c>
    </row>
    <row r="1034" spans="11:15" x14ac:dyDescent="0.3">
      <c r="K1034" t="str">
        <f t="shared" si="84"/>
        <v/>
      </c>
      <c r="L1034" t="str">
        <f t="shared" si="80"/>
        <v/>
      </c>
      <c r="M1034" t="str">
        <f t="shared" si="81"/>
        <v/>
      </c>
      <c r="N1034" t="str">
        <f t="shared" si="82"/>
        <v/>
      </c>
      <c r="O1034" t="str">
        <f t="shared" si="83"/>
        <v/>
      </c>
    </row>
    <row r="1035" spans="11:15" x14ac:dyDescent="0.3">
      <c r="K1035" t="str">
        <f t="shared" si="84"/>
        <v/>
      </c>
      <c r="L1035" t="str">
        <f t="shared" si="80"/>
        <v/>
      </c>
      <c r="M1035" t="str">
        <f t="shared" si="81"/>
        <v/>
      </c>
      <c r="N1035" t="str">
        <f t="shared" si="82"/>
        <v/>
      </c>
      <c r="O1035" t="str">
        <f t="shared" si="83"/>
        <v/>
      </c>
    </row>
    <row r="1036" spans="11:15" x14ac:dyDescent="0.3">
      <c r="K1036" t="str">
        <f t="shared" si="84"/>
        <v/>
      </c>
      <c r="L1036" t="str">
        <f t="shared" si="80"/>
        <v/>
      </c>
      <c r="M1036" t="str">
        <f t="shared" si="81"/>
        <v/>
      </c>
      <c r="N1036" t="str">
        <f t="shared" si="82"/>
        <v/>
      </c>
      <c r="O1036" t="str">
        <f t="shared" si="83"/>
        <v/>
      </c>
    </row>
    <row r="1037" spans="11:15" x14ac:dyDescent="0.3">
      <c r="K1037" t="str">
        <f t="shared" si="84"/>
        <v/>
      </c>
      <c r="L1037" t="str">
        <f t="shared" si="80"/>
        <v/>
      </c>
      <c r="M1037" t="str">
        <f t="shared" si="81"/>
        <v/>
      </c>
      <c r="N1037" t="str">
        <f t="shared" si="82"/>
        <v/>
      </c>
      <c r="O1037" t="str">
        <f t="shared" si="83"/>
        <v/>
      </c>
    </row>
    <row r="1038" spans="11:15" x14ac:dyDescent="0.3">
      <c r="K1038" t="str">
        <f t="shared" si="84"/>
        <v/>
      </c>
      <c r="L1038" t="str">
        <f t="shared" si="80"/>
        <v/>
      </c>
      <c r="M1038" t="str">
        <f t="shared" si="81"/>
        <v/>
      </c>
      <c r="N1038" t="str">
        <f t="shared" si="82"/>
        <v/>
      </c>
      <c r="O1038" t="str">
        <f t="shared" si="83"/>
        <v/>
      </c>
    </row>
    <row r="1039" spans="11:15" x14ac:dyDescent="0.3">
      <c r="K1039" t="str">
        <f t="shared" si="84"/>
        <v/>
      </c>
      <c r="L1039" t="str">
        <f t="shared" si="80"/>
        <v/>
      </c>
      <c r="M1039" t="str">
        <f t="shared" si="81"/>
        <v/>
      </c>
      <c r="N1039" t="str">
        <f t="shared" si="82"/>
        <v/>
      </c>
      <c r="O1039" t="str">
        <f t="shared" si="83"/>
        <v/>
      </c>
    </row>
    <row r="1040" spans="11:15" x14ac:dyDescent="0.3">
      <c r="K1040" t="str">
        <f t="shared" si="84"/>
        <v/>
      </c>
      <c r="L1040" t="str">
        <f t="shared" si="80"/>
        <v/>
      </c>
      <c r="M1040" t="str">
        <f t="shared" si="81"/>
        <v/>
      </c>
      <c r="N1040" t="str">
        <f t="shared" si="82"/>
        <v/>
      </c>
      <c r="O1040" t="str">
        <f t="shared" si="83"/>
        <v/>
      </c>
    </row>
    <row r="1041" spans="11:15" x14ac:dyDescent="0.3">
      <c r="K1041" t="str">
        <f t="shared" si="84"/>
        <v/>
      </c>
      <c r="L1041" t="str">
        <f t="shared" si="80"/>
        <v/>
      </c>
      <c r="M1041" t="str">
        <f t="shared" si="81"/>
        <v/>
      </c>
      <c r="N1041" t="str">
        <f t="shared" si="82"/>
        <v/>
      </c>
      <c r="O1041" t="str">
        <f t="shared" si="83"/>
        <v/>
      </c>
    </row>
    <row r="1042" spans="11:15" x14ac:dyDescent="0.3">
      <c r="K1042" t="str">
        <f t="shared" si="84"/>
        <v/>
      </c>
      <c r="L1042" t="str">
        <f t="shared" si="80"/>
        <v/>
      </c>
      <c r="M1042" t="str">
        <f t="shared" si="81"/>
        <v/>
      </c>
      <c r="N1042" t="str">
        <f t="shared" si="82"/>
        <v/>
      </c>
      <c r="O1042" t="str">
        <f t="shared" si="83"/>
        <v/>
      </c>
    </row>
    <row r="1043" spans="11:15" x14ac:dyDescent="0.3">
      <c r="K1043" t="str">
        <f t="shared" si="84"/>
        <v/>
      </c>
      <c r="L1043" t="str">
        <f t="shared" si="80"/>
        <v/>
      </c>
      <c r="M1043" t="str">
        <f t="shared" si="81"/>
        <v/>
      </c>
      <c r="N1043" t="str">
        <f t="shared" si="82"/>
        <v/>
      </c>
      <c r="O1043" t="str">
        <f t="shared" si="83"/>
        <v/>
      </c>
    </row>
    <row r="1044" spans="11:15" x14ac:dyDescent="0.3">
      <c r="K1044" t="str">
        <f t="shared" si="84"/>
        <v/>
      </c>
      <c r="L1044" t="str">
        <f t="shared" si="80"/>
        <v/>
      </c>
      <c r="M1044" t="str">
        <f t="shared" si="81"/>
        <v/>
      </c>
      <c r="N1044" t="str">
        <f t="shared" si="82"/>
        <v/>
      </c>
      <c r="O1044" t="str">
        <f t="shared" si="83"/>
        <v/>
      </c>
    </row>
    <row r="1045" spans="11:15" x14ac:dyDescent="0.3">
      <c r="K1045" t="str">
        <f t="shared" si="84"/>
        <v/>
      </c>
      <c r="L1045" t="str">
        <f t="shared" si="80"/>
        <v/>
      </c>
      <c r="M1045" t="str">
        <f t="shared" si="81"/>
        <v/>
      </c>
      <c r="N1045" t="str">
        <f t="shared" si="82"/>
        <v/>
      </c>
      <c r="O1045" t="str">
        <f t="shared" si="83"/>
        <v/>
      </c>
    </row>
    <row r="1046" spans="11:15" x14ac:dyDescent="0.3">
      <c r="K1046" t="str">
        <f t="shared" si="84"/>
        <v/>
      </c>
      <c r="L1046" t="str">
        <f t="shared" si="80"/>
        <v/>
      </c>
      <c r="M1046" t="str">
        <f t="shared" si="81"/>
        <v/>
      </c>
      <c r="N1046" t="str">
        <f t="shared" si="82"/>
        <v/>
      </c>
      <c r="O1046" t="str">
        <f t="shared" si="83"/>
        <v/>
      </c>
    </row>
    <row r="1047" spans="11:15" x14ac:dyDescent="0.3">
      <c r="K1047" t="str">
        <f t="shared" si="84"/>
        <v/>
      </c>
      <c r="L1047" t="str">
        <f t="shared" si="80"/>
        <v/>
      </c>
      <c r="M1047" t="str">
        <f t="shared" si="81"/>
        <v/>
      </c>
      <c r="N1047" t="str">
        <f t="shared" si="82"/>
        <v/>
      </c>
      <c r="O1047" t="str">
        <f t="shared" si="83"/>
        <v/>
      </c>
    </row>
    <row r="1048" spans="11:15" x14ac:dyDescent="0.3">
      <c r="K1048" t="str">
        <f t="shared" si="84"/>
        <v/>
      </c>
      <c r="L1048" t="str">
        <f t="shared" si="80"/>
        <v/>
      </c>
      <c r="M1048" t="str">
        <f t="shared" si="81"/>
        <v/>
      </c>
      <c r="N1048" t="str">
        <f t="shared" si="82"/>
        <v/>
      </c>
      <c r="O1048" t="str">
        <f t="shared" si="83"/>
        <v/>
      </c>
    </row>
    <row r="1049" spans="11:15" x14ac:dyDescent="0.3">
      <c r="K1049" t="str">
        <f t="shared" si="84"/>
        <v/>
      </c>
      <c r="L1049" t="str">
        <f t="shared" si="80"/>
        <v/>
      </c>
      <c r="M1049" t="str">
        <f t="shared" si="81"/>
        <v/>
      </c>
      <c r="N1049" t="str">
        <f t="shared" si="82"/>
        <v/>
      </c>
      <c r="O1049" t="str">
        <f t="shared" si="83"/>
        <v/>
      </c>
    </row>
    <row r="1050" spans="11:15" x14ac:dyDescent="0.3">
      <c r="K1050" t="str">
        <f t="shared" si="84"/>
        <v/>
      </c>
      <c r="L1050" t="str">
        <f t="shared" si="80"/>
        <v/>
      </c>
      <c r="M1050" t="str">
        <f t="shared" si="81"/>
        <v/>
      </c>
      <c r="N1050" t="str">
        <f t="shared" si="82"/>
        <v/>
      </c>
      <c r="O1050" t="str">
        <f t="shared" si="83"/>
        <v/>
      </c>
    </row>
    <row r="1051" spans="11:15" x14ac:dyDescent="0.3">
      <c r="K1051" t="str">
        <f t="shared" si="84"/>
        <v/>
      </c>
      <c r="L1051" t="str">
        <f t="shared" si="80"/>
        <v/>
      </c>
      <c r="M1051" t="str">
        <f t="shared" si="81"/>
        <v/>
      </c>
      <c r="N1051" t="str">
        <f t="shared" si="82"/>
        <v/>
      </c>
      <c r="O1051" t="str">
        <f t="shared" si="83"/>
        <v/>
      </c>
    </row>
    <row r="1052" spans="11:15" x14ac:dyDescent="0.3">
      <c r="K1052" t="str">
        <f t="shared" si="84"/>
        <v/>
      </c>
      <c r="L1052" t="str">
        <f t="shared" si="80"/>
        <v/>
      </c>
      <c r="M1052" t="str">
        <f t="shared" si="81"/>
        <v/>
      </c>
      <c r="N1052" t="str">
        <f t="shared" si="82"/>
        <v/>
      </c>
      <c r="O1052" t="str">
        <f t="shared" si="83"/>
        <v/>
      </c>
    </row>
    <row r="1053" spans="11:15" x14ac:dyDescent="0.3">
      <c r="K1053" t="str">
        <f t="shared" si="84"/>
        <v/>
      </c>
      <c r="L1053" t="str">
        <f t="shared" si="80"/>
        <v/>
      </c>
      <c r="M1053" t="str">
        <f t="shared" si="81"/>
        <v/>
      </c>
      <c r="N1053" t="str">
        <f t="shared" si="82"/>
        <v/>
      </c>
      <c r="O1053" t="str">
        <f t="shared" si="83"/>
        <v/>
      </c>
    </row>
    <row r="1054" spans="11:15" x14ac:dyDescent="0.3">
      <c r="K1054" t="str">
        <f t="shared" si="84"/>
        <v/>
      </c>
      <c r="L1054" t="str">
        <f t="shared" si="80"/>
        <v/>
      </c>
      <c r="M1054" t="str">
        <f t="shared" si="81"/>
        <v/>
      </c>
      <c r="N1054" t="str">
        <f t="shared" si="82"/>
        <v/>
      </c>
      <c r="O1054" t="str">
        <f t="shared" si="83"/>
        <v/>
      </c>
    </row>
    <row r="1055" spans="11:15" x14ac:dyDescent="0.3">
      <c r="K1055" t="str">
        <f t="shared" si="84"/>
        <v/>
      </c>
      <c r="L1055" t="str">
        <f t="shared" si="80"/>
        <v/>
      </c>
      <c r="M1055" t="str">
        <f t="shared" si="81"/>
        <v/>
      </c>
      <c r="N1055" t="str">
        <f t="shared" si="82"/>
        <v/>
      </c>
      <c r="O1055" t="str">
        <f t="shared" si="83"/>
        <v/>
      </c>
    </row>
    <row r="1056" spans="11:15" x14ac:dyDescent="0.3">
      <c r="K1056" t="str">
        <f t="shared" si="84"/>
        <v/>
      </c>
      <c r="L1056" t="str">
        <f t="shared" si="80"/>
        <v/>
      </c>
      <c r="M1056" t="str">
        <f t="shared" si="81"/>
        <v/>
      </c>
      <c r="N1056" t="str">
        <f t="shared" si="82"/>
        <v/>
      </c>
      <c r="O1056" t="str">
        <f t="shared" si="83"/>
        <v/>
      </c>
    </row>
    <row r="1057" spans="11:15" x14ac:dyDescent="0.3">
      <c r="K1057" t="str">
        <f t="shared" si="84"/>
        <v/>
      </c>
      <c r="L1057" t="str">
        <f t="shared" si="80"/>
        <v/>
      </c>
      <c r="M1057" t="str">
        <f t="shared" si="81"/>
        <v/>
      </c>
      <c r="N1057" t="str">
        <f t="shared" si="82"/>
        <v/>
      </c>
      <c r="O1057" t="str">
        <f t="shared" si="83"/>
        <v/>
      </c>
    </row>
    <row r="1058" spans="11:15" x14ac:dyDescent="0.3">
      <c r="K1058" t="str">
        <f t="shared" si="84"/>
        <v/>
      </c>
      <c r="L1058" t="str">
        <f t="shared" si="80"/>
        <v/>
      </c>
      <c r="M1058" t="str">
        <f t="shared" si="81"/>
        <v/>
      </c>
      <c r="N1058" t="str">
        <f t="shared" si="82"/>
        <v/>
      </c>
      <c r="O1058" t="str">
        <f t="shared" si="83"/>
        <v/>
      </c>
    </row>
    <row r="1059" spans="11:15" x14ac:dyDescent="0.3">
      <c r="K1059" t="str">
        <f t="shared" si="84"/>
        <v/>
      </c>
      <c r="L1059" t="str">
        <f t="shared" si="80"/>
        <v/>
      </c>
      <c r="M1059" t="str">
        <f t="shared" si="81"/>
        <v/>
      </c>
      <c r="N1059" t="str">
        <f t="shared" si="82"/>
        <v/>
      </c>
      <c r="O1059" t="str">
        <f t="shared" si="83"/>
        <v/>
      </c>
    </row>
    <row r="1060" spans="11:15" x14ac:dyDescent="0.3">
      <c r="K1060" t="str">
        <f t="shared" si="84"/>
        <v/>
      </c>
      <c r="L1060" t="str">
        <f t="shared" si="80"/>
        <v/>
      </c>
      <c r="M1060" t="str">
        <f t="shared" si="81"/>
        <v/>
      </c>
      <c r="N1060" t="str">
        <f t="shared" si="82"/>
        <v/>
      </c>
      <c r="O1060" t="str">
        <f t="shared" si="83"/>
        <v/>
      </c>
    </row>
    <row r="1061" spans="11:15" x14ac:dyDescent="0.3">
      <c r="K1061" t="str">
        <f t="shared" si="84"/>
        <v/>
      </c>
      <c r="L1061" t="str">
        <f t="shared" si="80"/>
        <v/>
      </c>
      <c r="M1061" t="str">
        <f t="shared" si="81"/>
        <v/>
      </c>
      <c r="N1061" t="str">
        <f t="shared" si="82"/>
        <v/>
      </c>
      <c r="O1061" t="str">
        <f t="shared" si="83"/>
        <v/>
      </c>
    </row>
    <row r="1062" spans="11:15" x14ac:dyDescent="0.3">
      <c r="K1062" t="str">
        <f t="shared" si="84"/>
        <v/>
      </c>
      <c r="L1062" t="str">
        <f t="shared" si="80"/>
        <v/>
      </c>
      <c r="M1062" t="str">
        <f t="shared" si="81"/>
        <v/>
      </c>
      <c r="N1062" t="str">
        <f t="shared" si="82"/>
        <v/>
      </c>
      <c r="O1062" t="str">
        <f t="shared" si="83"/>
        <v/>
      </c>
    </row>
    <row r="1063" spans="11:15" x14ac:dyDescent="0.3">
      <c r="K1063" t="str">
        <f t="shared" si="84"/>
        <v/>
      </c>
      <c r="L1063" t="str">
        <f t="shared" si="80"/>
        <v/>
      </c>
      <c r="M1063" t="str">
        <f t="shared" si="81"/>
        <v/>
      </c>
      <c r="N1063" t="str">
        <f t="shared" si="82"/>
        <v/>
      </c>
      <c r="O1063" t="str">
        <f t="shared" si="83"/>
        <v/>
      </c>
    </row>
    <row r="1064" spans="11:15" x14ac:dyDescent="0.3">
      <c r="K1064" t="str">
        <f t="shared" si="84"/>
        <v/>
      </c>
      <c r="L1064" t="str">
        <f t="shared" si="80"/>
        <v/>
      </c>
      <c r="M1064" t="str">
        <f t="shared" si="81"/>
        <v/>
      </c>
      <c r="N1064" t="str">
        <f t="shared" si="82"/>
        <v/>
      </c>
      <c r="O1064" t="str">
        <f t="shared" si="83"/>
        <v/>
      </c>
    </row>
    <row r="1065" spans="11:15" x14ac:dyDescent="0.3">
      <c r="K1065" t="str">
        <f t="shared" si="84"/>
        <v/>
      </c>
      <c r="L1065" t="str">
        <f t="shared" si="80"/>
        <v/>
      </c>
      <c r="M1065" t="str">
        <f t="shared" si="81"/>
        <v/>
      </c>
      <c r="N1065" t="str">
        <f t="shared" si="82"/>
        <v/>
      </c>
      <c r="O1065" t="str">
        <f t="shared" si="83"/>
        <v/>
      </c>
    </row>
    <row r="1066" spans="11:15" x14ac:dyDescent="0.3">
      <c r="K1066" t="str">
        <f t="shared" si="84"/>
        <v/>
      </c>
      <c r="L1066" t="str">
        <f t="shared" si="80"/>
        <v/>
      </c>
      <c r="M1066" t="str">
        <f t="shared" si="81"/>
        <v/>
      </c>
      <c r="N1066" t="str">
        <f t="shared" si="82"/>
        <v/>
      </c>
      <c r="O1066" t="str">
        <f t="shared" si="83"/>
        <v/>
      </c>
    </row>
    <row r="1067" spans="11:15" x14ac:dyDescent="0.3">
      <c r="K1067" t="str">
        <f t="shared" si="84"/>
        <v/>
      </c>
      <c r="L1067" t="str">
        <f t="shared" si="80"/>
        <v/>
      </c>
      <c r="M1067" t="str">
        <f t="shared" si="81"/>
        <v/>
      </c>
      <c r="N1067" t="str">
        <f t="shared" si="82"/>
        <v/>
      </c>
      <c r="O1067" t="str">
        <f t="shared" si="83"/>
        <v/>
      </c>
    </row>
    <row r="1068" spans="11:15" x14ac:dyDescent="0.3">
      <c r="K1068" t="str">
        <f t="shared" si="84"/>
        <v/>
      </c>
      <c r="L1068" t="str">
        <f t="shared" si="80"/>
        <v/>
      </c>
      <c r="M1068" t="str">
        <f t="shared" si="81"/>
        <v/>
      </c>
      <c r="N1068" t="str">
        <f t="shared" si="82"/>
        <v/>
      </c>
      <c r="O1068" t="str">
        <f t="shared" si="83"/>
        <v/>
      </c>
    </row>
    <row r="1069" spans="11:15" x14ac:dyDescent="0.3">
      <c r="K1069" t="str">
        <f t="shared" si="84"/>
        <v/>
      </c>
      <c r="L1069" t="str">
        <f t="shared" si="80"/>
        <v/>
      </c>
      <c r="M1069" t="str">
        <f t="shared" si="81"/>
        <v/>
      </c>
      <c r="N1069" t="str">
        <f t="shared" si="82"/>
        <v/>
      </c>
      <c r="O1069" t="str">
        <f t="shared" si="83"/>
        <v/>
      </c>
    </row>
    <row r="1070" spans="11:15" x14ac:dyDescent="0.3">
      <c r="K1070" t="str">
        <f t="shared" si="84"/>
        <v/>
      </c>
      <c r="L1070" t="str">
        <f t="shared" si="80"/>
        <v/>
      </c>
      <c r="M1070" t="str">
        <f t="shared" si="81"/>
        <v/>
      </c>
      <c r="N1070" t="str">
        <f t="shared" si="82"/>
        <v/>
      </c>
      <c r="O1070" t="str">
        <f t="shared" si="83"/>
        <v/>
      </c>
    </row>
    <row r="1071" spans="11:15" x14ac:dyDescent="0.3">
      <c r="K1071" t="str">
        <f t="shared" si="84"/>
        <v/>
      </c>
      <c r="L1071" t="str">
        <f t="shared" si="80"/>
        <v/>
      </c>
      <c r="M1071" t="str">
        <f t="shared" si="81"/>
        <v/>
      </c>
      <c r="N1071" t="str">
        <f t="shared" si="82"/>
        <v/>
      </c>
      <c r="O1071" t="str">
        <f t="shared" si="83"/>
        <v/>
      </c>
    </row>
    <row r="1072" spans="11:15" x14ac:dyDescent="0.3">
      <c r="K1072" t="str">
        <f t="shared" si="84"/>
        <v/>
      </c>
      <c r="L1072" t="str">
        <f t="shared" si="80"/>
        <v/>
      </c>
      <c r="M1072" t="str">
        <f t="shared" si="81"/>
        <v/>
      </c>
      <c r="N1072" t="str">
        <f t="shared" si="82"/>
        <v/>
      </c>
      <c r="O1072" t="str">
        <f t="shared" si="83"/>
        <v/>
      </c>
    </row>
    <row r="1073" spans="11:15" x14ac:dyDescent="0.3">
      <c r="K1073" t="str">
        <f t="shared" si="84"/>
        <v/>
      </c>
      <c r="L1073" t="str">
        <f t="shared" si="80"/>
        <v/>
      </c>
      <c r="M1073" t="str">
        <f t="shared" si="81"/>
        <v/>
      </c>
      <c r="N1073" t="str">
        <f t="shared" si="82"/>
        <v/>
      </c>
      <c r="O1073" t="str">
        <f t="shared" si="83"/>
        <v/>
      </c>
    </row>
    <row r="1074" spans="11:15" x14ac:dyDescent="0.3">
      <c r="K1074" t="str">
        <f t="shared" si="84"/>
        <v/>
      </c>
      <c r="L1074" t="str">
        <f t="shared" si="80"/>
        <v/>
      </c>
      <c r="M1074" t="str">
        <f t="shared" si="81"/>
        <v/>
      </c>
      <c r="N1074" t="str">
        <f t="shared" si="82"/>
        <v/>
      </c>
      <c r="O1074" t="str">
        <f t="shared" si="83"/>
        <v/>
      </c>
    </row>
    <row r="1075" spans="11:15" x14ac:dyDescent="0.3">
      <c r="K1075" t="str">
        <f t="shared" si="84"/>
        <v/>
      </c>
      <c r="L1075" t="str">
        <f t="shared" si="80"/>
        <v/>
      </c>
      <c r="M1075" t="str">
        <f t="shared" si="81"/>
        <v/>
      </c>
      <c r="N1075" t="str">
        <f t="shared" si="82"/>
        <v/>
      </c>
      <c r="O1075" t="str">
        <f t="shared" si="83"/>
        <v/>
      </c>
    </row>
    <row r="1076" spans="11:15" x14ac:dyDescent="0.3">
      <c r="K1076" t="str">
        <f t="shared" si="84"/>
        <v/>
      </c>
      <c r="L1076" t="str">
        <f t="shared" si="80"/>
        <v/>
      </c>
      <c r="M1076" t="str">
        <f t="shared" si="81"/>
        <v/>
      </c>
      <c r="N1076" t="str">
        <f t="shared" si="82"/>
        <v/>
      </c>
      <c r="O1076" t="str">
        <f t="shared" si="83"/>
        <v/>
      </c>
    </row>
    <row r="1077" spans="11:15" x14ac:dyDescent="0.3">
      <c r="K1077" t="str">
        <f t="shared" si="84"/>
        <v/>
      </c>
      <c r="L1077" t="str">
        <f t="shared" si="80"/>
        <v/>
      </c>
      <c r="M1077" t="str">
        <f t="shared" si="81"/>
        <v/>
      </c>
      <c r="N1077" t="str">
        <f t="shared" si="82"/>
        <v/>
      </c>
      <c r="O1077" t="str">
        <f t="shared" si="83"/>
        <v/>
      </c>
    </row>
    <row r="1078" spans="11:15" x14ac:dyDescent="0.3">
      <c r="K1078" t="str">
        <f t="shared" si="84"/>
        <v/>
      </c>
      <c r="L1078" t="str">
        <f t="shared" si="80"/>
        <v/>
      </c>
      <c r="M1078" t="str">
        <f t="shared" si="81"/>
        <v/>
      </c>
      <c r="N1078" t="str">
        <f t="shared" si="82"/>
        <v/>
      </c>
      <c r="O1078" t="str">
        <f t="shared" si="83"/>
        <v/>
      </c>
    </row>
    <row r="1079" spans="11:15" x14ac:dyDescent="0.3">
      <c r="K1079" t="str">
        <f t="shared" si="84"/>
        <v/>
      </c>
      <c r="L1079" t="str">
        <f t="shared" si="80"/>
        <v/>
      </c>
      <c r="M1079" t="str">
        <f t="shared" si="81"/>
        <v/>
      </c>
      <c r="N1079" t="str">
        <f t="shared" si="82"/>
        <v/>
      </c>
      <c r="O1079" t="str">
        <f t="shared" si="83"/>
        <v/>
      </c>
    </row>
    <row r="1080" spans="11:15" x14ac:dyDescent="0.3">
      <c r="K1080" t="str">
        <f t="shared" si="84"/>
        <v/>
      </c>
      <c r="L1080" t="str">
        <f t="shared" si="80"/>
        <v/>
      </c>
      <c r="M1080" t="str">
        <f t="shared" si="81"/>
        <v/>
      </c>
      <c r="N1080" t="str">
        <f t="shared" si="82"/>
        <v/>
      </c>
      <c r="O1080" t="str">
        <f t="shared" si="83"/>
        <v/>
      </c>
    </row>
    <row r="1081" spans="11:15" x14ac:dyDescent="0.3">
      <c r="K1081" t="str">
        <f t="shared" si="84"/>
        <v/>
      </c>
      <c r="L1081" t="str">
        <f t="shared" si="80"/>
        <v/>
      </c>
      <c r="M1081" t="str">
        <f t="shared" si="81"/>
        <v/>
      </c>
      <c r="N1081" t="str">
        <f t="shared" si="82"/>
        <v/>
      </c>
      <c r="O1081" t="str">
        <f t="shared" si="83"/>
        <v/>
      </c>
    </row>
    <row r="1082" spans="11:15" x14ac:dyDescent="0.3">
      <c r="K1082" t="str">
        <f t="shared" si="84"/>
        <v/>
      </c>
      <c r="L1082" t="str">
        <f t="shared" si="80"/>
        <v/>
      </c>
      <c r="M1082" t="str">
        <f t="shared" si="81"/>
        <v/>
      </c>
      <c r="N1082" t="str">
        <f t="shared" si="82"/>
        <v/>
      </c>
      <c r="O1082" t="str">
        <f t="shared" si="83"/>
        <v/>
      </c>
    </row>
    <row r="1083" spans="11:15" x14ac:dyDescent="0.3">
      <c r="K1083" t="str">
        <f t="shared" si="84"/>
        <v/>
      </c>
      <c r="L1083" t="str">
        <f t="shared" si="80"/>
        <v/>
      </c>
      <c r="M1083" t="str">
        <f t="shared" si="81"/>
        <v/>
      </c>
      <c r="N1083" t="str">
        <f t="shared" si="82"/>
        <v/>
      </c>
      <c r="O1083" t="str">
        <f t="shared" si="83"/>
        <v/>
      </c>
    </row>
    <row r="1084" spans="11:15" x14ac:dyDescent="0.3">
      <c r="K1084" t="str">
        <f t="shared" si="84"/>
        <v/>
      </c>
      <c r="L1084" t="str">
        <f t="shared" si="80"/>
        <v/>
      </c>
      <c r="M1084" t="str">
        <f t="shared" si="81"/>
        <v/>
      </c>
      <c r="N1084" t="str">
        <f t="shared" si="82"/>
        <v/>
      </c>
      <c r="O1084" t="str">
        <f t="shared" si="83"/>
        <v/>
      </c>
    </row>
    <row r="1085" spans="11:15" x14ac:dyDescent="0.3">
      <c r="K1085" t="str">
        <f t="shared" si="84"/>
        <v/>
      </c>
      <c r="L1085" t="str">
        <f t="shared" si="80"/>
        <v/>
      </c>
      <c r="M1085" t="str">
        <f t="shared" si="81"/>
        <v/>
      </c>
      <c r="N1085" t="str">
        <f t="shared" si="82"/>
        <v/>
      </c>
      <c r="O1085" t="str">
        <f t="shared" si="83"/>
        <v/>
      </c>
    </row>
    <row r="1086" spans="11:15" x14ac:dyDescent="0.3">
      <c r="K1086" t="str">
        <f t="shared" si="84"/>
        <v/>
      </c>
      <c r="L1086" t="str">
        <f t="shared" si="80"/>
        <v/>
      </c>
      <c r="M1086" t="str">
        <f t="shared" si="81"/>
        <v/>
      </c>
      <c r="N1086" t="str">
        <f t="shared" si="82"/>
        <v/>
      </c>
      <c r="O1086" t="str">
        <f t="shared" si="83"/>
        <v/>
      </c>
    </row>
    <row r="1087" spans="11:15" x14ac:dyDescent="0.3">
      <c r="K1087" t="str">
        <f t="shared" si="84"/>
        <v/>
      </c>
      <c r="L1087" t="str">
        <f t="shared" si="80"/>
        <v/>
      </c>
      <c r="M1087" t="str">
        <f t="shared" si="81"/>
        <v/>
      </c>
      <c r="N1087" t="str">
        <f t="shared" si="82"/>
        <v/>
      </c>
      <c r="O1087" t="str">
        <f t="shared" si="83"/>
        <v/>
      </c>
    </row>
    <row r="1088" spans="11:15" x14ac:dyDescent="0.3">
      <c r="K1088" t="str">
        <f t="shared" si="84"/>
        <v/>
      </c>
      <c r="L1088" t="str">
        <f t="shared" si="80"/>
        <v/>
      </c>
      <c r="M1088" t="str">
        <f t="shared" si="81"/>
        <v/>
      </c>
      <c r="N1088" t="str">
        <f t="shared" si="82"/>
        <v/>
      </c>
      <c r="O1088" t="str">
        <f t="shared" si="83"/>
        <v/>
      </c>
    </row>
    <row r="1089" spans="11:15" x14ac:dyDescent="0.3">
      <c r="K1089" t="str">
        <f t="shared" si="84"/>
        <v/>
      </c>
      <c r="L1089" t="str">
        <f t="shared" ref="L1089:L1152" si="85">IF(A1089="","",IF(ISNUMBER(--LEFT(A1089,FIND(" - ",A1089&amp;" - ")-1)),LEFT(A1089,FIND(" - ",A1089&amp;" - ")-1),TRIM(A1089)))</f>
        <v/>
      </c>
      <c r="M1089" t="str">
        <f t="shared" ref="M1089:M1152" si="86">IF(OR(K1089="",K1089=A1089,A1089=""),"",K1089&amp;"|"&amp;L1089)</f>
        <v/>
      </c>
      <c r="N1089" t="str">
        <f t="shared" ref="N1089:N1152" si="87">IF(M1089="","",IF(ISNUMBER(B1089),B1089,IFERROR(_xlfn.NUMBERVALUE(B1089,".",","),0)))</f>
        <v/>
      </c>
      <c r="O1089" t="str">
        <f t="shared" ref="O1089:O1152" si="88">IF(M1089="","",IF(ISNUMBER(C1089),C1089,IFERROR(_xlfn.NUMBERVALUE(C1089,".",","),0)))</f>
        <v/>
      </c>
    </row>
    <row r="1090" spans="11:15" x14ac:dyDescent="0.3">
      <c r="K1090" t="str">
        <f t="shared" ref="K1090:K1153" si="89">IF(OR(LEFT(B1090,9)="DOANH THU",LEFT(B1090,8)="SỐ LƯỢNG"),A1090,K1089)</f>
        <v/>
      </c>
      <c r="L1090" t="str">
        <f t="shared" si="85"/>
        <v/>
      </c>
      <c r="M1090" t="str">
        <f t="shared" si="86"/>
        <v/>
      </c>
      <c r="N1090" t="str">
        <f t="shared" si="87"/>
        <v/>
      </c>
      <c r="O1090" t="str">
        <f t="shared" si="88"/>
        <v/>
      </c>
    </row>
    <row r="1091" spans="11:15" x14ac:dyDescent="0.3">
      <c r="K1091" t="str">
        <f t="shared" si="89"/>
        <v/>
      </c>
      <c r="L1091" t="str">
        <f t="shared" si="85"/>
        <v/>
      </c>
      <c r="M1091" t="str">
        <f t="shared" si="86"/>
        <v/>
      </c>
      <c r="N1091" t="str">
        <f t="shared" si="87"/>
        <v/>
      </c>
      <c r="O1091" t="str">
        <f t="shared" si="88"/>
        <v/>
      </c>
    </row>
    <row r="1092" spans="11:15" x14ac:dyDescent="0.3">
      <c r="K1092" t="str">
        <f t="shared" si="89"/>
        <v/>
      </c>
      <c r="L1092" t="str">
        <f t="shared" si="85"/>
        <v/>
      </c>
      <c r="M1092" t="str">
        <f t="shared" si="86"/>
        <v/>
      </c>
      <c r="N1092" t="str">
        <f t="shared" si="87"/>
        <v/>
      </c>
      <c r="O1092" t="str">
        <f t="shared" si="88"/>
        <v/>
      </c>
    </row>
    <row r="1093" spans="11:15" x14ac:dyDescent="0.3">
      <c r="K1093" t="str">
        <f t="shared" si="89"/>
        <v/>
      </c>
      <c r="L1093" t="str">
        <f t="shared" si="85"/>
        <v/>
      </c>
      <c r="M1093" t="str">
        <f t="shared" si="86"/>
        <v/>
      </c>
      <c r="N1093" t="str">
        <f t="shared" si="87"/>
        <v/>
      </c>
      <c r="O1093" t="str">
        <f t="shared" si="88"/>
        <v/>
      </c>
    </row>
    <row r="1094" spans="11:15" x14ac:dyDescent="0.3">
      <c r="K1094" t="str">
        <f t="shared" si="89"/>
        <v/>
      </c>
      <c r="L1094" t="str">
        <f t="shared" si="85"/>
        <v/>
      </c>
      <c r="M1094" t="str">
        <f t="shared" si="86"/>
        <v/>
      </c>
      <c r="N1094" t="str">
        <f t="shared" si="87"/>
        <v/>
      </c>
      <c r="O1094" t="str">
        <f t="shared" si="88"/>
        <v/>
      </c>
    </row>
    <row r="1095" spans="11:15" x14ac:dyDescent="0.3">
      <c r="K1095" t="str">
        <f t="shared" si="89"/>
        <v/>
      </c>
      <c r="L1095" t="str">
        <f t="shared" si="85"/>
        <v/>
      </c>
      <c r="M1095" t="str">
        <f t="shared" si="86"/>
        <v/>
      </c>
      <c r="N1095" t="str">
        <f t="shared" si="87"/>
        <v/>
      </c>
      <c r="O1095" t="str">
        <f t="shared" si="88"/>
        <v/>
      </c>
    </row>
    <row r="1096" spans="11:15" x14ac:dyDescent="0.3">
      <c r="K1096" t="str">
        <f t="shared" si="89"/>
        <v/>
      </c>
      <c r="L1096" t="str">
        <f t="shared" si="85"/>
        <v/>
      </c>
      <c r="M1096" t="str">
        <f t="shared" si="86"/>
        <v/>
      </c>
      <c r="N1096" t="str">
        <f t="shared" si="87"/>
        <v/>
      </c>
      <c r="O1096" t="str">
        <f t="shared" si="88"/>
        <v/>
      </c>
    </row>
    <row r="1097" spans="11:15" x14ac:dyDescent="0.3">
      <c r="K1097" t="str">
        <f t="shared" si="89"/>
        <v/>
      </c>
      <c r="L1097" t="str">
        <f t="shared" si="85"/>
        <v/>
      </c>
      <c r="M1097" t="str">
        <f t="shared" si="86"/>
        <v/>
      </c>
      <c r="N1097" t="str">
        <f t="shared" si="87"/>
        <v/>
      </c>
      <c r="O1097" t="str">
        <f t="shared" si="88"/>
        <v/>
      </c>
    </row>
    <row r="1098" spans="11:15" x14ac:dyDescent="0.3">
      <c r="K1098" t="str">
        <f t="shared" si="89"/>
        <v/>
      </c>
      <c r="L1098" t="str">
        <f t="shared" si="85"/>
        <v/>
      </c>
      <c r="M1098" t="str">
        <f t="shared" si="86"/>
        <v/>
      </c>
      <c r="N1098" t="str">
        <f t="shared" si="87"/>
        <v/>
      </c>
      <c r="O1098" t="str">
        <f t="shared" si="88"/>
        <v/>
      </c>
    </row>
    <row r="1099" spans="11:15" x14ac:dyDescent="0.3">
      <c r="K1099" t="str">
        <f t="shared" si="89"/>
        <v/>
      </c>
      <c r="L1099" t="str">
        <f t="shared" si="85"/>
        <v/>
      </c>
      <c r="M1099" t="str">
        <f t="shared" si="86"/>
        <v/>
      </c>
      <c r="N1099" t="str">
        <f t="shared" si="87"/>
        <v/>
      </c>
      <c r="O1099" t="str">
        <f t="shared" si="88"/>
        <v/>
      </c>
    </row>
    <row r="1100" spans="11:15" x14ac:dyDescent="0.3">
      <c r="K1100" t="str">
        <f t="shared" si="89"/>
        <v/>
      </c>
      <c r="L1100" t="str">
        <f t="shared" si="85"/>
        <v/>
      </c>
      <c r="M1100" t="str">
        <f t="shared" si="86"/>
        <v/>
      </c>
      <c r="N1100" t="str">
        <f t="shared" si="87"/>
        <v/>
      </c>
      <c r="O1100" t="str">
        <f t="shared" si="88"/>
        <v/>
      </c>
    </row>
    <row r="1101" spans="11:15" x14ac:dyDescent="0.3">
      <c r="K1101" t="str">
        <f t="shared" si="89"/>
        <v/>
      </c>
      <c r="L1101" t="str">
        <f t="shared" si="85"/>
        <v/>
      </c>
      <c r="M1101" t="str">
        <f t="shared" si="86"/>
        <v/>
      </c>
      <c r="N1101" t="str">
        <f t="shared" si="87"/>
        <v/>
      </c>
      <c r="O1101" t="str">
        <f t="shared" si="88"/>
        <v/>
      </c>
    </row>
    <row r="1102" spans="11:15" x14ac:dyDescent="0.3">
      <c r="K1102" t="str">
        <f t="shared" si="89"/>
        <v/>
      </c>
      <c r="L1102" t="str">
        <f t="shared" si="85"/>
        <v/>
      </c>
      <c r="M1102" t="str">
        <f t="shared" si="86"/>
        <v/>
      </c>
      <c r="N1102" t="str">
        <f t="shared" si="87"/>
        <v/>
      </c>
      <c r="O1102" t="str">
        <f t="shared" si="88"/>
        <v/>
      </c>
    </row>
    <row r="1103" spans="11:15" x14ac:dyDescent="0.3">
      <c r="K1103" t="str">
        <f t="shared" si="89"/>
        <v/>
      </c>
      <c r="L1103" t="str">
        <f t="shared" si="85"/>
        <v/>
      </c>
      <c r="M1103" t="str">
        <f t="shared" si="86"/>
        <v/>
      </c>
      <c r="N1103" t="str">
        <f t="shared" si="87"/>
        <v/>
      </c>
      <c r="O1103" t="str">
        <f t="shared" si="88"/>
        <v/>
      </c>
    </row>
    <row r="1104" spans="11:15" x14ac:dyDescent="0.3">
      <c r="K1104" t="str">
        <f t="shared" si="89"/>
        <v/>
      </c>
      <c r="L1104" t="str">
        <f t="shared" si="85"/>
        <v/>
      </c>
      <c r="M1104" t="str">
        <f t="shared" si="86"/>
        <v/>
      </c>
      <c r="N1104" t="str">
        <f t="shared" si="87"/>
        <v/>
      </c>
      <c r="O1104" t="str">
        <f t="shared" si="88"/>
        <v/>
      </c>
    </row>
    <row r="1105" spans="11:15" x14ac:dyDescent="0.3">
      <c r="K1105" t="str">
        <f t="shared" si="89"/>
        <v/>
      </c>
      <c r="L1105" t="str">
        <f t="shared" si="85"/>
        <v/>
      </c>
      <c r="M1105" t="str">
        <f t="shared" si="86"/>
        <v/>
      </c>
      <c r="N1105" t="str">
        <f t="shared" si="87"/>
        <v/>
      </c>
      <c r="O1105" t="str">
        <f t="shared" si="88"/>
        <v/>
      </c>
    </row>
    <row r="1106" spans="11:15" x14ac:dyDescent="0.3">
      <c r="K1106" t="str">
        <f t="shared" si="89"/>
        <v/>
      </c>
      <c r="L1106" t="str">
        <f t="shared" si="85"/>
        <v/>
      </c>
      <c r="M1106" t="str">
        <f t="shared" si="86"/>
        <v/>
      </c>
      <c r="N1106" t="str">
        <f t="shared" si="87"/>
        <v/>
      </c>
      <c r="O1106" t="str">
        <f t="shared" si="88"/>
        <v/>
      </c>
    </row>
    <row r="1107" spans="11:15" x14ac:dyDescent="0.3">
      <c r="K1107" t="str">
        <f t="shared" si="89"/>
        <v/>
      </c>
      <c r="L1107" t="str">
        <f t="shared" si="85"/>
        <v/>
      </c>
      <c r="M1107" t="str">
        <f t="shared" si="86"/>
        <v/>
      </c>
      <c r="N1107" t="str">
        <f t="shared" si="87"/>
        <v/>
      </c>
      <c r="O1107" t="str">
        <f t="shared" si="88"/>
        <v/>
      </c>
    </row>
    <row r="1108" spans="11:15" x14ac:dyDescent="0.3">
      <c r="K1108" t="str">
        <f t="shared" si="89"/>
        <v/>
      </c>
      <c r="L1108" t="str">
        <f t="shared" si="85"/>
        <v/>
      </c>
      <c r="M1108" t="str">
        <f t="shared" si="86"/>
        <v/>
      </c>
      <c r="N1108" t="str">
        <f t="shared" si="87"/>
        <v/>
      </c>
      <c r="O1108" t="str">
        <f t="shared" si="88"/>
        <v/>
      </c>
    </row>
    <row r="1109" spans="11:15" x14ac:dyDescent="0.3">
      <c r="K1109" t="str">
        <f t="shared" si="89"/>
        <v/>
      </c>
      <c r="L1109" t="str">
        <f t="shared" si="85"/>
        <v/>
      </c>
      <c r="M1109" t="str">
        <f t="shared" si="86"/>
        <v/>
      </c>
      <c r="N1109" t="str">
        <f t="shared" si="87"/>
        <v/>
      </c>
      <c r="O1109" t="str">
        <f t="shared" si="88"/>
        <v/>
      </c>
    </row>
    <row r="1110" spans="11:15" x14ac:dyDescent="0.3">
      <c r="K1110" t="str">
        <f t="shared" si="89"/>
        <v/>
      </c>
      <c r="L1110" t="str">
        <f t="shared" si="85"/>
        <v/>
      </c>
      <c r="M1110" t="str">
        <f t="shared" si="86"/>
        <v/>
      </c>
      <c r="N1110" t="str">
        <f t="shared" si="87"/>
        <v/>
      </c>
      <c r="O1110" t="str">
        <f t="shared" si="88"/>
        <v/>
      </c>
    </row>
    <row r="1111" spans="11:15" x14ac:dyDescent="0.3">
      <c r="K1111" t="str">
        <f t="shared" si="89"/>
        <v/>
      </c>
      <c r="L1111" t="str">
        <f t="shared" si="85"/>
        <v/>
      </c>
      <c r="M1111" t="str">
        <f t="shared" si="86"/>
        <v/>
      </c>
      <c r="N1111" t="str">
        <f t="shared" si="87"/>
        <v/>
      </c>
      <c r="O1111" t="str">
        <f t="shared" si="88"/>
        <v/>
      </c>
    </row>
    <row r="1112" spans="11:15" x14ac:dyDescent="0.3">
      <c r="K1112" t="str">
        <f t="shared" si="89"/>
        <v/>
      </c>
      <c r="L1112" t="str">
        <f t="shared" si="85"/>
        <v/>
      </c>
      <c r="M1112" t="str">
        <f t="shared" si="86"/>
        <v/>
      </c>
      <c r="N1112" t="str">
        <f t="shared" si="87"/>
        <v/>
      </c>
      <c r="O1112" t="str">
        <f t="shared" si="88"/>
        <v/>
      </c>
    </row>
    <row r="1113" spans="11:15" x14ac:dyDescent="0.3">
      <c r="K1113" t="str">
        <f t="shared" si="89"/>
        <v/>
      </c>
      <c r="L1113" t="str">
        <f t="shared" si="85"/>
        <v/>
      </c>
      <c r="M1113" t="str">
        <f t="shared" si="86"/>
        <v/>
      </c>
      <c r="N1113" t="str">
        <f t="shared" si="87"/>
        <v/>
      </c>
      <c r="O1113" t="str">
        <f t="shared" si="88"/>
        <v/>
      </c>
    </row>
    <row r="1114" spans="11:15" x14ac:dyDescent="0.3">
      <c r="K1114" t="str">
        <f t="shared" si="89"/>
        <v/>
      </c>
      <c r="L1114" t="str">
        <f t="shared" si="85"/>
        <v/>
      </c>
      <c r="M1114" t="str">
        <f t="shared" si="86"/>
        <v/>
      </c>
      <c r="N1114" t="str">
        <f t="shared" si="87"/>
        <v/>
      </c>
      <c r="O1114" t="str">
        <f t="shared" si="88"/>
        <v/>
      </c>
    </row>
    <row r="1115" spans="11:15" x14ac:dyDescent="0.3">
      <c r="K1115" t="str">
        <f t="shared" si="89"/>
        <v/>
      </c>
      <c r="L1115" t="str">
        <f t="shared" si="85"/>
        <v/>
      </c>
      <c r="M1115" t="str">
        <f t="shared" si="86"/>
        <v/>
      </c>
      <c r="N1115" t="str">
        <f t="shared" si="87"/>
        <v/>
      </c>
      <c r="O1115" t="str">
        <f t="shared" si="88"/>
        <v/>
      </c>
    </row>
    <row r="1116" spans="11:15" x14ac:dyDescent="0.3">
      <c r="K1116" t="str">
        <f t="shared" si="89"/>
        <v/>
      </c>
      <c r="L1116" t="str">
        <f t="shared" si="85"/>
        <v/>
      </c>
      <c r="M1116" t="str">
        <f t="shared" si="86"/>
        <v/>
      </c>
      <c r="N1116" t="str">
        <f t="shared" si="87"/>
        <v/>
      </c>
      <c r="O1116" t="str">
        <f t="shared" si="88"/>
        <v/>
      </c>
    </row>
    <row r="1117" spans="11:15" x14ac:dyDescent="0.3">
      <c r="K1117" t="str">
        <f t="shared" si="89"/>
        <v/>
      </c>
      <c r="L1117" t="str">
        <f t="shared" si="85"/>
        <v/>
      </c>
      <c r="M1117" t="str">
        <f t="shared" si="86"/>
        <v/>
      </c>
      <c r="N1117" t="str">
        <f t="shared" si="87"/>
        <v/>
      </c>
      <c r="O1117" t="str">
        <f t="shared" si="88"/>
        <v/>
      </c>
    </row>
    <row r="1118" spans="11:15" x14ac:dyDescent="0.3">
      <c r="K1118" t="str">
        <f t="shared" si="89"/>
        <v/>
      </c>
      <c r="L1118" t="str">
        <f t="shared" si="85"/>
        <v/>
      </c>
      <c r="M1118" t="str">
        <f t="shared" si="86"/>
        <v/>
      </c>
      <c r="N1118" t="str">
        <f t="shared" si="87"/>
        <v/>
      </c>
      <c r="O1118" t="str">
        <f t="shared" si="88"/>
        <v/>
      </c>
    </row>
    <row r="1119" spans="11:15" x14ac:dyDescent="0.3">
      <c r="K1119" t="str">
        <f t="shared" si="89"/>
        <v/>
      </c>
      <c r="L1119" t="str">
        <f t="shared" si="85"/>
        <v/>
      </c>
      <c r="M1119" t="str">
        <f t="shared" si="86"/>
        <v/>
      </c>
      <c r="N1119" t="str">
        <f t="shared" si="87"/>
        <v/>
      </c>
      <c r="O1119" t="str">
        <f t="shared" si="88"/>
        <v/>
      </c>
    </row>
    <row r="1120" spans="11:15" x14ac:dyDescent="0.3">
      <c r="K1120" t="str">
        <f t="shared" si="89"/>
        <v/>
      </c>
      <c r="L1120" t="str">
        <f t="shared" si="85"/>
        <v/>
      </c>
      <c r="M1120" t="str">
        <f t="shared" si="86"/>
        <v/>
      </c>
      <c r="N1120" t="str">
        <f t="shared" si="87"/>
        <v/>
      </c>
      <c r="O1120" t="str">
        <f t="shared" si="88"/>
        <v/>
      </c>
    </row>
    <row r="1121" spans="11:15" x14ac:dyDescent="0.3">
      <c r="K1121" t="str">
        <f t="shared" si="89"/>
        <v/>
      </c>
      <c r="L1121" t="str">
        <f t="shared" si="85"/>
        <v/>
      </c>
      <c r="M1121" t="str">
        <f t="shared" si="86"/>
        <v/>
      </c>
      <c r="N1121" t="str">
        <f t="shared" si="87"/>
        <v/>
      </c>
      <c r="O1121" t="str">
        <f t="shared" si="88"/>
        <v/>
      </c>
    </row>
    <row r="1122" spans="11:15" x14ac:dyDescent="0.3">
      <c r="K1122" t="str">
        <f t="shared" si="89"/>
        <v/>
      </c>
      <c r="L1122" t="str">
        <f t="shared" si="85"/>
        <v/>
      </c>
      <c r="M1122" t="str">
        <f t="shared" si="86"/>
        <v/>
      </c>
      <c r="N1122" t="str">
        <f t="shared" si="87"/>
        <v/>
      </c>
      <c r="O1122" t="str">
        <f t="shared" si="88"/>
        <v/>
      </c>
    </row>
    <row r="1123" spans="11:15" x14ac:dyDescent="0.3">
      <c r="K1123" t="str">
        <f t="shared" si="89"/>
        <v/>
      </c>
      <c r="L1123" t="str">
        <f t="shared" si="85"/>
        <v/>
      </c>
      <c r="M1123" t="str">
        <f t="shared" si="86"/>
        <v/>
      </c>
      <c r="N1123" t="str">
        <f t="shared" si="87"/>
        <v/>
      </c>
      <c r="O1123" t="str">
        <f t="shared" si="88"/>
        <v/>
      </c>
    </row>
    <row r="1124" spans="11:15" x14ac:dyDescent="0.3">
      <c r="K1124" t="str">
        <f t="shared" si="89"/>
        <v/>
      </c>
      <c r="L1124" t="str">
        <f t="shared" si="85"/>
        <v/>
      </c>
      <c r="M1124" t="str">
        <f t="shared" si="86"/>
        <v/>
      </c>
      <c r="N1124" t="str">
        <f t="shared" si="87"/>
        <v/>
      </c>
      <c r="O1124" t="str">
        <f t="shared" si="88"/>
        <v/>
      </c>
    </row>
    <row r="1125" spans="11:15" x14ac:dyDescent="0.3">
      <c r="K1125" t="str">
        <f t="shared" si="89"/>
        <v/>
      </c>
      <c r="L1125" t="str">
        <f t="shared" si="85"/>
        <v/>
      </c>
      <c r="M1125" t="str">
        <f t="shared" si="86"/>
        <v/>
      </c>
      <c r="N1125" t="str">
        <f t="shared" si="87"/>
        <v/>
      </c>
      <c r="O1125" t="str">
        <f t="shared" si="88"/>
        <v/>
      </c>
    </row>
    <row r="1126" spans="11:15" x14ac:dyDescent="0.3">
      <c r="K1126" t="str">
        <f t="shared" si="89"/>
        <v/>
      </c>
      <c r="L1126" t="str">
        <f t="shared" si="85"/>
        <v/>
      </c>
      <c r="M1126" t="str">
        <f t="shared" si="86"/>
        <v/>
      </c>
      <c r="N1126" t="str">
        <f t="shared" si="87"/>
        <v/>
      </c>
      <c r="O1126" t="str">
        <f t="shared" si="88"/>
        <v/>
      </c>
    </row>
    <row r="1127" spans="11:15" x14ac:dyDescent="0.3">
      <c r="K1127" t="str">
        <f t="shared" si="89"/>
        <v/>
      </c>
      <c r="L1127" t="str">
        <f t="shared" si="85"/>
        <v/>
      </c>
      <c r="M1127" t="str">
        <f t="shared" si="86"/>
        <v/>
      </c>
      <c r="N1127" t="str">
        <f t="shared" si="87"/>
        <v/>
      </c>
      <c r="O1127" t="str">
        <f t="shared" si="88"/>
        <v/>
      </c>
    </row>
    <row r="1128" spans="11:15" x14ac:dyDescent="0.3">
      <c r="K1128" t="str">
        <f t="shared" si="89"/>
        <v/>
      </c>
      <c r="L1128" t="str">
        <f t="shared" si="85"/>
        <v/>
      </c>
      <c r="M1128" t="str">
        <f t="shared" si="86"/>
        <v/>
      </c>
      <c r="N1128" t="str">
        <f t="shared" si="87"/>
        <v/>
      </c>
      <c r="O1128" t="str">
        <f t="shared" si="88"/>
        <v/>
      </c>
    </row>
    <row r="1129" spans="11:15" x14ac:dyDescent="0.3">
      <c r="K1129" t="str">
        <f t="shared" si="89"/>
        <v/>
      </c>
      <c r="L1129" t="str">
        <f t="shared" si="85"/>
        <v/>
      </c>
      <c r="M1129" t="str">
        <f t="shared" si="86"/>
        <v/>
      </c>
      <c r="N1129" t="str">
        <f t="shared" si="87"/>
        <v/>
      </c>
      <c r="O1129" t="str">
        <f t="shared" si="88"/>
        <v/>
      </c>
    </row>
    <row r="1130" spans="11:15" x14ac:dyDescent="0.3">
      <c r="K1130" t="str">
        <f t="shared" si="89"/>
        <v/>
      </c>
      <c r="L1130" t="str">
        <f t="shared" si="85"/>
        <v/>
      </c>
      <c r="M1130" t="str">
        <f t="shared" si="86"/>
        <v/>
      </c>
      <c r="N1130" t="str">
        <f t="shared" si="87"/>
        <v/>
      </c>
      <c r="O1130" t="str">
        <f t="shared" si="88"/>
        <v/>
      </c>
    </row>
    <row r="1131" spans="11:15" x14ac:dyDescent="0.3">
      <c r="K1131" t="str">
        <f t="shared" si="89"/>
        <v/>
      </c>
      <c r="L1131" t="str">
        <f t="shared" si="85"/>
        <v/>
      </c>
      <c r="M1131" t="str">
        <f t="shared" si="86"/>
        <v/>
      </c>
      <c r="N1131" t="str">
        <f t="shared" si="87"/>
        <v/>
      </c>
      <c r="O1131" t="str">
        <f t="shared" si="88"/>
        <v/>
      </c>
    </row>
    <row r="1132" spans="11:15" x14ac:dyDescent="0.3">
      <c r="K1132" t="str">
        <f t="shared" si="89"/>
        <v/>
      </c>
      <c r="L1132" t="str">
        <f t="shared" si="85"/>
        <v/>
      </c>
      <c r="M1132" t="str">
        <f t="shared" si="86"/>
        <v/>
      </c>
      <c r="N1132" t="str">
        <f t="shared" si="87"/>
        <v/>
      </c>
      <c r="O1132" t="str">
        <f t="shared" si="88"/>
        <v/>
      </c>
    </row>
    <row r="1133" spans="11:15" x14ac:dyDescent="0.3">
      <c r="K1133" t="str">
        <f t="shared" si="89"/>
        <v/>
      </c>
      <c r="L1133" t="str">
        <f t="shared" si="85"/>
        <v/>
      </c>
      <c r="M1133" t="str">
        <f t="shared" si="86"/>
        <v/>
      </c>
      <c r="N1133" t="str">
        <f t="shared" si="87"/>
        <v/>
      </c>
      <c r="O1133" t="str">
        <f t="shared" si="88"/>
        <v/>
      </c>
    </row>
    <row r="1134" spans="11:15" x14ac:dyDescent="0.3">
      <c r="K1134" t="str">
        <f t="shared" si="89"/>
        <v/>
      </c>
      <c r="L1134" t="str">
        <f t="shared" si="85"/>
        <v/>
      </c>
      <c r="M1134" t="str">
        <f t="shared" si="86"/>
        <v/>
      </c>
      <c r="N1134" t="str">
        <f t="shared" si="87"/>
        <v/>
      </c>
      <c r="O1134" t="str">
        <f t="shared" si="88"/>
        <v/>
      </c>
    </row>
    <row r="1135" spans="11:15" x14ac:dyDescent="0.3">
      <c r="K1135" t="str">
        <f t="shared" si="89"/>
        <v/>
      </c>
      <c r="L1135" t="str">
        <f t="shared" si="85"/>
        <v/>
      </c>
      <c r="M1135" t="str">
        <f t="shared" si="86"/>
        <v/>
      </c>
      <c r="N1135" t="str">
        <f t="shared" si="87"/>
        <v/>
      </c>
      <c r="O1135" t="str">
        <f t="shared" si="88"/>
        <v/>
      </c>
    </row>
    <row r="1136" spans="11:15" x14ac:dyDescent="0.3">
      <c r="K1136" t="str">
        <f t="shared" si="89"/>
        <v/>
      </c>
      <c r="L1136" t="str">
        <f t="shared" si="85"/>
        <v/>
      </c>
      <c r="M1136" t="str">
        <f t="shared" si="86"/>
        <v/>
      </c>
      <c r="N1136" t="str">
        <f t="shared" si="87"/>
        <v/>
      </c>
      <c r="O1136" t="str">
        <f t="shared" si="88"/>
        <v/>
      </c>
    </row>
    <row r="1137" spans="11:15" x14ac:dyDescent="0.3">
      <c r="K1137" t="str">
        <f t="shared" si="89"/>
        <v/>
      </c>
      <c r="L1137" t="str">
        <f t="shared" si="85"/>
        <v/>
      </c>
      <c r="M1137" t="str">
        <f t="shared" si="86"/>
        <v/>
      </c>
      <c r="N1137" t="str">
        <f t="shared" si="87"/>
        <v/>
      </c>
      <c r="O1137" t="str">
        <f t="shared" si="88"/>
        <v/>
      </c>
    </row>
    <row r="1138" spans="11:15" x14ac:dyDescent="0.3">
      <c r="K1138" t="str">
        <f t="shared" si="89"/>
        <v/>
      </c>
      <c r="L1138" t="str">
        <f t="shared" si="85"/>
        <v/>
      </c>
      <c r="M1138" t="str">
        <f t="shared" si="86"/>
        <v/>
      </c>
      <c r="N1138" t="str">
        <f t="shared" si="87"/>
        <v/>
      </c>
      <c r="O1138" t="str">
        <f t="shared" si="88"/>
        <v/>
      </c>
    </row>
    <row r="1139" spans="11:15" x14ac:dyDescent="0.3">
      <c r="K1139" t="str">
        <f t="shared" si="89"/>
        <v/>
      </c>
      <c r="L1139" t="str">
        <f t="shared" si="85"/>
        <v/>
      </c>
      <c r="M1139" t="str">
        <f t="shared" si="86"/>
        <v/>
      </c>
      <c r="N1139" t="str">
        <f t="shared" si="87"/>
        <v/>
      </c>
      <c r="O1139" t="str">
        <f t="shared" si="88"/>
        <v/>
      </c>
    </row>
    <row r="1140" spans="11:15" x14ac:dyDescent="0.3">
      <c r="K1140" t="str">
        <f t="shared" si="89"/>
        <v/>
      </c>
      <c r="L1140" t="str">
        <f t="shared" si="85"/>
        <v/>
      </c>
      <c r="M1140" t="str">
        <f t="shared" si="86"/>
        <v/>
      </c>
      <c r="N1140" t="str">
        <f t="shared" si="87"/>
        <v/>
      </c>
      <c r="O1140" t="str">
        <f t="shared" si="88"/>
        <v/>
      </c>
    </row>
    <row r="1141" spans="11:15" x14ac:dyDescent="0.3">
      <c r="K1141" t="str">
        <f t="shared" si="89"/>
        <v/>
      </c>
      <c r="L1141" t="str">
        <f t="shared" si="85"/>
        <v/>
      </c>
      <c r="M1141" t="str">
        <f t="shared" si="86"/>
        <v/>
      </c>
      <c r="N1141" t="str">
        <f t="shared" si="87"/>
        <v/>
      </c>
      <c r="O1141" t="str">
        <f t="shared" si="88"/>
        <v/>
      </c>
    </row>
    <row r="1142" spans="11:15" x14ac:dyDescent="0.3">
      <c r="K1142" t="str">
        <f t="shared" si="89"/>
        <v/>
      </c>
      <c r="L1142" t="str">
        <f t="shared" si="85"/>
        <v/>
      </c>
      <c r="M1142" t="str">
        <f t="shared" si="86"/>
        <v/>
      </c>
      <c r="N1142" t="str">
        <f t="shared" si="87"/>
        <v/>
      </c>
      <c r="O1142" t="str">
        <f t="shared" si="88"/>
        <v/>
      </c>
    </row>
    <row r="1143" spans="11:15" x14ac:dyDescent="0.3">
      <c r="K1143" t="str">
        <f t="shared" si="89"/>
        <v/>
      </c>
      <c r="L1143" t="str">
        <f t="shared" si="85"/>
        <v/>
      </c>
      <c r="M1143" t="str">
        <f t="shared" si="86"/>
        <v/>
      </c>
      <c r="N1143" t="str">
        <f t="shared" si="87"/>
        <v/>
      </c>
      <c r="O1143" t="str">
        <f t="shared" si="88"/>
        <v/>
      </c>
    </row>
    <row r="1144" spans="11:15" x14ac:dyDescent="0.3">
      <c r="K1144" t="str">
        <f t="shared" si="89"/>
        <v/>
      </c>
      <c r="L1144" t="str">
        <f t="shared" si="85"/>
        <v/>
      </c>
      <c r="M1144" t="str">
        <f t="shared" si="86"/>
        <v/>
      </c>
      <c r="N1144" t="str">
        <f t="shared" si="87"/>
        <v/>
      </c>
      <c r="O1144" t="str">
        <f t="shared" si="88"/>
        <v/>
      </c>
    </row>
    <row r="1145" spans="11:15" x14ac:dyDescent="0.3">
      <c r="K1145" t="str">
        <f t="shared" si="89"/>
        <v/>
      </c>
      <c r="L1145" t="str">
        <f t="shared" si="85"/>
        <v/>
      </c>
      <c r="M1145" t="str">
        <f t="shared" si="86"/>
        <v/>
      </c>
      <c r="N1145" t="str">
        <f t="shared" si="87"/>
        <v/>
      </c>
      <c r="O1145" t="str">
        <f t="shared" si="88"/>
        <v/>
      </c>
    </row>
    <row r="1146" spans="11:15" x14ac:dyDescent="0.3">
      <c r="K1146" t="str">
        <f t="shared" si="89"/>
        <v/>
      </c>
      <c r="L1146" t="str">
        <f t="shared" si="85"/>
        <v/>
      </c>
      <c r="M1146" t="str">
        <f t="shared" si="86"/>
        <v/>
      </c>
      <c r="N1146" t="str">
        <f t="shared" si="87"/>
        <v/>
      </c>
      <c r="O1146" t="str">
        <f t="shared" si="88"/>
        <v/>
      </c>
    </row>
    <row r="1147" spans="11:15" x14ac:dyDescent="0.3">
      <c r="K1147" t="str">
        <f t="shared" si="89"/>
        <v/>
      </c>
      <c r="L1147" t="str">
        <f t="shared" si="85"/>
        <v/>
      </c>
      <c r="M1147" t="str">
        <f t="shared" si="86"/>
        <v/>
      </c>
      <c r="N1147" t="str">
        <f t="shared" si="87"/>
        <v/>
      </c>
      <c r="O1147" t="str">
        <f t="shared" si="88"/>
        <v/>
      </c>
    </row>
    <row r="1148" spans="11:15" x14ac:dyDescent="0.3">
      <c r="K1148" t="str">
        <f t="shared" si="89"/>
        <v/>
      </c>
      <c r="L1148" t="str">
        <f t="shared" si="85"/>
        <v/>
      </c>
      <c r="M1148" t="str">
        <f t="shared" si="86"/>
        <v/>
      </c>
      <c r="N1148" t="str">
        <f t="shared" si="87"/>
        <v/>
      </c>
      <c r="O1148" t="str">
        <f t="shared" si="88"/>
        <v/>
      </c>
    </row>
    <row r="1149" spans="11:15" x14ac:dyDescent="0.3">
      <c r="K1149" t="str">
        <f t="shared" si="89"/>
        <v/>
      </c>
      <c r="L1149" t="str">
        <f t="shared" si="85"/>
        <v/>
      </c>
      <c r="M1149" t="str">
        <f t="shared" si="86"/>
        <v/>
      </c>
      <c r="N1149" t="str">
        <f t="shared" si="87"/>
        <v/>
      </c>
      <c r="O1149" t="str">
        <f t="shared" si="88"/>
        <v/>
      </c>
    </row>
    <row r="1150" spans="11:15" x14ac:dyDescent="0.3">
      <c r="K1150" t="str">
        <f t="shared" si="89"/>
        <v/>
      </c>
      <c r="L1150" t="str">
        <f t="shared" si="85"/>
        <v/>
      </c>
      <c r="M1150" t="str">
        <f t="shared" si="86"/>
        <v/>
      </c>
      <c r="N1150" t="str">
        <f t="shared" si="87"/>
        <v/>
      </c>
      <c r="O1150" t="str">
        <f t="shared" si="88"/>
        <v/>
      </c>
    </row>
    <row r="1151" spans="11:15" x14ac:dyDescent="0.3">
      <c r="K1151" t="str">
        <f t="shared" si="89"/>
        <v/>
      </c>
      <c r="L1151" t="str">
        <f t="shared" si="85"/>
        <v/>
      </c>
      <c r="M1151" t="str">
        <f t="shared" si="86"/>
        <v/>
      </c>
      <c r="N1151" t="str">
        <f t="shared" si="87"/>
        <v/>
      </c>
      <c r="O1151" t="str">
        <f t="shared" si="88"/>
        <v/>
      </c>
    </row>
    <row r="1152" spans="11:15" x14ac:dyDescent="0.3">
      <c r="K1152" t="str">
        <f t="shared" si="89"/>
        <v/>
      </c>
      <c r="L1152" t="str">
        <f t="shared" si="85"/>
        <v/>
      </c>
      <c r="M1152" t="str">
        <f t="shared" si="86"/>
        <v/>
      </c>
      <c r="N1152" t="str">
        <f t="shared" si="87"/>
        <v/>
      </c>
      <c r="O1152" t="str">
        <f t="shared" si="88"/>
        <v/>
      </c>
    </row>
    <row r="1153" spans="11:15" x14ac:dyDescent="0.3">
      <c r="K1153" t="str">
        <f t="shared" si="89"/>
        <v/>
      </c>
      <c r="L1153" t="str">
        <f t="shared" ref="L1153:L1216" si="90">IF(A1153="","",IF(ISNUMBER(--LEFT(A1153,FIND(" - ",A1153&amp;" - ")-1)),LEFT(A1153,FIND(" - ",A1153&amp;" - ")-1),TRIM(A1153)))</f>
        <v/>
      </c>
      <c r="M1153" t="str">
        <f t="shared" ref="M1153:M1216" si="91">IF(OR(K1153="",K1153=A1153,A1153=""),"",K1153&amp;"|"&amp;L1153)</f>
        <v/>
      </c>
      <c r="N1153" t="str">
        <f t="shared" ref="N1153:N1216" si="92">IF(M1153="","",IF(ISNUMBER(B1153),B1153,IFERROR(_xlfn.NUMBERVALUE(B1153,".",","),0)))</f>
        <v/>
      </c>
      <c r="O1153" t="str">
        <f t="shared" ref="O1153:O1216" si="93">IF(M1153="","",IF(ISNUMBER(C1153),C1153,IFERROR(_xlfn.NUMBERVALUE(C1153,".",","),0)))</f>
        <v/>
      </c>
    </row>
    <row r="1154" spans="11:15" x14ac:dyDescent="0.3">
      <c r="K1154" t="str">
        <f t="shared" ref="K1154:K1217" si="94">IF(OR(LEFT(B1154,9)="DOANH THU",LEFT(B1154,8)="SỐ LƯỢNG"),A1154,K1153)</f>
        <v/>
      </c>
      <c r="L1154" t="str">
        <f t="shared" si="90"/>
        <v/>
      </c>
      <c r="M1154" t="str">
        <f t="shared" si="91"/>
        <v/>
      </c>
      <c r="N1154" t="str">
        <f t="shared" si="92"/>
        <v/>
      </c>
      <c r="O1154" t="str">
        <f t="shared" si="93"/>
        <v/>
      </c>
    </row>
    <row r="1155" spans="11:15" x14ac:dyDescent="0.3">
      <c r="K1155" t="str">
        <f t="shared" si="94"/>
        <v/>
      </c>
      <c r="L1155" t="str">
        <f t="shared" si="90"/>
        <v/>
      </c>
      <c r="M1155" t="str">
        <f t="shared" si="91"/>
        <v/>
      </c>
      <c r="N1155" t="str">
        <f t="shared" si="92"/>
        <v/>
      </c>
      <c r="O1155" t="str">
        <f t="shared" si="93"/>
        <v/>
      </c>
    </row>
    <row r="1156" spans="11:15" x14ac:dyDescent="0.3">
      <c r="K1156" t="str">
        <f t="shared" si="94"/>
        <v/>
      </c>
      <c r="L1156" t="str">
        <f t="shared" si="90"/>
        <v/>
      </c>
      <c r="M1156" t="str">
        <f t="shared" si="91"/>
        <v/>
      </c>
      <c r="N1156" t="str">
        <f t="shared" si="92"/>
        <v/>
      </c>
      <c r="O1156" t="str">
        <f t="shared" si="93"/>
        <v/>
      </c>
    </row>
    <row r="1157" spans="11:15" x14ac:dyDescent="0.3">
      <c r="K1157" t="str">
        <f t="shared" si="94"/>
        <v/>
      </c>
      <c r="L1157" t="str">
        <f t="shared" si="90"/>
        <v/>
      </c>
      <c r="M1157" t="str">
        <f t="shared" si="91"/>
        <v/>
      </c>
      <c r="N1157" t="str">
        <f t="shared" si="92"/>
        <v/>
      </c>
      <c r="O1157" t="str">
        <f t="shared" si="93"/>
        <v/>
      </c>
    </row>
    <row r="1158" spans="11:15" x14ac:dyDescent="0.3">
      <c r="K1158" t="str">
        <f t="shared" si="94"/>
        <v/>
      </c>
      <c r="L1158" t="str">
        <f t="shared" si="90"/>
        <v/>
      </c>
      <c r="M1158" t="str">
        <f t="shared" si="91"/>
        <v/>
      </c>
      <c r="N1158" t="str">
        <f t="shared" si="92"/>
        <v/>
      </c>
      <c r="O1158" t="str">
        <f t="shared" si="93"/>
        <v/>
      </c>
    </row>
    <row r="1159" spans="11:15" x14ac:dyDescent="0.3">
      <c r="K1159" t="str">
        <f t="shared" si="94"/>
        <v/>
      </c>
      <c r="L1159" t="str">
        <f t="shared" si="90"/>
        <v/>
      </c>
      <c r="M1159" t="str">
        <f t="shared" si="91"/>
        <v/>
      </c>
      <c r="N1159" t="str">
        <f t="shared" si="92"/>
        <v/>
      </c>
      <c r="O1159" t="str">
        <f t="shared" si="93"/>
        <v/>
      </c>
    </row>
    <row r="1160" spans="11:15" x14ac:dyDescent="0.3">
      <c r="K1160" t="str">
        <f t="shared" si="94"/>
        <v/>
      </c>
      <c r="L1160" t="str">
        <f t="shared" si="90"/>
        <v/>
      </c>
      <c r="M1160" t="str">
        <f t="shared" si="91"/>
        <v/>
      </c>
      <c r="N1160" t="str">
        <f t="shared" si="92"/>
        <v/>
      </c>
      <c r="O1160" t="str">
        <f t="shared" si="93"/>
        <v/>
      </c>
    </row>
    <row r="1161" spans="11:15" x14ac:dyDescent="0.3">
      <c r="K1161" t="str">
        <f t="shared" si="94"/>
        <v/>
      </c>
      <c r="L1161" t="str">
        <f t="shared" si="90"/>
        <v/>
      </c>
      <c r="M1161" t="str">
        <f t="shared" si="91"/>
        <v/>
      </c>
      <c r="N1161" t="str">
        <f t="shared" si="92"/>
        <v/>
      </c>
      <c r="O1161" t="str">
        <f t="shared" si="93"/>
        <v/>
      </c>
    </row>
    <row r="1162" spans="11:15" x14ac:dyDescent="0.3">
      <c r="K1162" t="str">
        <f t="shared" si="94"/>
        <v/>
      </c>
      <c r="L1162" t="str">
        <f t="shared" si="90"/>
        <v/>
      </c>
      <c r="M1162" t="str">
        <f t="shared" si="91"/>
        <v/>
      </c>
      <c r="N1162" t="str">
        <f t="shared" si="92"/>
        <v/>
      </c>
      <c r="O1162" t="str">
        <f t="shared" si="93"/>
        <v/>
      </c>
    </row>
    <row r="1163" spans="11:15" x14ac:dyDescent="0.3">
      <c r="K1163" t="str">
        <f t="shared" si="94"/>
        <v/>
      </c>
      <c r="L1163" t="str">
        <f t="shared" si="90"/>
        <v/>
      </c>
      <c r="M1163" t="str">
        <f t="shared" si="91"/>
        <v/>
      </c>
      <c r="N1163" t="str">
        <f t="shared" si="92"/>
        <v/>
      </c>
      <c r="O1163" t="str">
        <f t="shared" si="93"/>
        <v/>
      </c>
    </row>
    <row r="1164" spans="11:15" x14ac:dyDescent="0.3">
      <c r="K1164" t="str">
        <f t="shared" si="94"/>
        <v/>
      </c>
      <c r="L1164" t="str">
        <f t="shared" si="90"/>
        <v/>
      </c>
      <c r="M1164" t="str">
        <f t="shared" si="91"/>
        <v/>
      </c>
      <c r="N1164" t="str">
        <f t="shared" si="92"/>
        <v/>
      </c>
      <c r="O1164" t="str">
        <f t="shared" si="93"/>
        <v/>
      </c>
    </row>
    <row r="1165" spans="11:15" x14ac:dyDescent="0.3">
      <c r="K1165" t="str">
        <f t="shared" si="94"/>
        <v/>
      </c>
      <c r="L1165" t="str">
        <f t="shared" si="90"/>
        <v/>
      </c>
      <c r="M1165" t="str">
        <f t="shared" si="91"/>
        <v/>
      </c>
      <c r="N1165" t="str">
        <f t="shared" si="92"/>
        <v/>
      </c>
      <c r="O1165" t="str">
        <f t="shared" si="93"/>
        <v/>
      </c>
    </row>
    <row r="1166" spans="11:15" x14ac:dyDescent="0.3">
      <c r="K1166" t="str">
        <f t="shared" si="94"/>
        <v/>
      </c>
      <c r="L1166" t="str">
        <f t="shared" si="90"/>
        <v/>
      </c>
      <c r="M1166" t="str">
        <f t="shared" si="91"/>
        <v/>
      </c>
      <c r="N1166" t="str">
        <f t="shared" si="92"/>
        <v/>
      </c>
      <c r="O1166" t="str">
        <f t="shared" si="93"/>
        <v/>
      </c>
    </row>
    <row r="1167" spans="11:15" x14ac:dyDescent="0.3">
      <c r="K1167" t="str">
        <f t="shared" si="94"/>
        <v/>
      </c>
      <c r="L1167" t="str">
        <f t="shared" si="90"/>
        <v/>
      </c>
      <c r="M1167" t="str">
        <f t="shared" si="91"/>
        <v/>
      </c>
      <c r="N1167" t="str">
        <f t="shared" si="92"/>
        <v/>
      </c>
      <c r="O1167" t="str">
        <f t="shared" si="93"/>
        <v/>
      </c>
    </row>
    <row r="1168" spans="11:15" x14ac:dyDescent="0.3">
      <c r="K1168" t="str">
        <f t="shared" si="94"/>
        <v/>
      </c>
      <c r="L1168" t="str">
        <f t="shared" si="90"/>
        <v/>
      </c>
      <c r="M1168" t="str">
        <f t="shared" si="91"/>
        <v/>
      </c>
      <c r="N1168" t="str">
        <f t="shared" si="92"/>
        <v/>
      </c>
      <c r="O1168" t="str">
        <f t="shared" si="93"/>
        <v/>
      </c>
    </row>
    <row r="1169" spans="11:15" x14ac:dyDescent="0.3">
      <c r="K1169" t="str">
        <f t="shared" si="94"/>
        <v/>
      </c>
      <c r="L1169" t="str">
        <f t="shared" si="90"/>
        <v/>
      </c>
      <c r="M1169" t="str">
        <f t="shared" si="91"/>
        <v/>
      </c>
      <c r="N1169" t="str">
        <f t="shared" si="92"/>
        <v/>
      </c>
      <c r="O1169" t="str">
        <f t="shared" si="93"/>
        <v/>
      </c>
    </row>
    <row r="1170" spans="11:15" x14ac:dyDescent="0.3">
      <c r="K1170" t="str">
        <f t="shared" si="94"/>
        <v/>
      </c>
      <c r="L1170" t="str">
        <f t="shared" si="90"/>
        <v/>
      </c>
      <c r="M1170" t="str">
        <f t="shared" si="91"/>
        <v/>
      </c>
      <c r="N1170" t="str">
        <f t="shared" si="92"/>
        <v/>
      </c>
      <c r="O1170" t="str">
        <f t="shared" si="93"/>
        <v/>
      </c>
    </row>
    <row r="1171" spans="11:15" x14ac:dyDescent="0.3">
      <c r="K1171" t="str">
        <f t="shared" si="94"/>
        <v/>
      </c>
      <c r="L1171" t="str">
        <f t="shared" si="90"/>
        <v/>
      </c>
      <c r="M1171" t="str">
        <f t="shared" si="91"/>
        <v/>
      </c>
      <c r="N1171" t="str">
        <f t="shared" si="92"/>
        <v/>
      </c>
      <c r="O1171" t="str">
        <f t="shared" si="93"/>
        <v/>
      </c>
    </row>
    <row r="1172" spans="11:15" x14ac:dyDescent="0.3">
      <c r="K1172" t="str">
        <f t="shared" si="94"/>
        <v/>
      </c>
      <c r="L1172" t="str">
        <f t="shared" si="90"/>
        <v/>
      </c>
      <c r="M1172" t="str">
        <f t="shared" si="91"/>
        <v/>
      </c>
      <c r="N1172" t="str">
        <f t="shared" si="92"/>
        <v/>
      </c>
      <c r="O1172" t="str">
        <f t="shared" si="93"/>
        <v/>
      </c>
    </row>
    <row r="1173" spans="11:15" x14ac:dyDescent="0.3">
      <c r="K1173" t="str">
        <f t="shared" si="94"/>
        <v/>
      </c>
      <c r="L1173" t="str">
        <f t="shared" si="90"/>
        <v/>
      </c>
      <c r="M1173" t="str">
        <f t="shared" si="91"/>
        <v/>
      </c>
      <c r="N1173" t="str">
        <f t="shared" si="92"/>
        <v/>
      </c>
      <c r="O1173" t="str">
        <f t="shared" si="93"/>
        <v/>
      </c>
    </row>
    <row r="1174" spans="11:15" x14ac:dyDescent="0.3">
      <c r="K1174" t="str">
        <f t="shared" si="94"/>
        <v/>
      </c>
      <c r="L1174" t="str">
        <f t="shared" si="90"/>
        <v/>
      </c>
      <c r="M1174" t="str">
        <f t="shared" si="91"/>
        <v/>
      </c>
      <c r="N1174" t="str">
        <f t="shared" si="92"/>
        <v/>
      </c>
      <c r="O1174" t="str">
        <f t="shared" si="93"/>
        <v/>
      </c>
    </row>
    <row r="1175" spans="11:15" x14ac:dyDescent="0.3">
      <c r="K1175" t="str">
        <f t="shared" si="94"/>
        <v/>
      </c>
      <c r="L1175" t="str">
        <f t="shared" si="90"/>
        <v/>
      </c>
      <c r="M1175" t="str">
        <f t="shared" si="91"/>
        <v/>
      </c>
      <c r="N1175" t="str">
        <f t="shared" si="92"/>
        <v/>
      </c>
      <c r="O1175" t="str">
        <f t="shared" si="93"/>
        <v/>
      </c>
    </row>
    <row r="1176" spans="11:15" x14ac:dyDescent="0.3">
      <c r="K1176" t="str">
        <f t="shared" si="94"/>
        <v/>
      </c>
      <c r="L1176" t="str">
        <f t="shared" si="90"/>
        <v/>
      </c>
      <c r="M1176" t="str">
        <f t="shared" si="91"/>
        <v/>
      </c>
      <c r="N1176" t="str">
        <f t="shared" si="92"/>
        <v/>
      </c>
      <c r="O1176" t="str">
        <f t="shared" si="93"/>
        <v/>
      </c>
    </row>
    <row r="1177" spans="11:15" x14ac:dyDescent="0.3">
      <c r="K1177" t="str">
        <f t="shared" si="94"/>
        <v/>
      </c>
      <c r="L1177" t="str">
        <f t="shared" si="90"/>
        <v/>
      </c>
      <c r="M1177" t="str">
        <f t="shared" si="91"/>
        <v/>
      </c>
      <c r="N1177" t="str">
        <f t="shared" si="92"/>
        <v/>
      </c>
      <c r="O1177" t="str">
        <f t="shared" si="93"/>
        <v/>
      </c>
    </row>
    <row r="1178" spans="11:15" x14ac:dyDescent="0.3">
      <c r="K1178" t="str">
        <f t="shared" si="94"/>
        <v/>
      </c>
      <c r="L1178" t="str">
        <f t="shared" si="90"/>
        <v/>
      </c>
      <c r="M1178" t="str">
        <f t="shared" si="91"/>
        <v/>
      </c>
      <c r="N1178" t="str">
        <f t="shared" si="92"/>
        <v/>
      </c>
      <c r="O1178" t="str">
        <f t="shared" si="93"/>
        <v/>
      </c>
    </row>
    <row r="1179" spans="11:15" x14ac:dyDescent="0.3">
      <c r="K1179" t="str">
        <f t="shared" si="94"/>
        <v/>
      </c>
      <c r="L1179" t="str">
        <f t="shared" si="90"/>
        <v/>
      </c>
      <c r="M1179" t="str">
        <f t="shared" si="91"/>
        <v/>
      </c>
      <c r="N1179" t="str">
        <f t="shared" si="92"/>
        <v/>
      </c>
      <c r="O1179" t="str">
        <f t="shared" si="93"/>
        <v/>
      </c>
    </row>
    <row r="1180" spans="11:15" x14ac:dyDescent="0.3">
      <c r="K1180" t="str">
        <f t="shared" si="94"/>
        <v/>
      </c>
      <c r="L1180" t="str">
        <f t="shared" si="90"/>
        <v/>
      </c>
      <c r="M1180" t="str">
        <f t="shared" si="91"/>
        <v/>
      </c>
      <c r="N1180" t="str">
        <f t="shared" si="92"/>
        <v/>
      </c>
      <c r="O1180" t="str">
        <f t="shared" si="93"/>
        <v/>
      </c>
    </row>
    <row r="1181" spans="11:15" x14ac:dyDescent="0.3">
      <c r="K1181" t="str">
        <f t="shared" si="94"/>
        <v/>
      </c>
      <c r="L1181" t="str">
        <f t="shared" si="90"/>
        <v/>
      </c>
      <c r="M1181" t="str">
        <f t="shared" si="91"/>
        <v/>
      </c>
      <c r="N1181" t="str">
        <f t="shared" si="92"/>
        <v/>
      </c>
      <c r="O1181" t="str">
        <f t="shared" si="93"/>
        <v/>
      </c>
    </row>
    <row r="1182" spans="11:15" x14ac:dyDescent="0.3">
      <c r="K1182" t="str">
        <f t="shared" si="94"/>
        <v/>
      </c>
      <c r="L1182" t="str">
        <f t="shared" si="90"/>
        <v/>
      </c>
      <c r="M1182" t="str">
        <f t="shared" si="91"/>
        <v/>
      </c>
      <c r="N1182" t="str">
        <f t="shared" si="92"/>
        <v/>
      </c>
      <c r="O1182" t="str">
        <f t="shared" si="93"/>
        <v/>
      </c>
    </row>
    <row r="1183" spans="11:15" x14ac:dyDescent="0.3">
      <c r="K1183" t="str">
        <f t="shared" si="94"/>
        <v/>
      </c>
      <c r="L1183" t="str">
        <f t="shared" si="90"/>
        <v/>
      </c>
      <c r="M1183" t="str">
        <f t="shared" si="91"/>
        <v/>
      </c>
      <c r="N1183" t="str">
        <f t="shared" si="92"/>
        <v/>
      </c>
      <c r="O1183" t="str">
        <f t="shared" si="93"/>
        <v/>
      </c>
    </row>
    <row r="1184" spans="11:15" x14ac:dyDescent="0.3">
      <c r="K1184" t="str">
        <f t="shared" si="94"/>
        <v/>
      </c>
      <c r="L1184" t="str">
        <f t="shared" si="90"/>
        <v/>
      </c>
      <c r="M1184" t="str">
        <f t="shared" si="91"/>
        <v/>
      </c>
      <c r="N1184" t="str">
        <f t="shared" si="92"/>
        <v/>
      </c>
      <c r="O1184" t="str">
        <f t="shared" si="93"/>
        <v/>
      </c>
    </row>
    <row r="1185" spans="11:15" x14ac:dyDescent="0.3">
      <c r="K1185" t="str">
        <f t="shared" si="94"/>
        <v/>
      </c>
      <c r="L1185" t="str">
        <f t="shared" si="90"/>
        <v/>
      </c>
      <c r="M1185" t="str">
        <f t="shared" si="91"/>
        <v/>
      </c>
      <c r="N1185" t="str">
        <f t="shared" si="92"/>
        <v/>
      </c>
      <c r="O1185" t="str">
        <f t="shared" si="93"/>
        <v/>
      </c>
    </row>
    <row r="1186" spans="11:15" x14ac:dyDescent="0.3">
      <c r="K1186" t="str">
        <f t="shared" si="94"/>
        <v/>
      </c>
      <c r="L1186" t="str">
        <f t="shared" si="90"/>
        <v/>
      </c>
      <c r="M1186" t="str">
        <f t="shared" si="91"/>
        <v/>
      </c>
      <c r="N1186" t="str">
        <f t="shared" si="92"/>
        <v/>
      </c>
      <c r="O1186" t="str">
        <f t="shared" si="93"/>
        <v/>
      </c>
    </row>
    <row r="1187" spans="11:15" x14ac:dyDescent="0.3">
      <c r="K1187" t="str">
        <f t="shared" si="94"/>
        <v/>
      </c>
      <c r="L1187" t="str">
        <f t="shared" si="90"/>
        <v/>
      </c>
      <c r="M1187" t="str">
        <f t="shared" si="91"/>
        <v/>
      </c>
      <c r="N1187" t="str">
        <f t="shared" si="92"/>
        <v/>
      </c>
      <c r="O1187" t="str">
        <f t="shared" si="93"/>
        <v/>
      </c>
    </row>
    <row r="1188" spans="11:15" x14ac:dyDescent="0.3">
      <c r="K1188" t="str">
        <f t="shared" si="94"/>
        <v/>
      </c>
      <c r="L1188" t="str">
        <f t="shared" si="90"/>
        <v/>
      </c>
      <c r="M1188" t="str">
        <f t="shared" si="91"/>
        <v/>
      </c>
      <c r="N1188" t="str">
        <f t="shared" si="92"/>
        <v/>
      </c>
      <c r="O1188" t="str">
        <f t="shared" si="93"/>
        <v/>
      </c>
    </row>
    <row r="1189" spans="11:15" x14ac:dyDescent="0.3">
      <c r="K1189" t="str">
        <f t="shared" si="94"/>
        <v/>
      </c>
      <c r="L1189" t="str">
        <f t="shared" si="90"/>
        <v/>
      </c>
      <c r="M1189" t="str">
        <f t="shared" si="91"/>
        <v/>
      </c>
      <c r="N1189" t="str">
        <f t="shared" si="92"/>
        <v/>
      </c>
      <c r="O1189" t="str">
        <f t="shared" si="93"/>
        <v/>
      </c>
    </row>
    <row r="1190" spans="11:15" x14ac:dyDescent="0.3">
      <c r="K1190" t="str">
        <f t="shared" si="94"/>
        <v/>
      </c>
      <c r="L1190" t="str">
        <f t="shared" si="90"/>
        <v/>
      </c>
      <c r="M1190" t="str">
        <f t="shared" si="91"/>
        <v/>
      </c>
      <c r="N1190" t="str">
        <f t="shared" si="92"/>
        <v/>
      </c>
      <c r="O1190" t="str">
        <f t="shared" si="93"/>
        <v/>
      </c>
    </row>
    <row r="1191" spans="11:15" x14ac:dyDescent="0.3">
      <c r="K1191" t="str">
        <f t="shared" si="94"/>
        <v/>
      </c>
      <c r="L1191" t="str">
        <f t="shared" si="90"/>
        <v/>
      </c>
      <c r="M1191" t="str">
        <f t="shared" si="91"/>
        <v/>
      </c>
      <c r="N1191" t="str">
        <f t="shared" si="92"/>
        <v/>
      </c>
      <c r="O1191" t="str">
        <f t="shared" si="93"/>
        <v/>
      </c>
    </row>
    <row r="1192" spans="11:15" x14ac:dyDescent="0.3">
      <c r="K1192" t="str">
        <f t="shared" si="94"/>
        <v/>
      </c>
      <c r="L1192" t="str">
        <f t="shared" si="90"/>
        <v/>
      </c>
      <c r="M1192" t="str">
        <f t="shared" si="91"/>
        <v/>
      </c>
      <c r="N1192" t="str">
        <f t="shared" si="92"/>
        <v/>
      </c>
      <c r="O1192" t="str">
        <f t="shared" si="93"/>
        <v/>
      </c>
    </row>
    <row r="1193" spans="11:15" x14ac:dyDescent="0.3">
      <c r="K1193" t="str">
        <f t="shared" si="94"/>
        <v/>
      </c>
      <c r="L1193" t="str">
        <f t="shared" si="90"/>
        <v/>
      </c>
      <c r="M1193" t="str">
        <f t="shared" si="91"/>
        <v/>
      </c>
      <c r="N1193" t="str">
        <f t="shared" si="92"/>
        <v/>
      </c>
      <c r="O1193" t="str">
        <f t="shared" si="93"/>
        <v/>
      </c>
    </row>
    <row r="1194" spans="11:15" x14ac:dyDescent="0.3">
      <c r="K1194" t="str">
        <f t="shared" si="94"/>
        <v/>
      </c>
      <c r="L1194" t="str">
        <f t="shared" si="90"/>
        <v/>
      </c>
      <c r="M1194" t="str">
        <f t="shared" si="91"/>
        <v/>
      </c>
      <c r="N1194" t="str">
        <f t="shared" si="92"/>
        <v/>
      </c>
      <c r="O1194" t="str">
        <f t="shared" si="93"/>
        <v/>
      </c>
    </row>
    <row r="1195" spans="11:15" x14ac:dyDescent="0.3">
      <c r="K1195" t="str">
        <f t="shared" si="94"/>
        <v/>
      </c>
      <c r="L1195" t="str">
        <f t="shared" si="90"/>
        <v/>
      </c>
      <c r="M1195" t="str">
        <f t="shared" si="91"/>
        <v/>
      </c>
      <c r="N1195" t="str">
        <f t="shared" si="92"/>
        <v/>
      </c>
      <c r="O1195" t="str">
        <f t="shared" si="93"/>
        <v/>
      </c>
    </row>
    <row r="1196" spans="11:15" x14ac:dyDescent="0.3">
      <c r="K1196" t="str">
        <f t="shared" si="94"/>
        <v/>
      </c>
      <c r="L1196" t="str">
        <f t="shared" si="90"/>
        <v/>
      </c>
      <c r="M1196" t="str">
        <f t="shared" si="91"/>
        <v/>
      </c>
      <c r="N1196" t="str">
        <f t="shared" si="92"/>
        <v/>
      </c>
      <c r="O1196" t="str">
        <f t="shared" si="93"/>
        <v/>
      </c>
    </row>
    <row r="1197" spans="11:15" x14ac:dyDescent="0.3">
      <c r="K1197" t="str">
        <f t="shared" si="94"/>
        <v/>
      </c>
      <c r="L1197" t="str">
        <f t="shared" si="90"/>
        <v/>
      </c>
      <c r="M1197" t="str">
        <f t="shared" si="91"/>
        <v/>
      </c>
      <c r="N1197" t="str">
        <f t="shared" si="92"/>
        <v/>
      </c>
      <c r="O1197" t="str">
        <f t="shared" si="93"/>
        <v/>
      </c>
    </row>
    <row r="1198" spans="11:15" x14ac:dyDescent="0.3">
      <c r="K1198" t="str">
        <f t="shared" si="94"/>
        <v/>
      </c>
      <c r="L1198" t="str">
        <f t="shared" si="90"/>
        <v/>
      </c>
      <c r="M1198" t="str">
        <f t="shared" si="91"/>
        <v/>
      </c>
      <c r="N1198" t="str">
        <f t="shared" si="92"/>
        <v/>
      </c>
      <c r="O1198" t="str">
        <f t="shared" si="93"/>
        <v/>
      </c>
    </row>
    <row r="1199" spans="11:15" x14ac:dyDescent="0.3">
      <c r="K1199" t="str">
        <f t="shared" si="94"/>
        <v/>
      </c>
      <c r="L1199" t="str">
        <f t="shared" si="90"/>
        <v/>
      </c>
      <c r="M1199" t="str">
        <f t="shared" si="91"/>
        <v/>
      </c>
      <c r="N1199" t="str">
        <f t="shared" si="92"/>
        <v/>
      </c>
      <c r="O1199" t="str">
        <f t="shared" si="93"/>
        <v/>
      </c>
    </row>
    <row r="1200" spans="11:15" x14ac:dyDescent="0.3">
      <c r="K1200" t="str">
        <f t="shared" si="94"/>
        <v/>
      </c>
      <c r="L1200" t="str">
        <f t="shared" si="90"/>
        <v/>
      </c>
      <c r="M1200" t="str">
        <f t="shared" si="91"/>
        <v/>
      </c>
      <c r="N1200" t="str">
        <f t="shared" si="92"/>
        <v/>
      </c>
      <c r="O1200" t="str">
        <f t="shared" si="93"/>
        <v/>
      </c>
    </row>
    <row r="1201" spans="11:15" x14ac:dyDescent="0.3">
      <c r="K1201" t="str">
        <f t="shared" si="94"/>
        <v/>
      </c>
      <c r="L1201" t="str">
        <f t="shared" si="90"/>
        <v/>
      </c>
      <c r="M1201" t="str">
        <f t="shared" si="91"/>
        <v/>
      </c>
      <c r="N1201" t="str">
        <f t="shared" si="92"/>
        <v/>
      </c>
      <c r="O1201" t="str">
        <f t="shared" si="93"/>
        <v/>
      </c>
    </row>
    <row r="1202" spans="11:15" x14ac:dyDescent="0.3">
      <c r="K1202" t="str">
        <f t="shared" si="94"/>
        <v/>
      </c>
      <c r="L1202" t="str">
        <f t="shared" si="90"/>
        <v/>
      </c>
      <c r="M1202" t="str">
        <f t="shared" si="91"/>
        <v/>
      </c>
      <c r="N1202" t="str">
        <f t="shared" si="92"/>
        <v/>
      </c>
      <c r="O1202" t="str">
        <f t="shared" si="93"/>
        <v/>
      </c>
    </row>
    <row r="1203" spans="11:15" x14ac:dyDescent="0.3">
      <c r="K1203" t="str">
        <f t="shared" si="94"/>
        <v/>
      </c>
      <c r="L1203" t="str">
        <f t="shared" si="90"/>
        <v/>
      </c>
      <c r="M1203" t="str">
        <f t="shared" si="91"/>
        <v/>
      </c>
      <c r="N1203" t="str">
        <f t="shared" si="92"/>
        <v/>
      </c>
      <c r="O1203" t="str">
        <f t="shared" si="93"/>
        <v/>
      </c>
    </row>
    <row r="1204" spans="11:15" x14ac:dyDescent="0.3">
      <c r="K1204" t="str">
        <f t="shared" si="94"/>
        <v/>
      </c>
      <c r="L1204" t="str">
        <f t="shared" si="90"/>
        <v/>
      </c>
      <c r="M1204" t="str">
        <f t="shared" si="91"/>
        <v/>
      </c>
      <c r="N1204" t="str">
        <f t="shared" si="92"/>
        <v/>
      </c>
      <c r="O1204" t="str">
        <f t="shared" si="93"/>
        <v/>
      </c>
    </row>
    <row r="1205" spans="11:15" x14ac:dyDescent="0.3">
      <c r="K1205" t="str">
        <f t="shared" si="94"/>
        <v/>
      </c>
      <c r="L1205" t="str">
        <f t="shared" si="90"/>
        <v/>
      </c>
      <c r="M1205" t="str">
        <f t="shared" si="91"/>
        <v/>
      </c>
      <c r="N1205" t="str">
        <f t="shared" si="92"/>
        <v/>
      </c>
      <c r="O1205" t="str">
        <f t="shared" si="93"/>
        <v/>
      </c>
    </row>
    <row r="1206" spans="11:15" x14ac:dyDescent="0.3">
      <c r="K1206" t="str">
        <f t="shared" si="94"/>
        <v/>
      </c>
      <c r="L1206" t="str">
        <f t="shared" si="90"/>
        <v/>
      </c>
      <c r="M1206" t="str">
        <f t="shared" si="91"/>
        <v/>
      </c>
      <c r="N1206" t="str">
        <f t="shared" si="92"/>
        <v/>
      </c>
      <c r="O1206" t="str">
        <f t="shared" si="93"/>
        <v/>
      </c>
    </row>
    <row r="1207" spans="11:15" x14ac:dyDescent="0.3">
      <c r="K1207" t="str">
        <f t="shared" si="94"/>
        <v/>
      </c>
      <c r="L1207" t="str">
        <f t="shared" si="90"/>
        <v/>
      </c>
      <c r="M1207" t="str">
        <f t="shared" si="91"/>
        <v/>
      </c>
      <c r="N1207" t="str">
        <f t="shared" si="92"/>
        <v/>
      </c>
      <c r="O1207" t="str">
        <f t="shared" si="93"/>
        <v/>
      </c>
    </row>
    <row r="1208" spans="11:15" x14ac:dyDescent="0.3">
      <c r="K1208" t="str">
        <f t="shared" si="94"/>
        <v/>
      </c>
      <c r="L1208" t="str">
        <f t="shared" si="90"/>
        <v/>
      </c>
      <c r="M1208" t="str">
        <f t="shared" si="91"/>
        <v/>
      </c>
      <c r="N1208" t="str">
        <f t="shared" si="92"/>
        <v/>
      </c>
      <c r="O1208" t="str">
        <f t="shared" si="93"/>
        <v/>
      </c>
    </row>
    <row r="1209" spans="11:15" x14ac:dyDescent="0.3">
      <c r="K1209" t="str">
        <f t="shared" si="94"/>
        <v/>
      </c>
      <c r="L1209" t="str">
        <f t="shared" si="90"/>
        <v/>
      </c>
      <c r="M1209" t="str">
        <f t="shared" si="91"/>
        <v/>
      </c>
      <c r="N1209" t="str">
        <f t="shared" si="92"/>
        <v/>
      </c>
      <c r="O1209" t="str">
        <f t="shared" si="93"/>
        <v/>
      </c>
    </row>
    <row r="1210" spans="11:15" x14ac:dyDescent="0.3">
      <c r="K1210" t="str">
        <f t="shared" si="94"/>
        <v/>
      </c>
      <c r="L1210" t="str">
        <f t="shared" si="90"/>
        <v/>
      </c>
      <c r="M1210" t="str">
        <f t="shared" si="91"/>
        <v/>
      </c>
      <c r="N1210" t="str">
        <f t="shared" si="92"/>
        <v/>
      </c>
      <c r="O1210" t="str">
        <f t="shared" si="93"/>
        <v/>
      </c>
    </row>
    <row r="1211" spans="11:15" x14ac:dyDescent="0.3">
      <c r="K1211" t="str">
        <f t="shared" si="94"/>
        <v/>
      </c>
      <c r="L1211" t="str">
        <f t="shared" si="90"/>
        <v/>
      </c>
      <c r="M1211" t="str">
        <f t="shared" si="91"/>
        <v/>
      </c>
      <c r="N1211" t="str">
        <f t="shared" si="92"/>
        <v/>
      </c>
      <c r="O1211" t="str">
        <f t="shared" si="93"/>
        <v/>
      </c>
    </row>
    <row r="1212" spans="11:15" x14ac:dyDescent="0.3">
      <c r="K1212" t="str">
        <f t="shared" si="94"/>
        <v/>
      </c>
      <c r="L1212" t="str">
        <f t="shared" si="90"/>
        <v/>
      </c>
      <c r="M1212" t="str">
        <f t="shared" si="91"/>
        <v/>
      </c>
      <c r="N1212" t="str">
        <f t="shared" si="92"/>
        <v/>
      </c>
      <c r="O1212" t="str">
        <f t="shared" si="93"/>
        <v/>
      </c>
    </row>
    <row r="1213" spans="11:15" x14ac:dyDescent="0.3">
      <c r="K1213" t="str">
        <f t="shared" si="94"/>
        <v/>
      </c>
      <c r="L1213" t="str">
        <f t="shared" si="90"/>
        <v/>
      </c>
      <c r="M1213" t="str">
        <f t="shared" si="91"/>
        <v/>
      </c>
      <c r="N1213" t="str">
        <f t="shared" si="92"/>
        <v/>
      </c>
      <c r="O1213" t="str">
        <f t="shared" si="93"/>
        <v/>
      </c>
    </row>
    <row r="1214" spans="11:15" x14ac:dyDescent="0.3">
      <c r="K1214" t="str">
        <f t="shared" si="94"/>
        <v/>
      </c>
      <c r="L1214" t="str">
        <f t="shared" si="90"/>
        <v/>
      </c>
      <c r="M1214" t="str">
        <f t="shared" si="91"/>
        <v/>
      </c>
      <c r="N1214" t="str">
        <f t="shared" si="92"/>
        <v/>
      </c>
      <c r="O1214" t="str">
        <f t="shared" si="93"/>
        <v/>
      </c>
    </row>
    <row r="1215" spans="11:15" x14ac:dyDescent="0.3">
      <c r="K1215" t="str">
        <f t="shared" si="94"/>
        <v/>
      </c>
      <c r="L1215" t="str">
        <f t="shared" si="90"/>
        <v/>
      </c>
      <c r="M1215" t="str">
        <f t="shared" si="91"/>
        <v/>
      </c>
      <c r="N1215" t="str">
        <f t="shared" si="92"/>
        <v/>
      </c>
      <c r="O1215" t="str">
        <f t="shared" si="93"/>
        <v/>
      </c>
    </row>
    <row r="1216" spans="11:15" x14ac:dyDescent="0.3">
      <c r="K1216" t="str">
        <f t="shared" si="94"/>
        <v/>
      </c>
      <c r="L1216" t="str">
        <f t="shared" si="90"/>
        <v/>
      </c>
      <c r="M1216" t="str">
        <f t="shared" si="91"/>
        <v/>
      </c>
      <c r="N1216" t="str">
        <f t="shared" si="92"/>
        <v/>
      </c>
      <c r="O1216" t="str">
        <f t="shared" si="93"/>
        <v/>
      </c>
    </row>
    <row r="1217" spans="11:15" x14ac:dyDescent="0.3">
      <c r="K1217" t="str">
        <f t="shared" si="94"/>
        <v/>
      </c>
      <c r="L1217" t="str">
        <f t="shared" ref="L1217:L1280" si="95">IF(A1217="","",IF(ISNUMBER(--LEFT(A1217,FIND(" - ",A1217&amp;" - ")-1)),LEFT(A1217,FIND(" - ",A1217&amp;" - ")-1),TRIM(A1217)))</f>
        <v/>
      </c>
      <c r="M1217" t="str">
        <f t="shared" ref="M1217:M1280" si="96">IF(OR(K1217="",K1217=A1217,A1217=""),"",K1217&amp;"|"&amp;L1217)</f>
        <v/>
      </c>
      <c r="N1217" t="str">
        <f t="shared" ref="N1217:N1280" si="97">IF(M1217="","",IF(ISNUMBER(B1217),B1217,IFERROR(_xlfn.NUMBERVALUE(B1217,".",","),0)))</f>
        <v/>
      </c>
      <c r="O1217" t="str">
        <f t="shared" ref="O1217:O1280" si="98">IF(M1217="","",IF(ISNUMBER(C1217),C1217,IFERROR(_xlfn.NUMBERVALUE(C1217,".",","),0)))</f>
        <v/>
      </c>
    </row>
    <row r="1218" spans="11:15" x14ac:dyDescent="0.3">
      <c r="K1218" t="str">
        <f t="shared" ref="K1218:K1281" si="99">IF(OR(LEFT(B1218,9)="DOANH THU",LEFT(B1218,8)="SỐ LƯỢNG"),A1218,K1217)</f>
        <v/>
      </c>
      <c r="L1218" t="str">
        <f t="shared" si="95"/>
        <v/>
      </c>
      <c r="M1218" t="str">
        <f t="shared" si="96"/>
        <v/>
      </c>
      <c r="N1218" t="str">
        <f t="shared" si="97"/>
        <v/>
      </c>
      <c r="O1218" t="str">
        <f t="shared" si="98"/>
        <v/>
      </c>
    </row>
    <row r="1219" spans="11:15" x14ac:dyDescent="0.3">
      <c r="K1219" t="str">
        <f t="shared" si="99"/>
        <v/>
      </c>
      <c r="L1219" t="str">
        <f t="shared" si="95"/>
        <v/>
      </c>
      <c r="M1219" t="str">
        <f t="shared" si="96"/>
        <v/>
      </c>
      <c r="N1219" t="str">
        <f t="shared" si="97"/>
        <v/>
      </c>
      <c r="O1219" t="str">
        <f t="shared" si="98"/>
        <v/>
      </c>
    </row>
    <row r="1220" spans="11:15" x14ac:dyDescent="0.3">
      <c r="K1220" t="str">
        <f t="shared" si="99"/>
        <v/>
      </c>
      <c r="L1220" t="str">
        <f t="shared" si="95"/>
        <v/>
      </c>
      <c r="M1220" t="str">
        <f t="shared" si="96"/>
        <v/>
      </c>
      <c r="N1220" t="str">
        <f t="shared" si="97"/>
        <v/>
      </c>
      <c r="O1220" t="str">
        <f t="shared" si="98"/>
        <v/>
      </c>
    </row>
    <row r="1221" spans="11:15" x14ac:dyDescent="0.3">
      <c r="K1221" t="str">
        <f t="shared" si="99"/>
        <v/>
      </c>
      <c r="L1221" t="str">
        <f t="shared" si="95"/>
        <v/>
      </c>
      <c r="M1221" t="str">
        <f t="shared" si="96"/>
        <v/>
      </c>
      <c r="N1221" t="str">
        <f t="shared" si="97"/>
        <v/>
      </c>
      <c r="O1221" t="str">
        <f t="shared" si="98"/>
        <v/>
      </c>
    </row>
    <row r="1222" spans="11:15" x14ac:dyDescent="0.3">
      <c r="K1222" t="str">
        <f t="shared" si="99"/>
        <v/>
      </c>
      <c r="L1222" t="str">
        <f t="shared" si="95"/>
        <v/>
      </c>
      <c r="M1222" t="str">
        <f t="shared" si="96"/>
        <v/>
      </c>
      <c r="N1222" t="str">
        <f t="shared" si="97"/>
        <v/>
      </c>
      <c r="O1222" t="str">
        <f t="shared" si="98"/>
        <v/>
      </c>
    </row>
    <row r="1223" spans="11:15" x14ac:dyDescent="0.3">
      <c r="K1223" t="str">
        <f t="shared" si="99"/>
        <v/>
      </c>
      <c r="L1223" t="str">
        <f t="shared" si="95"/>
        <v/>
      </c>
      <c r="M1223" t="str">
        <f t="shared" si="96"/>
        <v/>
      </c>
      <c r="N1223" t="str">
        <f t="shared" si="97"/>
        <v/>
      </c>
      <c r="O1223" t="str">
        <f t="shared" si="98"/>
        <v/>
      </c>
    </row>
    <row r="1224" spans="11:15" x14ac:dyDescent="0.3">
      <c r="K1224" t="str">
        <f t="shared" si="99"/>
        <v/>
      </c>
      <c r="L1224" t="str">
        <f t="shared" si="95"/>
        <v/>
      </c>
      <c r="M1224" t="str">
        <f t="shared" si="96"/>
        <v/>
      </c>
      <c r="N1224" t="str">
        <f t="shared" si="97"/>
        <v/>
      </c>
      <c r="O1224" t="str">
        <f t="shared" si="98"/>
        <v/>
      </c>
    </row>
    <row r="1225" spans="11:15" x14ac:dyDescent="0.3">
      <c r="K1225" t="str">
        <f t="shared" si="99"/>
        <v/>
      </c>
      <c r="L1225" t="str">
        <f t="shared" si="95"/>
        <v/>
      </c>
      <c r="M1225" t="str">
        <f t="shared" si="96"/>
        <v/>
      </c>
      <c r="N1225" t="str">
        <f t="shared" si="97"/>
        <v/>
      </c>
      <c r="O1225" t="str">
        <f t="shared" si="98"/>
        <v/>
      </c>
    </row>
    <row r="1226" spans="11:15" x14ac:dyDescent="0.3">
      <c r="K1226" t="str">
        <f t="shared" si="99"/>
        <v/>
      </c>
      <c r="L1226" t="str">
        <f t="shared" si="95"/>
        <v/>
      </c>
      <c r="M1226" t="str">
        <f t="shared" si="96"/>
        <v/>
      </c>
      <c r="N1226" t="str">
        <f t="shared" si="97"/>
        <v/>
      </c>
      <c r="O1226" t="str">
        <f t="shared" si="98"/>
        <v/>
      </c>
    </row>
    <row r="1227" spans="11:15" x14ac:dyDescent="0.3">
      <c r="K1227" t="str">
        <f t="shared" si="99"/>
        <v/>
      </c>
      <c r="L1227" t="str">
        <f t="shared" si="95"/>
        <v/>
      </c>
      <c r="M1227" t="str">
        <f t="shared" si="96"/>
        <v/>
      </c>
      <c r="N1227" t="str">
        <f t="shared" si="97"/>
        <v/>
      </c>
      <c r="O1227" t="str">
        <f t="shared" si="98"/>
        <v/>
      </c>
    </row>
    <row r="1228" spans="11:15" x14ac:dyDescent="0.3">
      <c r="K1228" t="str">
        <f t="shared" si="99"/>
        <v/>
      </c>
      <c r="L1228" t="str">
        <f t="shared" si="95"/>
        <v/>
      </c>
      <c r="M1228" t="str">
        <f t="shared" si="96"/>
        <v/>
      </c>
      <c r="N1228" t="str">
        <f t="shared" si="97"/>
        <v/>
      </c>
      <c r="O1228" t="str">
        <f t="shared" si="98"/>
        <v/>
      </c>
    </row>
    <row r="1229" spans="11:15" x14ac:dyDescent="0.3">
      <c r="K1229" t="str">
        <f t="shared" si="99"/>
        <v/>
      </c>
      <c r="L1229" t="str">
        <f t="shared" si="95"/>
        <v/>
      </c>
      <c r="M1229" t="str">
        <f t="shared" si="96"/>
        <v/>
      </c>
      <c r="N1229" t="str">
        <f t="shared" si="97"/>
        <v/>
      </c>
      <c r="O1229" t="str">
        <f t="shared" si="98"/>
        <v/>
      </c>
    </row>
    <row r="1230" spans="11:15" x14ac:dyDescent="0.3">
      <c r="K1230" t="str">
        <f t="shared" si="99"/>
        <v/>
      </c>
      <c r="L1230" t="str">
        <f t="shared" si="95"/>
        <v/>
      </c>
      <c r="M1230" t="str">
        <f t="shared" si="96"/>
        <v/>
      </c>
      <c r="N1230" t="str">
        <f t="shared" si="97"/>
        <v/>
      </c>
      <c r="O1230" t="str">
        <f t="shared" si="98"/>
        <v/>
      </c>
    </row>
    <row r="1231" spans="11:15" x14ac:dyDescent="0.3">
      <c r="K1231" t="str">
        <f t="shared" si="99"/>
        <v/>
      </c>
      <c r="L1231" t="str">
        <f t="shared" si="95"/>
        <v/>
      </c>
      <c r="M1231" t="str">
        <f t="shared" si="96"/>
        <v/>
      </c>
      <c r="N1231" t="str">
        <f t="shared" si="97"/>
        <v/>
      </c>
      <c r="O1231" t="str">
        <f t="shared" si="98"/>
        <v/>
      </c>
    </row>
    <row r="1232" spans="11:15" x14ac:dyDescent="0.3">
      <c r="K1232" t="str">
        <f t="shared" si="99"/>
        <v/>
      </c>
      <c r="L1232" t="str">
        <f t="shared" si="95"/>
        <v/>
      </c>
      <c r="M1232" t="str">
        <f t="shared" si="96"/>
        <v/>
      </c>
      <c r="N1232" t="str">
        <f t="shared" si="97"/>
        <v/>
      </c>
      <c r="O1232" t="str">
        <f t="shared" si="98"/>
        <v/>
      </c>
    </row>
    <row r="1233" spans="11:15" x14ac:dyDescent="0.3">
      <c r="K1233" t="str">
        <f t="shared" si="99"/>
        <v/>
      </c>
      <c r="L1233" t="str">
        <f t="shared" si="95"/>
        <v/>
      </c>
      <c r="M1233" t="str">
        <f t="shared" si="96"/>
        <v/>
      </c>
      <c r="N1233" t="str">
        <f t="shared" si="97"/>
        <v/>
      </c>
      <c r="O1233" t="str">
        <f t="shared" si="98"/>
        <v/>
      </c>
    </row>
    <row r="1234" spans="11:15" x14ac:dyDescent="0.3">
      <c r="K1234" t="str">
        <f t="shared" si="99"/>
        <v/>
      </c>
      <c r="L1234" t="str">
        <f t="shared" si="95"/>
        <v/>
      </c>
      <c r="M1234" t="str">
        <f t="shared" si="96"/>
        <v/>
      </c>
      <c r="N1234" t="str">
        <f t="shared" si="97"/>
        <v/>
      </c>
      <c r="O1234" t="str">
        <f t="shared" si="98"/>
        <v/>
      </c>
    </row>
    <row r="1235" spans="11:15" x14ac:dyDescent="0.3">
      <c r="K1235" t="str">
        <f t="shared" si="99"/>
        <v/>
      </c>
      <c r="L1235" t="str">
        <f t="shared" si="95"/>
        <v/>
      </c>
      <c r="M1235" t="str">
        <f t="shared" si="96"/>
        <v/>
      </c>
      <c r="N1235" t="str">
        <f t="shared" si="97"/>
        <v/>
      </c>
      <c r="O1235" t="str">
        <f t="shared" si="98"/>
        <v/>
      </c>
    </row>
    <row r="1236" spans="11:15" x14ac:dyDescent="0.3">
      <c r="K1236" t="str">
        <f t="shared" si="99"/>
        <v/>
      </c>
      <c r="L1236" t="str">
        <f t="shared" si="95"/>
        <v/>
      </c>
      <c r="M1236" t="str">
        <f t="shared" si="96"/>
        <v/>
      </c>
      <c r="N1236" t="str">
        <f t="shared" si="97"/>
        <v/>
      </c>
      <c r="O1236" t="str">
        <f t="shared" si="98"/>
        <v/>
      </c>
    </row>
    <row r="1237" spans="11:15" x14ac:dyDescent="0.3">
      <c r="K1237" t="str">
        <f t="shared" si="99"/>
        <v/>
      </c>
      <c r="L1237" t="str">
        <f t="shared" si="95"/>
        <v/>
      </c>
      <c r="M1237" t="str">
        <f t="shared" si="96"/>
        <v/>
      </c>
      <c r="N1237" t="str">
        <f t="shared" si="97"/>
        <v/>
      </c>
      <c r="O1237" t="str">
        <f t="shared" si="98"/>
        <v/>
      </c>
    </row>
    <row r="1238" spans="11:15" x14ac:dyDescent="0.3">
      <c r="K1238" t="str">
        <f t="shared" si="99"/>
        <v/>
      </c>
      <c r="L1238" t="str">
        <f t="shared" si="95"/>
        <v/>
      </c>
      <c r="M1238" t="str">
        <f t="shared" si="96"/>
        <v/>
      </c>
      <c r="N1238" t="str">
        <f t="shared" si="97"/>
        <v/>
      </c>
      <c r="O1238" t="str">
        <f t="shared" si="98"/>
        <v/>
      </c>
    </row>
    <row r="1239" spans="11:15" x14ac:dyDescent="0.3">
      <c r="K1239" t="str">
        <f t="shared" si="99"/>
        <v/>
      </c>
      <c r="L1239" t="str">
        <f t="shared" si="95"/>
        <v/>
      </c>
      <c r="M1239" t="str">
        <f t="shared" si="96"/>
        <v/>
      </c>
      <c r="N1239" t="str">
        <f t="shared" si="97"/>
        <v/>
      </c>
      <c r="O1239" t="str">
        <f t="shared" si="98"/>
        <v/>
      </c>
    </row>
    <row r="1240" spans="11:15" x14ac:dyDescent="0.3">
      <c r="K1240" t="str">
        <f t="shared" si="99"/>
        <v/>
      </c>
      <c r="L1240" t="str">
        <f t="shared" si="95"/>
        <v/>
      </c>
      <c r="M1240" t="str">
        <f t="shared" si="96"/>
        <v/>
      </c>
      <c r="N1240" t="str">
        <f t="shared" si="97"/>
        <v/>
      </c>
      <c r="O1240" t="str">
        <f t="shared" si="98"/>
        <v/>
      </c>
    </row>
    <row r="1241" spans="11:15" x14ac:dyDescent="0.3">
      <c r="K1241" t="str">
        <f t="shared" si="99"/>
        <v/>
      </c>
      <c r="L1241" t="str">
        <f t="shared" si="95"/>
        <v/>
      </c>
      <c r="M1241" t="str">
        <f t="shared" si="96"/>
        <v/>
      </c>
      <c r="N1241" t="str">
        <f t="shared" si="97"/>
        <v/>
      </c>
      <c r="O1241" t="str">
        <f t="shared" si="98"/>
        <v/>
      </c>
    </row>
    <row r="1242" spans="11:15" x14ac:dyDescent="0.3">
      <c r="K1242" t="str">
        <f t="shared" si="99"/>
        <v/>
      </c>
      <c r="L1242" t="str">
        <f t="shared" si="95"/>
        <v/>
      </c>
      <c r="M1242" t="str">
        <f t="shared" si="96"/>
        <v/>
      </c>
      <c r="N1242" t="str">
        <f t="shared" si="97"/>
        <v/>
      </c>
      <c r="O1242" t="str">
        <f t="shared" si="98"/>
        <v/>
      </c>
    </row>
    <row r="1243" spans="11:15" x14ac:dyDescent="0.3">
      <c r="K1243" t="str">
        <f t="shared" si="99"/>
        <v/>
      </c>
      <c r="L1243" t="str">
        <f t="shared" si="95"/>
        <v/>
      </c>
      <c r="M1243" t="str">
        <f t="shared" si="96"/>
        <v/>
      </c>
      <c r="N1243" t="str">
        <f t="shared" si="97"/>
        <v/>
      </c>
      <c r="O1243" t="str">
        <f t="shared" si="98"/>
        <v/>
      </c>
    </row>
    <row r="1244" spans="11:15" x14ac:dyDescent="0.3">
      <c r="K1244" t="str">
        <f t="shared" si="99"/>
        <v/>
      </c>
      <c r="L1244" t="str">
        <f t="shared" si="95"/>
        <v/>
      </c>
      <c r="M1244" t="str">
        <f t="shared" si="96"/>
        <v/>
      </c>
      <c r="N1244" t="str">
        <f t="shared" si="97"/>
        <v/>
      </c>
      <c r="O1244" t="str">
        <f t="shared" si="98"/>
        <v/>
      </c>
    </row>
    <row r="1245" spans="11:15" x14ac:dyDescent="0.3">
      <c r="K1245" t="str">
        <f t="shared" si="99"/>
        <v/>
      </c>
      <c r="L1245" t="str">
        <f t="shared" si="95"/>
        <v/>
      </c>
      <c r="M1245" t="str">
        <f t="shared" si="96"/>
        <v/>
      </c>
      <c r="N1245" t="str">
        <f t="shared" si="97"/>
        <v/>
      </c>
      <c r="O1245" t="str">
        <f t="shared" si="98"/>
        <v/>
      </c>
    </row>
    <row r="1246" spans="11:15" x14ac:dyDescent="0.3">
      <c r="K1246" t="str">
        <f t="shared" si="99"/>
        <v/>
      </c>
      <c r="L1246" t="str">
        <f t="shared" si="95"/>
        <v/>
      </c>
      <c r="M1246" t="str">
        <f t="shared" si="96"/>
        <v/>
      </c>
      <c r="N1246" t="str">
        <f t="shared" si="97"/>
        <v/>
      </c>
      <c r="O1246" t="str">
        <f t="shared" si="98"/>
        <v/>
      </c>
    </row>
    <row r="1247" spans="11:15" x14ac:dyDescent="0.3">
      <c r="K1247" t="str">
        <f t="shared" si="99"/>
        <v/>
      </c>
      <c r="L1247" t="str">
        <f t="shared" si="95"/>
        <v/>
      </c>
      <c r="M1247" t="str">
        <f t="shared" si="96"/>
        <v/>
      </c>
      <c r="N1247" t="str">
        <f t="shared" si="97"/>
        <v/>
      </c>
      <c r="O1247" t="str">
        <f t="shared" si="98"/>
        <v/>
      </c>
    </row>
    <row r="1248" spans="11:15" x14ac:dyDescent="0.3">
      <c r="K1248" t="str">
        <f t="shared" si="99"/>
        <v/>
      </c>
      <c r="L1248" t="str">
        <f t="shared" si="95"/>
        <v/>
      </c>
      <c r="M1248" t="str">
        <f t="shared" si="96"/>
        <v/>
      </c>
      <c r="N1248" t="str">
        <f t="shared" si="97"/>
        <v/>
      </c>
      <c r="O1248" t="str">
        <f t="shared" si="98"/>
        <v/>
      </c>
    </row>
    <row r="1249" spans="11:15" x14ac:dyDescent="0.3">
      <c r="K1249" t="str">
        <f t="shared" si="99"/>
        <v/>
      </c>
      <c r="L1249" t="str">
        <f t="shared" si="95"/>
        <v/>
      </c>
      <c r="M1249" t="str">
        <f t="shared" si="96"/>
        <v/>
      </c>
      <c r="N1249" t="str">
        <f t="shared" si="97"/>
        <v/>
      </c>
      <c r="O1249" t="str">
        <f t="shared" si="98"/>
        <v/>
      </c>
    </row>
    <row r="1250" spans="11:15" x14ac:dyDescent="0.3">
      <c r="K1250" t="str">
        <f t="shared" si="99"/>
        <v/>
      </c>
      <c r="L1250" t="str">
        <f t="shared" si="95"/>
        <v/>
      </c>
      <c r="M1250" t="str">
        <f t="shared" si="96"/>
        <v/>
      </c>
      <c r="N1250" t="str">
        <f t="shared" si="97"/>
        <v/>
      </c>
      <c r="O1250" t="str">
        <f t="shared" si="98"/>
        <v/>
      </c>
    </row>
    <row r="1251" spans="11:15" x14ac:dyDescent="0.3">
      <c r="K1251" t="str">
        <f t="shared" si="99"/>
        <v/>
      </c>
      <c r="L1251" t="str">
        <f t="shared" si="95"/>
        <v/>
      </c>
      <c r="M1251" t="str">
        <f t="shared" si="96"/>
        <v/>
      </c>
      <c r="N1251" t="str">
        <f t="shared" si="97"/>
        <v/>
      </c>
      <c r="O1251" t="str">
        <f t="shared" si="98"/>
        <v/>
      </c>
    </row>
    <row r="1252" spans="11:15" x14ac:dyDescent="0.3">
      <c r="K1252" t="str">
        <f t="shared" si="99"/>
        <v/>
      </c>
      <c r="L1252" t="str">
        <f t="shared" si="95"/>
        <v/>
      </c>
      <c r="M1252" t="str">
        <f t="shared" si="96"/>
        <v/>
      </c>
      <c r="N1252" t="str">
        <f t="shared" si="97"/>
        <v/>
      </c>
      <c r="O1252" t="str">
        <f t="shared" si="98"/>
        <v/>
      </c>
    </row>
    <row r="1253" spans="11:15" x14ac:dyDescent="0.3">
      <c r="K1253" t="str">
        <f t="shared" si="99"/>
        <v/>
      </c>
      <c r="L1253" t="str">
        <f t="shared" si="95"/>
        <v/>
      </c>
      <c r="M1253" t="str">
        <f t="shared" si="96"/>
        <v/>
      </c>
      <c r="N1253" t="str">
        <f t="shared" si="97"/>
        <v/>
      </c>
      <c r="O1253" t="str">
        <f t="shared" si="98"/>
        <v/>
      </c>
    </row>
    <row r="1254" spans="11:15" x14ac:dyDescent="0.3">
      <c r="K1254" t="str">
        <f t="shared" si="99"/>
        <v/>
      </c>
      <c r="L1254" t="str">
        <f t="shared" si="95"/>
        <v/>
      </c>
      <c r="M1254" t="str">
        <f t="shared" si="96"/>
        <v/>
      </c>
      <c r="N1254" t="str">
        <f t="shared" si="97"/>
        <v/>
      </c>
      <c r="O1254" t="str">
        <f t="shared" si="98"/>
        <v/>
      </c>
    </row>
    <row r="1255" spans="11:15" x14ac:dyDescent="0.3">
      <c r="K1255" t="str">
        <f t="shared" si="99"/>
        <v/>
      </c>
      <c r="L1255" t="str">
        <f t="shared" si="95"/>
        <v/>
      </c>
      <c r="M1255" t="str">
        <f t="shared" si="96"/>
        <v/>
      </c>
      <c r="N1255" t="str">
        <f t="shared" si="97"/>
        <v/>
      </c>
      <c r="O1255" t="str">
        <f t="shared" si="98"/>
        <v/>
      </c>
    </row>
    <row r="1256" spans="11:15" x14ac:dyDescent="0.3">
      <c r="K1256" t="str">
        <f t="shared" si="99"/>
        <v/>
      </c>
      <c r="L1256" t="str">
        <f t="shared" si="95"/>
        <v/>
      </c>
      <c r="M1256" t="str">
        <f t="shared" si="96"/>
        <v/>
      </c>
      <c r="N1256" t="str">
        <f t="shared" si="97"/>
        <v/>
      </c>
      <c r="O1256" t="str">
        <f t="shared" si="98"/>
        <v/>
      </c>
    </row>
    <row r="1257" spans="11:15" x14ac:dyDescent="0.3">
      <c r="K1257" t="str">
        <f t="shared" si="99"/>
        <v/>
      </c>
      <c r="L1257" t="str">
        <f t="shared" si="95"/>
        <v/>
      </c>
      <c r="M1257" t="str">
        <f t="shared" si="96"/>
        <v/>
      </c>
      <c r="N1257" t="str">
        <f t="shared" si="97"/>
        <v/>
      </c>
      <c r="O1257" t="str">
        <f t="shared" si="98"/>
        <v/>
      </c>
    </row>
    <row r="1258" spans="11:15" x14ac:dyDescent="0.3">
      <c r="K1258" t="str">
        <f t="shared" si="99"/>
        <v/>
      </c>
      <c r="L1258" t="str">
        <f t="shared" si="95"/>
        <v/>
      </c>
      <c r="M1258" t="str">
        <f t="shared" si="96"/>
        <v/>
      </c>
      <c r="N1258" t="str">
        <f t="shared" si="97"/>
        <v/>
      </c>
      <c r="O1258" t="str">
        <f t="shared" si="98"/>
        <v/>
      </c>
    </row>
    <row r="1259" spans="11:15" x14ac:dyDescent="0.3">
      <c r="K1259" t="str">
        <f t="shared" si="99"/>
        <v/>
      </c>
      <c r="L1259" t="str">
        <f t="shared" si="95"/>
        <v/>
      </c>
      <c r="M1259" t="str">
        <f t="shared" si="96"/>
        <v/>
      </c>
      <c r="N1259" t="str">
        <f t="shared" si="97"/>
        <v/>
      </c>
      <c r="O1259" t="str">
        <f t="shared" si="98"/>
        <v/>
      </c>
    </row>
    <row r="1260" spans="11:15" x14ac:dyDescent="0.3">
      <c r="K1260" t="str">
        <f t="shared" si="99"/>
        <v/>
      </c>
      <c r="L1260" t="str">
        <f t="shared" si="95"/>
        <v/>
      </c>
      <c r="M1260" t="str">
        <f t="shared" si="96"/>
        <v/>
      </c>
      <c r="N1260" t="str">
        <f t="shared" si="97"/>
        <v/>
      </c>
      <c r="O1260" t="str">
        <f t="shared" si="98"/>
        <v/>
      </c>
    </row>
    <row r="1261" spans="11:15" x14ac:dyDescent="0.3">
      <c r="K1261" t="str">
        <f t="shared" si="99"/>
        <v/>
      </c>
      <c r="L1261" t="str">
        <f t="shared" si="95"/>
        <v/>
      </c>
      <c r="M1261" t="str">
        <f t="shared" si="96"/>
        <v/>
      </c>
      <c r="N1261" t="str">
        <f t="shared" si="97"/>
        <v/>
      </c>
      <c r="O1261" t="str">
        <f t="shared" si="98"/>
        <v/>
      </c>
    </row>
    <row r="1262" spans="11:15" x14ac:dyDescent="0.3">
      <c r="K1262" t="str">
        <f t="shared" si="99"/>
        <v/>
      </c>
      <c r="L1262" t="str">
        <f t="shared" si="95"/>
        <v/>
      </c>
      <c r="M1262" t="str">
        <f t="shared" si="96"/>
        <v/>
      </c>
      <c r="N1262" t="str">
        <f t="shared" si="97"/>
        <v/>
      </c>
      <c r="O1262" t="str">
        <f t="shared" si="98"/>
        <v/>
      </c>
    </row>
    <row r="1263" spans="11:15" x14ac:dyDescent="0.3">
      <c r="K1263" t="str">
        <f t="shared" si="99"/>
        <v/>
      </c>
      <c r="L1263" t="str">
        <f t="shared" si="95"/>
        <v/>
      </c>
      <c r="M1263" t="str">
        <f t="shared" si="96"/>
        <v/>
      </c>
      <c r="N1263" t="str">
        <f t="shared" si="97"/>
        <v/>
      </c>
      <c r="O1263" t="str">
        <f t="shared" si="98"/>
        <v/>
      </c>
    </row>
    <row r="1264" spans="11:15" x14ac:dyDescent="0.3">
      <c r="K1264" t="str">
        <f t="shared" si="99"/>
        <v/>
      </c>
      <c r="L1264" t="str">
        <f t="shared" si="95"/>
        <v/>
      </c>
      <c r="M1264" t="str">
        <f t="shared" si="96"/>
        <v/>
      </c>
      <c r="N1264" t="str">
        <f t="shared" si="97"/>
        <v/>
      </c>
      <c r="O1264" t="str">
        <f t="shared" si="98"/>
        <v/>
      </c>
    </row>
    <row r="1265" spans="11:15" x14ac:dyDescent="0.3">
      <c r="K1265" t="str">
        <f t="shared" si="99"/>
        <v/>
      </c>
      <c r="L1265" t="str">
        <f t="shared" si="95"/>
        <v/>
      </c>
      <c r="M1265" t="str">
        <f t="shared" si="96"/>
        <v/>
      </c>
      <c r="N1265" t="str">
        <f t="shared" si="97"/>
        <v/>
      </c>
      <c r="O1265" t="str">
        <f t="shared" si="98"/>
        <v/>
      </c>
    </row>
    <row r="1266" spans="11:15" x14ac:dyDescent="0.3">
      <c r="K1266" t="str">
        <f t="shared" si="99"/>
        <v/>
      </c>
      <c r="L1266" t="str">
        <f t="shared" si="95"/>
        <v/>
      </c>
      <c r="M1266" t="str">
        <f t="shared" si="96"/>
        <v/>
      </c>
      <c r="N1266" t="str">
        <f t="shared" si="97"/>
        <v/>
      </c>
      <c r="O1266" t="str">
        <f t="shared" si="98"/>
        <v/>
      </c>
    </row>
    <row r="1267" spans="11:15" x14ac:dyDescent="0.3">
      <c r="K1267" t="str">
        <f t="shared" si="99"/>
        <v/>
      </c>
      <c r="L1267" t="str">
        <f t="shared" si="95"/>
        <v/>
      </c>
      <c r="M1267" t="str">
        <f t="shared" si="96"/>
        <v/>
      </c>
      <c r="N1267" t="str">
        <f t="shared" si="97"/>
        <v/>
      </c>
      <c r="O1267" t="str">
        <f t="shared" si="98"/>
        <v/>
      </c>
    </row>
    <row r="1268" spans="11:15" x14ac:dyDescent="0.3">
      <c r="K1268" t="str">
        <f t="shared" si="99"/>
        <v/>
      </c>
      <c r="L1268" t="str">
        <f t="shared" si="95"/>
        <v/>
      </c>
      <c r="M1268" t="str">
        <f t="shared" si="96"/>
        <v/>
      </c>
      <c r="N1268" t="str">
        <f t="shared" si="97"/>
        <v/>
      </c>
      <c r="O1268" t="str">
        <f t="shared" si="98"/>
        <v/>
      </c>
    </row>
    <row r="1269" spans="11:15" x14ac:dyDescent="0.3">
      <c r="K1269" t="str">
        <f t="shared" si="99"/>
        <v/>
      </c>
      <c r="L1269" t="str">
        <f t="shared" si="95"/>
        <v/>
      </c>
      <c r="M1269" t="str">
        <f t="shared" si="96"/>
        <v/>
      </c>
      <c r="N1269" t="str">
        <f t="shared" si="97"/>
        <v/>
      </c>
      <c r="O1269" t="str">
        <f t="shared" si="98"/>
        <v/>
      </c>
    </row>
    <row r="1270" spans="11:15" x14ac:dyDescent="0.3">
      <c r="K1270" t="str">
        <f t="shared" si="99"/>
        <v/>
      </c>
      <c r="L1270" t="str">
        <f t="shared" si="95"/>
        <v/>
      </c>
      <c r="M1270" t="str">
        <f t="shared" si="96"/>
        <v/>
      </c>
      <c r="N1270" t="str">
        <f t="shared" si="97"/>
        <v/>
      </c>
      <c r="O1270" t="str">
        <f t="shared" si="98"/>
        <v/>
      </c>
    </row>
    <row r="1271" spans="11:15" x14ac:dyDescent="0.3">
      <c r="K1271" t="str">
        <f t="shared" si="99"/>
        <v/>
      </c>
      <c r="L1271" t="str">
        <f t="shared" si="95"/>
        <v/>
      </c>
      <c r="M1271" t="str">
        <f t="shared" si="96"/>
        <v/>
      </c>
      <c r="N1271" t="str">
        <f t="shared" si="97"/>
        <v/>
      </c>
      <c r="O1271" t="str">
        <f t="shared" si="98"/>
        <v/>
      </c>
    </row>
    <row r="1272" spans="11:15" x14ac:dyDescent="0.3">
      <c r="K1272" t="str">
        <f t="shared" si="99"/>
        <v/>
      </c>
      <c r="L1272" t="str">
        <f t="shared" si="95"/>
        <v/>
      </c>
      <c r="M1272" t="str">
        <f t="shared" si="96"/>
        <v/>
      </c>
      <c r="N1272" t="str">
        <f t="shared" si="97"/>
        <v/>
      </c>
      <c r="O1272" t="str">
        <f t="shared" si="98"/>
        <v/>
      </c>
    </row>
    <row r="1273" spans="11:15" x14ac:dyDescent="0.3">
      <c r="K1273" t="str">
        <f t="shared" si="99"/>
        <v/>
      </c>
      <c r="L1273" t="str">
        <f t="shared" si="95"/>
        <v/>
      </c>
      <c r="M1273" t="str">
        <f t="shared" si="96"/>
        <v/>
      </c>
      <c r="N1273" t="str">
        <f t="shared" si="97"/>
        <v/>
      </c>
      <c r="O1273" t="str">
        <f t="shared" si="98"/>
        <v/>
      </c>
    </row>
    <row r="1274" spans="11:15" x14ac:dyDescent="0.3">
      <c r="K1274" t="str">
        <f t="shared" si="99"/>
        <v/>
      </c>
      <c r="L1274" t="str">
        <f t="shared" si="95"/>
        <v/>
      </c>
      <c r="M1274" t="str">
        <f t="shared" si="96"/>
        <v/>
      </c>
      <c r="N1274" t="str">
        <f t="shared" si="97"/>
        <v/>
      </c>
      <c r="O1274" t="str">
        <f t="shared" si="98"/>
        <v/>
      </c>
    </row>
    <row r="1275" spans="11:15" x14ac:dyDescent="0.3">
      <c r="K1275" t="str">
        <f t="shared" si="99"/>
        <v/>
      </c>
      <c r="L1275" t="str">
        <f t="shared" si="95"/>
        <v/>
      </c>
      <c r="M1275" t="str">
        <f t="shared" si="96"/>
        <v/>
      </c>
      <c r="N1275" t="str">
        <f t="shared" si="97"/>
        <v/>
      </c>
      <c r="O1275" t="str">
        <f t="shared" si="98"/>
        <v/>
      </c>
    </row>
    <row r="1276" spans="11:15" x14ac:dyDescent="0.3">
      <c r="K1276" t="str">
        <f t="shared" si="99"/>
        <v/>
      </c>
      <c r="L1276" t="str">
        <f t="shared" si="95"/>
        <v/>
      </c>
      <c r="M1276" t="str">
        <f t="shared" si="96"/>
        <v/>
      </c>
      <c r="N1276" t="str">
        <f t="shared" si="97"/>
        <v/>
      </c>
      <c r="O1276" t="str">
        <f t="shared" si="98"/>
        <v/>
      </c>
    </row>
    <row r="1277" spans="11:15" x14ac:dyDescent="0.3">
      <c r="K1277" t="str">
        <f t="shared" si="99"/>
        <v/>
      </c>
      <c r="L1277" t="str">
        <f t="shared" si="95"/>
        <v/>
      </c>
      <c r="M1277" t="str">
        <f t="shared" si="96"/>
        <v/>
      </c>
      <c r="N1277" t="str">
        <f t="shared" si="97"/>
        <v/>
      </c>
      <c r="O1277" t="str">
        <f t="shared" si="98"/>
        <v/>
      </c>
    </row>
    <row r="1278" spans="11:15" x14ac:dyDescent="0.3">
      <c r="K1278" t="str">
        <f t="shared" si="99"/>
        <v/>
      </c>
      <c r="L1278" t="str">
        <f t="shared" si="95"/>
        <v/>
      </c>
      <c r="M1278" t="str">
        <f t="shared" si="96"/>
        <v/>
      </c>
      <c r="N1278" t="str">
        <f t="shared" si="97"/>
        <v/>
      </c>
      <c r="O1278" t="str">
        <f t="shared" si="98"/>
        <v/>
      </c>
    </row>
    <row r="1279" spans="11:15" x14ac:dyDescent="0.3">
      <c r="K1279" t="str">
        <f t="shared" si="99"/>
        <v/>
      </c>
      <c r="L1279" t="str">
        <f t="shared" si="95"/>
        <v/>
      </c>
      <c r="M1279" t="str">
        <f t="shared" si="96"/>
        <v/>
      </c>
      <c r="N1279" t="str">
        <f t="shared" si="97"/>
        <v/>
      </c>
      <c r="O1279" t="str">
        <f t="shared" si="98"/>
        <v/>
      </c>
    </row>
    <row r="1280" spans="11:15" x14ac:dyDescent="0.3">
      <c r="K1280" t="str">
        <f t="shared" si="99"/>
        <v/>
      </c>
      <c r="L1280" t="str">
        <f t="shared" si="95"/>
        <v/>
      </c>
      <c r="M1280" t="str">
        <f t="shared" si="96"/>
        <v/>
      </c>
      <c r="N1280" t="str">
        <f t="shared" si="97"/>
        <v/>
      </c>
      <c r="O1280" t="str">
        <f t="shared" si="98"/>
        <v/>
      </c>
    </row>
    <row r="1281" spans="11:15" x14ac:dyDescent="0.3">
      <c r="K1281" t="str">
        <f t="shared" si="99"/>
        <v/>
      </c>
      <c r="L1281" t="str">
        <f t="shared" ref="L1281:L1344" si="100">IF(A1281="","",IF(ISNUMBER(--LEFT(A1281,FIND(" - ",A1281&amp;" - ")-1)),LEFT(A1281,FIND(" - ",A1281&amp;" - ")-1),TRIM(A1281)))</f>
        <v/>
      </c>
      <c r="M1281" t="str">
        <f t="shared" ref="M1281:M1344" si="101">IF(OR(K1281="",K1281=A1281,A1281=""),"",K1281&amp;"|"&amp;L1281)</f>
        <v/>
      </c>
      <c r="N1281" t="str">
        <f t="shared" ref="N1281:N1344" si="102">IF(M1281="","",IF(ISNUMBER(B1281),B1281,IFERROR(_xlfn.NUMBERVALUE(B1281,".",","),0)))</f>
        <v/>
      </c>
      <c r="O1281" t="str">
        <f t="shared" ref="O1281:O1344" si="103">IF(M1281="","",IF(ISNUMBER(C1281),C1281,IFERROR(_xlfn.NUMBERVALUE(C1281,".",","),0)))</f>
        <v/>
      </c>
    </row>
    <row r="1282" spans="11:15" x14ac:dyDescent="0.3">
      <c r="K1282" t="str">
        <f t="shared" ref="K1282:K1345" si="104">IF(OR(LEFT(B1282,9)="DOANH THU",LEFT(B1282,8)="SỐ LƯỢNG"),A1282,K1281)</f>
        <v/>
      </c>
      <c r="L1282" t="str">
        <f t="shared" si="100"/>
        <v/>
      </c>
      <c r="M1282" t="str">
        <f t="shared" si="101"/>
        <v/>
      </c>
      <c r="N1282" t="str">
        <f t="shared" si="102"/>
        <v/>
      </c>
      <c r="O1282" t="str">
        <f t="shared" si="103"/>
        <v/>
      </c>
    </row>
    <row r="1283" spans="11:15" x14ac:dyDescent="0.3">
      <c r="K1283" t="str">
        <f t="shared" si="104"/>
        <v/>
      </c>
      <c r="L1283" t="str">
        <f t="shared" si="100"/>
        <v/>
      </c>
      <c r="M1283" t="str">
        <f t="shared" si="101"/>
        <v/>
      </c>
      <c r="N1283" t="str">
        <f t="shared" si="102"/>
        <v/>
      </c>
      <c r="O1283" t="str">
        <f t="shared" si="103"/>
        <v/>
      </c>
    </row>
    <row r="1284" spans="11:15" x14ac:dyDescent="0.3">
      <c r="K1284" t="str">
        <f t="shared" si="104"/>
        <v/>
      </c>
      <c r="L1284" t="str">
        <f t="shared" si="100"/>
        <v/>
      </c>
      <c r="M1284" t="str">
        <f t="shared" si="101"/>
        <v/>
      </c>
      <c r="N1284" t="str">
        <f t="shared" si="102"/>
        <v/>
      </c>
      <c r="O1284" t="str">
        <f t="shared" si="103"/>
        <v/>
      </c>
    </row>
    <row r="1285" spans="11:15" x14ac:dyDescent="0.3">
      <c r="K1285" t="str">
        <f t="shared" si="104"/>
        <v/>
      </c>
      <c r="L1285" t="str">
        <f t="shared" si="100"/>
        <v/>
      </c>
      <c r="M1285" t="str">
        <f t="shared" si="101"/>
        <v/>
      </c>
      <c r="N1285" t="str">
        <f t="shared" si="102"/>
        <v/>
      </c>
      <c r="O1285" t="str">
        <f t="shared" si="103"/>
        <v/>
      </c>
    </row>
    <row r="1286" spans="11:15" x14ac:dyDescent="0.3">
      <c r="K1286" t="str">
        <f t="shared" si="104"/>
        <v/>
      </c>
      <c r="L1286" t="str">
        <f t="shared" si="100"/>
        <v/>
      </c>
      <c r="M1286" t="str">
        <f t="shared" si="101"/>
        <v/>
      </c>
      <c r="N1286" t="str">
        <f t="shared" si="102"/>
        <v/>
      </c>
      <c r="O1286" t="str">
        <f t="shared" si="103"/>
        <v/>
      </c>
    </row>
    <row r="1287" spans="11:15" x14ac:dyDescent="0.3">
      <c r="K1287" t="str">
        <f t="shared" si="104"/>
        <v/>
      </c>
      <c r="L1287" t="str">
        <f t="shared" si="100"/>
        <v/>
      </c>
      <c r="M1287" t="str">
        <f t="shared" si="101"/>
        <v/>
      </c>
      <c r="N1287" t="str">
        <f t="shared" si="102"/>
        <v/>
      </c>
      <c r="O1287" t="str">
        <f t="shared" si="103"/>
        <v/>
      </c>
    </row>
    <row r="1288" spans="11:15" x14ac:dyDescent="0.3">
      <c r="K1288" t="str">
        <f t="shared" si="104"/>
        <v/>
      </c>
      <c r="L1288" t="str">
        <f t="shared" si="100"/>
        <v/>
      </c>
      <c r="M1288" t="str">
        <f t="shared" si="101"/>
        <v/>
      </c>
      <c r="N1288" t="str">
        <f t="shared" si="102"/>
        <v/>
      </c>
      <c r="O1288" t="str">
        <f t="shared" si="103"/>
        <v/>
      </c>
    </row>
    <row r="1289" spans="11:15" x14ac:dyDescent="0.3">
      <c r="K1289" t="str">
        <f t="shared" si="104"/>
        <v/>
      </c>
      <c r="L1289" t="str">
        <f t="shared" si="100"/>
        <v/>
      </c>
      <c r="M1289" t="str">
        <f t="shared" si="101"/>
        <v/>
      </c>
      <c r="N1289" t="str">
        <f t="shared" si="102"/>
        <v/>
      </c>
      <c r="O1289" t="str">
        <f t="shared" si="103"/>
        <v/>
      </c>
    </row>
    <row r="1290" spans="11:15" x14ac:dyDescent="0.3">
      <c r="K1290" t="str">
        <f t="shared" si="104"/>
        <v/>
      </c>
      <c r="L1290" t="str">
        <f t="shared" si="100"/>
        <v/>
      </c>
      <c r="M1290" t="str">
        <f t="shared" si="101"/>
        <v/>
      </c>
      <c r="N1290" t="str">
        <f t="shared" si="102"/>
        <v/>
      </c>
      <c r="O1290" t="str">
        <f t="shared" si="103"/>
        <v/>
      </c>
    </row>
    <row r="1291" spans="11:15" x14ac:dyDescent="0.3">
      <c r="K1291" t="str">
        <f t="shared" si="104"/>
        <v/>
      </c>
      <c r="L1291" t="str">
        <f t="shared" si="100"/>
        <v/>
      </c>
      <c r="M1291" t="str">
        <f t="shared" si="101"/>
        <v/>
      </c>
      <c r="N1291" t="str">
        <f t="shared" si="102"/>
        <v/>
      </c>
      <c r="O1291" t="str">
        <f t="shared" si="103"/>
        <v/>
      </c>
    </row>
    <row r="1292" spans="11:15" x14ac:dyDescent="0.3">
      <c r="K1292" t="str">
        <f t="shared" si="104"/>
        <v/>
      </c>
      <c r="L1292" t="str">
        <f t="shared" si="100"/>
        <v/>
      </c>
      <c r="M1292" t="str">
        <f t="shared" si="101"/>
        <v/>
      </c>
      <c r="N1292" t="str">
        <f t="shared" si="102"/>
        <v/>
      </c>
      <c r="O1292" t="str">
        <f t="shared" si="103"/>
        <v/>
      </c>
    </row>
    <row r="1293" spans="11:15" x14ac:dyDescent="0.3">
      <c r="K1293" t="str">
        <f t="shared" si="104"/>
        <v/>
      </c>
      <c r="L1293" t="str">
        <f t="shared" si="100"/>
        <v/>
      </c>
      <c r="M1293" t="str">
        <f t="shared" si="101"/>
        <v/>
      </c>
      <c r="N1293" t="str">
        <f t="shared" si="102"/>
        <v/>
      </c>
      <c r="O1293" t="str">
        <f t="shared" si="103"/>
        <v/>
      </c>
    </row>
    <row r="1294" spans="11:15" x14ac:dyDescent="0.3">
      <c r="K1294" t="str">
        <f t="shared" si="104"/>
        <v/>
      </c>
      <c r="L1294" t="str">
        <f t="shared" si="100"/>
        <v/>
      </c>
      <c r="M1294" t="str">
        <f t="shared" si="101"/>
        <v/>
      </c>
      <c r="N1294" t="str">
        <f t="shared" si="102"/>
        <v/>
      </c>
      <c r="O1294" t="str">
        <f t="shared" si="103"/>
        <v/>
      </c>
    </row>
    <row r="1295" spans="11:15" x14ac:dyDescent="0.3">
      <c r="K1295" t="str">
        <f t="shared" si="104"/>
        <v/>
      </c>
      <c r="L1295" t="str">
        <f t="shared" si="100"/>
        <v/>
      </c>
      <c r="M1295" t="str">
        <f t="shared" si="101"/>
        <v/>
      </c>
      <c r="N1295" t="str">
        <f t="shared" si="102"/>
        <v/>
      </c>
      <c r="O1295" t="str">
        <f t="shared" si="103"/>
        <v/>
      </c>
    </row>
    <row r="1296" spans="11:15" x14ac:dyDescent="0.3">
      <c r="K1296" t="str">
        <f t="shared" si="104"/>
        <v/>
      </c>
      <c r="L1296" t="str">
        <f t="shared" si="100"/>
        <v/>
      </c>
      <c r="M1296" t="str">
        <f t="shared" si="101"/>
        <v/>
      </c>
      <c r="N1296" t="str">
        <f t="shared" si="102"/>
        <v/>
      </c>
      <c r="O1296" t="str">
        <f t="shared" si="103"/>
        <v/>
      </c>
    </row>
    <row r="1297" spans="11:15" x14ac:dyDescent="0.3">
      <c r="K1297" t="str">
        <f t="shared" si="104"/>
        <v/>
      </c>
      <c r="L1297" t="str">
        <f t="shared" si="100"/>
        <v/>
      </c>
      <c r="M1297" t="str">
        <f t="shared" si="101"/>
        <v/>
      </c>
      <c r="N1297" t="str">
        <f t="shared" si="102"/>
        <v/>
      </c>
      <c r="O1297" t="str">
        <f t="shared" si="103"/>
        <v/>
      </c>
    </row>
    <row r="1298" spans="11:15" x14ac:dyDescent="0.3">
      <c r="K1298" t="str">
        <f t="shared" si="104"/>
        <v/>
      </c>
      <c r="L1298" t="str">
        <f t="shared" si="100"/>
        <v/>
      </c>
      <c r="M1298" t="str">
        <f t="shared" si="101"/>
        <v/>
      </c>
      <c r="N1298" t="str">
        <f t="shared" si="102"/>
        <v/>
      </c>
      <c r="O1298" t="str">
        <f t="shared" si="103"/>
        <v/>
      </c>
    </row>
    <row r="1299" spans="11:15" x14ac:dyDescent="0.3">
      <c r="K1299" t="str">
        <f t="shared" si="104"/>
        <v/>
      </c>
      <c r="L1299" t="str">
        <f t="shared" si="100"/>
        <v/>
      </c>
      <c r="M1299" t="str">
        <f t="shared" si="101"/>
        <v/>
      </c>
      <c r="N1299" t="str">
        <f t="shared" si="102"/>
        <v/>
      </c>
      <c r="O1299" t="str">
        <f t="shared" si="103"/>
        <v/>
      </c>
    </row>
    <row r="1300" spans="11:15" x14ac:dyDescent="0.3">
      <c r="K1300" t="str">
        <f t="shared" si="104"/>
        <v/>
      </c>
      <c r="L1300" t="str">
        <f t="shared" si="100"/>
        <v/>
      </c>
      <c r="M1300" t="str">
        <f t="shared" si="101"/>
        <v/>
      </c>
      <c r="N1300" t="str">
        <f t="shared" si="102"/>
        <v/>
      </c>
      <c r="O1300" t="str">
        <f t="shared" si="103"/>
        <v/>
      </c>
    </row>
    <row r="1301" spans="11:15" x14ac:dyDescent="0.3">
      <c r="K1301" t="str">
        <f t="shared" si="104"/>
        <v/>
      </c>
      <c r="L1301" t="str">
        <f t="shared" si="100"/>
        <v/>
      </c>
      <c r="M1301" t="str">
        <f t="shared" si="101"/>
        <v/>
      </c>
      <c r="N1301" t="str">
        <f t="shared" si="102"/>
        <v/>
      </c>
      <c r="O1301" t="str">
        <f t="shared" si="103"/>
        <v/>
      </c>
    </row>
    <row r="1302" spans="11:15" x14ac:dyDescent="0.3">
      <c r="K1302" t="str">
        <f t="shared" si="104"/>
        <v/>
      </c>
      <c r="L1302" t="str">
        <f t="shared" si="100"/>
        <v/>
      </c>
      <c r="M1302" t="str">
        <f t="shared" si="101"/>
        <v/>
      </c>
      <c r="N1302" t="str">
        <f t="shared" si="102"/>
        <v/>
      </c>
      <c r="O1302" t="str">
        <f t="shared" si="103"/>
        <v/>
      </c>
    </row>
    <row r="1303" spans="11:15" x14ac:dyDescent="0.3">
      <c r="K1303" t="str">
        <f t="shared" si="104"/>
        <v/>
      </c>
      <c r="L1303" t="str">
        <f t="shared" si="100"/>
        <v/>
      </c>
      <c r="M1303" t="str">
        <f t="shared" si="101"/>
        <v/>
      </c>
      <c r="N1303" t="str">
        <f t="shared" si="102"/>
        <v/>
      </c>
      <c r="O1303" t="str">
        <f t="shared" si="103"/>
        <v/>
      </c>
    </row>
    <row r="1304" spans="11:15" x14ac:dyDescent="0.3">
      <c r="K1304" t="str">
        <f t="shared" si="104"/>
        <v/>
      </c>
      <c r="L1304" t="str">
        <f t="shared" si="100"/>
        <v/>
      </c>
      <c r="M1304" t="str">
        <f t="shared" si="101"/>
        <v/>
      </c>
      <c r="N1304" t="str">
        <f t="shared" si="102"/>
        <v/>
      </c>
      <c r="O1304" t="str">
        <f t="shared" si="103"/>
        <v/>
      </c>
    </row>
    <row r="1305" spans="11:15" x14ac:dyDescent="0.3">
      <c r="K1305" t="str">
        <f t="shared" si="104"/>
        <v/>
      </c>
      <c r="L1305" t="str">
        <f t="shared" si="100"/>
        <v/>
      </c>
      <c r="M1305" t="str">
        <f t="shared" si="101"/>
        <v/>
      </c>
      <c r="N1305" t="str">
        <f t="shared" si="102"/>
        <v/>
      </c>
      <c r="O1305" t="str">
        <f t="shared" si="103"/>
        <v/>
      </c>
    </row>
    <row r="1306" spans="11:15" x14ac:dyDescent="0.3">
      <c r="K1306" t="str">
        <f t="shared" si="104"/>
        <v/>
      </c>
      <c r="L1306" t="str">
        <f t="shared" si="100"/>
        <v/>
      </c>
      <c r="M1306" t="str">
        <f t="shared" si="101"/>
        <v/>
      </c>
      <c r="N1306" t="str">
        <f t="shared" si="102"/>
        <v/>
      </c>
      <c r="O1306" t="str">
        <f t="shared" si="103"/>
        <v/>
      </c>
    </row>
    <row r="1307" spans="11:15" x14ac:dyDescent="0.3">
      <c r="K1307" t="str">
        <f t="shared" si="104"/>
        <v/>
      </c>
      <c r="L1307" t="str">
        <f t="shared" si="100"/>
        <v/>
      </c>
      <c r="M1307" t="str">
        <f t="shared" si="101"/>
        <v/>
      </c>
      <c r="N1307" t="str">
        <f t="shared" si="102"/>
        <v/>
      </c>
      <c r="O1307" t="str">
        <f t="shared" si="103"/>
        <v/>
      </c>
    </row>
    <row r="1308" spans="11:15" x14ac:dyDescent="0.3">
      <c r="K1308" t="str">
        <f t="shared" si="104"/>
        <v/>
      </c>
      <c r="L1308" t="str">
        <f t="shared" si="100"/>
        <v/>
      </c>
      <c r="M1308" t="str">
        <f t="shared" si="101"/>
        <v/>
      </c>
      <c r="N1308" t="str">
        <f t="shared" si="102"/>
        <v/>
      </c>
      <c r="O1308" t="str">
        <f t="shared" si="103"/>
        <v/>
      </c>
    </row>
    <row r="1309" spans="11:15" x14ac:dyDescent="0.3">
      <c r="K1309" t="str">
        <f t="shared" si="104"/>
        <v/>
      </c>
      <c r="L1309" t="str">
        <f t="shared" si="100"/>
        <v/>
      </c>
      <c r="M1309" t="str">
        <f t="shared" si="101"/>
        <v/>
      </c>
      <c r="N1309" t="str">
        <f t="shared" si="102"/>
        <v/>
      </c>
      <c r="O1309" t="str">
        <f t="shared" si="103"/>
        <v/>
      </c>
    </row>
    <row r="1310" spans="11:15" x14ac:dyDescent="0.3">
      <c r="K1310" t="str">
        <f t="shared" si="104"/>
        <v/>
      </c>
      <c r="L1310" t="str">
        <f t="shared" si="100"/>
        <v/>
      </c>
      <c r="M1310" t="str">
        <f t="shared" si="101"/>
        <v/>
      </c>
      <c r="N1310" t="str">
        <f t="shared" si="102"/>
        <v/>
      </c>
      <c r="O1310" t="str">
        <f t="shared" si="103"/>
        <v/>
      </c>
    </row>
    <row r="1311" spans="11:15" x14ac:dyDescent="0.3">
      <c r="K1311" t="str">
        <f t="shared" si="104"/>
        <v/>
      </c>
      <c r="L1311" t="str">
        <f t="shared" si="100"/>
        <v/>
      </c>
      <c r="M1311" t="str">
        <f t="shared" si="101"/>
        <v/>
      </c>
      <c r="N1311" t="str">
        <f t="shared" si="102"/>
        <v/>
      </c>
      <c r="O1311" t="str">
        <f t="shared" si="103"/>
        <v/>
      </c>
    </row>
    <row r="1312" spans="11:15" x14ac:dyDescent="0.3">
      <c r="K1312" t="str">
        <f t="shared" si="104"/>
        <v/>
      </c>
      <c r="L1312" t="str">
        <f t="shared" si="100"/>
        <v/>
      </c>
      <c r="M1312" t="str">
        <f t="shared" si="101"/>
        <v/>
      </c>
      <c r="N1312" t="str">
        <f t="shared" si="102"/>
        <v/>
      </c>
      <c r="O1312" t="str">
        <f t="shared" si="103"/>
        <v/>
      </c>
    </row>
    <row r="1313" spans="11:15" x14ac:dyDescent="0.3">
      <c r="K1313" t="str">
        <f t="shared" si="104"/>
        <v/>
      </c>
      <c r="L1313" t="str">
        <f t="shared" si="100"/>
        <v/>
      </c>
      <c r="M1313" t="str">
        <f t="shared" si="101"/>
        <v/>
      </c>
      <c r="N1313" t="str">
        <f t="shared" si="102"/>
        <v/>
      </c>
      <c r="O1313" t="str">
        <f t="shared" si="103"/>
        <v/>
      </c>
    </row>
    <row r="1314" spans="11:15" x14ac:dyDescent="0.3">
      <c r="K1314" t="str">
        <f t="shared" si="104"/>
        <v/>
      </c>
      <c r="L1314" t="str">
        <f t="shared" si="100"/>
        <v/>
      </c>
      <c r="M1314" t="str">
        <f t="shared" si="101"/>
        <v/>
      </c>
      <c r="N1314" t="str">
        <f t="shared" si="102"/>
        <v/>
      </c>
      <c r="O1314" t="str">
        <f t="shared" si="103"/>
        <v/>
      </c>
    </row>
    <row r="1315" spans="11:15" x14ac:dyDescent="0.3">
      <c r="K1315" t="str">
        <f t="shared" si="104"/>
        <v/>
      </c>
      <c r="L1315" t="str">
        <f t="shared" si="100"/>
        <v/>
      </c>
      <c r="M1315" t="str">
        <f t="shared" si="101"/>
        <v/>
      </c>
      <c r="N1315" t="str">
        <f t="shared" si="102"/>
        <v/>
      </c>
      <c r="O1315" t="str">
        <f t="shared" si="103"/>
        <v/>
      </c>
    </row>
    <row r="1316" spans="11:15" x14ac:dyDescent="0.3">
      <c r="K1316" t="str">
        <f t="shared" si="104"/>
        <v/>
      </c>
      <c r="L1316" t="str">
        <f t="shared" si="100"/>
        <v/>
      </c>
      <c r="M1316" t="str">
        <f t="shared" si="101"/>
        <v/>
      </c>
      <c r="N1316" t="str">
        <f t="shared" si="102"/>
        <v/>
      </c>
      <c r="O1316" t="str">
        <f t="shared" si="103"/>
        <v/>
      </c>
    </row>
    <row r="1317" spans="11:15" x14ac:dyDescent="0.3">
      <c r="K1317" t="str">
        <f t="shared" si="104"/>
        <v/>
      </c>
      <c r="L1317" t="str">
        <f t="shared" si="100"/>
        <v/>
      </c>
      <c r="M1317" t="str">
        <f t="shared" si="101"/>
        <v/>
      </c>
      <c r="N1317" t="str">
        <f t="shared" si="102"/>
        <v/>
      </c>
      <c r="O1317" t="str">
        <f t="shared" si="103"/>
        <v/>
      </c>
    </row>
    <row r="1318" spans="11:15" x14ac:dyDescent="0.3">
      <c r="K1318" t="str">
        <f t="shared" si="104"/>
        <v/>
      </c>
      <c r="L1318" t="str">
        <f t="shared" si="100"/>
        <v/>
      </c>
      <c r="M1318" t="str">
        <f t="shared" si="101"/>
        <v/>
      </c>
      <c r="N1318" t="str">
        <f t="shared" si="102"/>
        <v/>
      </c>
      <c r="O1318" t="str">
        <f t="shared" si="103"/>
        <v/>
      </c>
    </row>
    <row r="1319" spans="11:15" x14ac:dyDescent="0.3">
      <c r="K1319" t="str">
        <f t="shared" si="104"/>
        <v/>
      </c>
      <c r="L1319" t="str">
        <f t="shared" si="100"/>
        <v/>
      </c>
      <c r="M1319" t="str">
        <f t="shared" si="101"/>
        <v/>
      </c>
      <c r="N1319" t="str">
        <f t="shared" si="102"/>
        <v/>
      </c>
      <c r="O1319" t="str">
        <f t="shared" si="103"/>
        <v/>
      </c>
    </row>
    <row r="1320" spans="11:15" x14ac:dyDescent="0.3">
      <c r="K1320" t="str">
        <f t="shared" si="104"/>
        <v/>
      </c>
      <c r="L1320" t="str">
        <f t="shared" si="100"/>
        <v/>
      </c>
      <c r="M1320" t="str">
        <f t="shared" si="101"/>
        <v/>
      </c>
      <c r="N1320" t="str">
        <f t="shared" si="102"/>
        <v/>
      </c>
      <c r="O1320" t="str">
        <f t="shared" si="103"/>
        <v/>
      </c>
    </row>
    <row r="1321" spans="11:15" x14ac:dyDescent="0.3">
      <c r="K1321" t="str">
        <f t="shared" si="104"/>
        <v/>
      </c>
      <c r="L1321" t="str">
        <f t="shared" si="100"/>
        <v/>
      </c>
      <c r="M1321" t="str">
        <f t="shared" si="101"/>
        <v/>
      </c>
      <c r="N1321" t="str">
        <f t="shared" si="102"/>
        <v/>
      </c>
      <c r="O1321" t="str">
        <f t="shared" si="103"/>
        <v/>
      </c>
    </row>
    <row r="1322" spans="11:15" x14ac:dyDescent="0.3">
      <c r="K1322" t="str">
        <f t="shared" si="104"/>
        <v/>
      </c>
      <c r="L1322" t="str">
        <f t="shared" si="100"/>
        <v/>
      </c>
      <c r="M1322" t="str">
        <f t="shared" si="101"/>
        <v/>
      </c>
      <c r="N1322" t="str">
        <f t="shared" si="102"/>
        <v/>
      </c>
      <c r="O1322" t="str">
        <f t="shared" si="103"/>
        <v/>
      </c>
    </row>
    <row r="1323" spans="11:15" x14ac:dyDescent="0.3">
      <c r="K1323" t="str">
        <f t="shared" si="104"/>
        <v/>
      </c>
      <c r="L1323" t="str">
        <f t="shared" si="100"/>
        <v/>
      </c>
      <c r="M1323" t="str">
        <f t="shared" si="101"/>
        <v/>
      </c>
      <c r="N1323" t="str">
        <f t="shared" si="102"/>
        <v/>
      </c>
      <c r="O1323" t="str">
        <f t="shared" si="103"/>
        <v/>
      </c>
    </row>
    <row r="1324" spans="11:15" x14ac:dyDescent="0.3">
      <c r="K1324" t="str">
        <f t="shared" si="104"/>
        <v/>
      </c>
      <c r="L1324" t="str">
        <f t="shared" si="100"/>
        <v/>
      </c>
      <c r="M1324" t="str">
        <f t="shared" si="101"/>
        <v/>
      </c>
      <c r="N1324" t="str">
        <f t="shared" si="102"/>
        <v/>
      </c>
      <c r="O1324" t="str">
        <f t="shared" si="103"/>
        <v/>
      </c>
    </row>
    <row r="1325" spans="11:15" x14ac:dyDescent="0.3">
      <c r="K1325" t="str">
        <f t="shared" si="104"/>
        <v/>
      </c>
      <c r="L1325" t="str">
        <f t="shared" si="100"/>
        <v/>
      </c>
      <c r="M1325" t="str">
        <f t="shared" si="101"/>
        <v/>
      </c>
      <c r="N1325" t="str">
        <f t="shared" si="102"/>
        <v/>
      </c>
      <c r="O1325" t="str">
        <f t="shared" si="103"/>
        <v/>
      </c>
    </row>
    <row r="1326" spans="11:15" x14ac:dyDescent="0.3">
      <c r="K1326" t="str">
        <f t="shared" si="104"/>
        <v/>
      </c>
      <c r="L1326" t="str">
        <f t="shared" si="100"/>
        <v/>
      </c>
      <c r="M1326" t="str">
        <f t="shared" si="101"/>
        <v/>
      </c>
      <c r="N1326" t="str">
        <f t="shared" si="102"/>
        <v/>
      </c>
      <c r="O1326" t="str">
        <f t="shared" si="103"/>
        <v/>
      </c>
    </row>
    <row r="1327" spans="11:15" x14ac:dyDescent="0.3">
      <c r="K1327" t="str">
        <f t="shared" si="104"/>
        <v/>
      </c>
      <c r="L1327" t="str">
        <f t="shared" si="100"/>
        <v/>
      </c>
      <c r="M1327" t="str">
        <f t="shared" si="101"/>
        <v/>
      </c>
      <c r="N1327" t="str">
        <f t="shared" si="102"/>
        <v/>
      </c>
      <c r="O1327" t="str">
        <f t="shared" si="103"/>
        <v/>
      </c>
    </row>
    <row r="1328" spans="11:15" x14ac:dyDescent="0.3">
      <c r="K1328" t="str">
        <f t="shared" si="104"/>
        <v/>
      </c>
      <c r="L1328" t="str">
        <f t="shared" si="100"/>
        <v/>
      </c>
      <c r="M1328" t="str">
        <f t="shared" si="101"/>
        <v/>
      </c>
      <c r="N1328" t="str">
        <f t="shared" si="102"/>
        <v/>
      </c>
      <c r="O1328" t="str">
        <f t="shared" si="103"/>
        <v/>
      </c>
    </row>
    <row r="1329" spans="11:15" x14ac:dyDescent="0.3">
      <c r="K1329" t="str">
        <f t="shared" si="104"/>
        <v/>
      </c>
      <c r="L1329" t="str">
        <f t="shared" si="100"/>
        <v/>
      </c>
      <c r="M1329" t="str">
        <f t="shared" si="101"/>
        <v/>
      </c>
      <c r="N1329" t="str">
        <f t="shared" si="102"/>
        <v/>
      </c>
      <c r="O1329" t="str">
        <f t="shared" si="103"/>
        <v/>
      </c>
    </row>
    <row r="1330" spans="11:15" x14ac:dyDescent="0.3">
      <c r="K1330" t="str">
        <f t="shared" si="104"/>
        <v/>
      </c>
      <c r="L1330" t="str">
        <f t="shared" si="100"/>
        <v/>
      </c>
      <c r="M1330" t="str">
        <f t="shared" si="101"/>
        <v/>
      </c>
      <c r="N1330" t="str">
        <f t="shared" si="102"/>
        <v/>
      </c>
      <c r="O1330" t="str">
        <f t="shared" si="103"/>
        <v/>
      </c>
    </row>
    <row r="1331" spans="11:15" x14ac:dyDescent="0.3">
      <c r="K1331" t="str">
        <f t="shared" si="104"/>
        <v/>
      </c>
      <c r="L1331" t="str">
        <f t="shared" si="100"/>
        <v/>
      </c>
      <c r="M1331" t="str">
        <f t="shared" si="101"/>
        <v/>
      </c>
      <c r="N1331" t="str">
        <f t="shared" si="102"/>
        <v/>
      </c>
      <c r="O1331" t="str">
        <f t="shared" si="103"/>
        <v/>
      </c>
    </row>
    <row r="1332" spans="11:15" x14ac:dyDescent="0.3">
      <c r="K1332" t="str">
        <f t="shared" si="104"/>
        <v/>
      </c>
      <c r="L1332" t="str">
        <f t="shared" si="100"/>
        <v/>
      </c>
      <c r="M1332" t="str">
        <f t="shared" si="101"/>
        <v/>
      </c>
      <c r="N1332" t="str">
        <f t="shared" si="102"/>
        <v/>
      </c>
      <c r="O1332" t="str">
        <f t="shared" si="103"/>
        <v/>
      </c>
    </row>
    <row r="1333" spans="11:15" x14ac:dyDescent="0.3">
      <c r="K1333" t="str">
        <f t="shared" si="104"/>
        <v/>
      </c>
      <c r="L1333" t="str">
        <f t="shared" si="100"/>
        <v/>
      </c>
      <c r="M1333" t="str">
        <f t="shared" si="101"/>
        <v/>
      </c>
      <c r="N1333" t="str">
        <f t="shared" si="102"/>
        <v/>
      </c>
      <c r="O1333" t="str">
        <f t="shared" si="103"/>
        <v/>
      </c>
    </row>
    <row r="1334" spans="11:15" x14ac:dyDescent="0.3">
      <c r="K1334" t="str">
        <f t="shared" si="104"/>
        <v/>
      </c>
      <c r="L1334" t="str">
        <f t="shared" si="100"/>
        <v/>
      </c>
      <c r="M1334" t="str">
        <f t="shared" si="101"/>
        <v/>
      </c>
      <c r="N1334" t="str">
        <f t="shared" si="102"/>
        <v/>
      </c>
      <c r="O1334" t="str">
        <f t="shared" si="103"/>
        <v/>
      </c>
    </row>
    <row r="1335" spans="11:15" x14ac:dyDescent="0.3">
      <c r="K1335" t="str">
        <f t="shared" si="104"/>
        <v/>
      </c>
      <c r="L1335" t="str">
        <f t="shared" si="100"/>
        <v/>
      </c>
      <c r="M1335" t="str">
        <f t="shared" si="101"/>
        <v/>
      </c>
      <c r="N1335" t="str">
        <f t="shared" si="102"/>
        <v/>
      </c>
      <c r="O1335" t="str">
        <f t="shared" si="103"/>
        <v/>
      </c>
    </row>
    <row r="1336" spans="11:15" x14ac:dyDescent="0.3">
      <c r="K1336" t="str">
        <f t="shared" si="104"/>
        <v/>
      </c>
      <c r="L1336" t="str">
        <f t="shared" si="100"/>
        <v/>
      </c>
      <c r="M1336" t="str">
        <f t="shared" si="101"/>
        <v/>
      </c>
      <c r="N1336" t="str">
        <f t="shared" si="102"/>
        <v/>
      </c>
      <c r="O1336" t="str">
        <f t="shared" si="103"/>
        <v/>
      </c>
    </row>
    <row r="1337" spans="11:15" x14ac:dyDescent="0.3">
      <c r="K1337" t="str">
        <f t="shared" si="104"/>
        <v/>
      </c>
      <c r="L1337" t="str">
        <f t="shared" si="100"/>
        <v/>
      </c>
      <c r="M1337" t="str">
        <f t="shared" si="101"/>
        <v/>
      </c>
      <c r="N1337" t="str">
        <f t="shared" si="102"/>
        <v/>
      </c>
      <c r="O1337" t="str">
        <f t="shared" si="103"/>
        <v/>
      </c>
    </row>
    <row r="1338" spans="11:15" x14ac:dyDescent="0.3">
      <c r="K1338" t="str">
        <f t="shared" si="104"/>
        <v/>
      </c>
      <c r="L1338" t="str">
        <f t="shared" si="100"/>
        <v/>
      </c>
      <c r="M1338" t="str">
        <f t="shared" si="101"/>
        <v/>
      </c>
      <c r="N1338" t="str">
        <f t="shared" si="102"/>
        <v/>
      </c>
      <c r="O1338" t="str">
        <f t="shared" si="103"/>
        <v/>
      </c>
    </row>
    <row r="1339" spans="11:15" x14ac:dyDescent="0.3">
      <c r="K1339" t="str">
        <f t="shared" si="104"/>
        <v/>
      </c>
      <c r="L1339" t="str">
        <f t="shared" si="100"/>
        <v/>
      </c>
      <c r="M1339" t="str">
        <f t="shared" si="101"/>
        <v/>
      </c>
      <c r="N1339" t="str">
        <f t="shared" si="102"/>
        <v/>
      </c>
      <c r="O1339" t="str">
        <f t="shared" si="103"/>
        <v/>
      </c>
    </row>
    <row r="1340" spans="11:15" x14ac:dyDescent="0.3">
      <c r="K1340" t="str">
        <f t="shared" si="104"/>
        <v/>
      </c>
      <c r="L1340" t="str">
        <f t="shared" si="100"/>
        <v/>
      </c>
      <c r="M1340" t="str">
        <f t="shared" si="101"/>
        <v/>
      </c>
      <c r="N1340" t="str">
        <f t="shared" si="102"/>
        <v/>
      </c>
      <c r="O1340" t="str">
        <f t="shared" si="103"/>
        <v/>
      </c>
    </row>
    <row r="1341" spans="11:15" x14ac:dyDescent="0.3">
      <c r="K1341" t="str">
        <f t="shared" si="104"/>
        <v/>
      </c>
      <c r="L1341" t="str">
        <f t="shared" si="100"/>
        <v/>
      </c>
      <c r="M1341" t="str">
        <f t="shared" si="101"/>
        <v/>
      </c>
      <c r="N1341" t="str">
        <f t="shared" si="102"/>
        <v/>
      </c>
      <c r="O1341" t="str">
        <f t="shared" si="103"/>
        <v/>
      </c>
    </row>
    <row r="1342" spans="11:15" x14ac:dyDescent="0.3">
      <c r="K1342" t="str">
        <f t="shared" si="104"/>
        <v/>
      </c>
      <c r="L1342" t="str">
        <f t="shared" si="100"/>
        <v/>
      </c>
      <c r="M1342" t="str">
        <f t="shared" si="101"/>
        <v/>
      </c>
      <c r="N1342" t="str">
        <f t="shared" si="102"/>
        <v/>
      </c>
      <c r="O1342" t="str">
        <f t="shared" si="103"/>
        <v/>
      </c>
    </row>
    <row r="1343" spans="11:15" x14ac:dyDescent="0.3">
      <c r="K1343" t="str">
        <f t="shared" si="104"/>
        <v/>
      </c>
      <c r="L1343" t="str">
        <f t="shared" si="100"/>
        <v/>
      </c>
      <c r="M1343" t="str">
        <f t="shared" si="101"/>
        <v/>
      </c>
      <c r="N1343" t="str">
        <f t="shared" si="102"/>
        <v/>
      </c>
      <c r="O1343" t="str">
        <f t="shared" si="103"/>
        <v/>
      </c>
    </row>
    <row r="1344" spans="11:15" x14ac:dyDescent="0.3">
      <c r="K1344" t="str">
        <f t="shared" si="104"/>
        <v/>
      </c>
      <c r="L1344" t="str">
        <f t="shared" si="100"/>
        <v/>
      </c>
      <c r="M1344" t="str">
        <f t="shared" si="101"/>
        <v/>
      </c>
      <c r="N1344" t="str">
        <f t="shared" si="102"/>
        <v/>
      </c>
      <c r="O1344" t="str">
        <f t="shared" si="103"/>
        <v/>
      </c>
    </row>
    <row r="1345" spans="11:15" x14ac:dyDescent="0.3">
      <c r="K1345" t="str">
        <f t="shared" si="104"/>
        <v/>
      </c>
      <c r="L1345" t="str">
        <f t="shared" ref="L1345:L1408" si="105">IF(A1345="","",IF(ISNUMBER(--LEFT(A1345,FIND(" - ",A1345&amp;" - ")-1)),LEFT(A1345,FIND(" - ",A1345&amp;" - ")-1),TRIM(A1345)))</f>
        <v/>
      </c>
      <c r="M1345" t="str">
        <f t="shared" ref="M1345:M1408" si="106">IF(OR(K1345="",K1345=A1345,A1345=""),"",K1345&amp;"|"&amp;L1345)</f>
        <v/>
      </c>
      <c r="N1345" t="str">
        <f t="shared" ref="N1345:N1408" si="107">IF(M1345="","",IF(ISNUMBER(B1345),B1345,IFERROR(_xlfn.NUMBERVALUE(B1345,".",","),0)))</f>
        <v/>
      </c>
      <c r="O1345" t="str">
        <f t="shared" ref="O1345:O1408" si="108">IF(M1345="","",IF(ISNUMBER(C1345),C1345,IFERROR(_xlfn.NUMBERVALUE(C1345,".",","),0)))</f>
        <v/>
      </c>
    </row>
    <row r="1346" spans="11:15" x14ac:dyDescent="0.3">
      <c r="K1346" t="str">
        <f t="shared" ref="K1346:K1409" si="109">IF(OR(LEFT(B1346,9)="DOANH THU",LEFT(B1346,8)="SỐ LƯỢNG"),A1346,K1345)</f>
        <v/>
      </c>
      <c r="L1346" t="str">
        <f t="shared" si="105"/>
        <v/>
      </c>
      <c r="M1346" t="str">
        <f t="shared" si="106"/>
        <v/>
      </c>
      <c r="N1346" t="str">
        <f t="shared" si="107"/>
        <v/>
      </c>
      <c r="O1346" t="str">
        <f t="shared" si="108"/>
        <v/>
      </c>
    </row>
    <row r="1347" spans="11:15" x14ac:dyDescent="0.3">
      <c r="K1347" t="str">
        <f t="shared" si="109"/>
        <v/>
      </c>
      <c r="L1347" t="str">
        <f t="shared" si="105"/>
        <v/>
      </c>
      <c r="M1347" t="str">
        <f t="shared" si="106"/>
        <v/>
      </c>
      <c r="N1347" t="str">
        <f t="shared" si="107"/>
        <v/>
      </c>
      <c r="O1347" t="str">
        <f t="shared" si="108"/>
        <v/>
      </c>
    </row>
    <row r="1348" spans="11:15" x14ac:dyDescent="0.3">
      <c r="K1348" t="str">
        <f t="shared" si="109"/>
        <v/>
      </c>
      <c r="L1348" t="str">
        <f t="shared" si="105"/>
        <v/>
      </c>
      <c r="M1348" t="str">
        <f t="shared" si="106"/>
        <v/>
      </c>
      <c r="N1348" t="str">
        <f t="shared" si="107"/>
        <v/>
      </c>
      <c r="O1348" t="str">
        <f t="shared" si="108"/>
        <v/>
      </c>
    </row>
    <row r="1349" spans="11:15" x14ac:dyDescent="0.3">
      <c r="K1349" t="str">
        <f t="shared" si="109"/>
        <v/>
      </c>
      <c r="L1349" t="str">
        <f t="shared" si="105"/>
        <v/>
      </c>
      <c r="M1349" t="str">
        <f t="shared" si="106"/>
        <v/>
      </c>
      <c r="N1349" t="str">
        <f t="shared" si="107"/>
        <v/>
      </c>
      <c r="O1349" t="str">
        <f t="shared" si="108"/>
        <v/>
      </c>
    </row>
    <row r="1350" spans="11:15" x14ac:dyDescent="0.3">
      <c r="K1350" t="str">
        <f t="shared" si="109"/>
        <v/>
      </c>
      <c r="L1350" t="str">
        <f t="shared" si="105"/>
        <v/>
      </c>
      <c r="M1350" t="str">
        <f t="shared" si="106"/>
        <v/>
      </c>
      <c r="N1350" t="str">
        <f t="shared" si="107"/>
        <v/>
      </c>
      <c r="O1350" t="str">
        <f t="shared" si="108"/>
        <v/>
      </c>
    </row>
    <row r="1351" spans="11:15" x14ac:dyDescent="0.3">
      <c r="K1351" t="str">
        <f t="shared" si="109"/>
        <v/>
      </c>
      <c r="L1351" t="str">
        <f t="shared" si="105"/>
        <v/>
      </c>
      <c r="M1351" t="str">
        <f t="shared" si="106"/>
        <v/>
      </c>
      <c r="N1351" t="str">
        <f t="shared" si="107"/>
        <v/>
      </c>
      <c r="O1351" t="str">
        <f t="shared" si="108"/>
        <v/>
      </c>
    </row>
    <row r="1352" spans="11:15" x14ac:dyDescent="0.3">
      <c r="K1352" t="str">
        <f t="shared" si="109"/>
        <v/>
      </c>
      <c r="L1352" t="str">
        <f t="shared" si="105"/>
        <v/>
      </c>
      <c r="M1352" t="str">
        <f t="shared" si="106"/>
        <v/>
      </c>
      <c r="N1352" t="str">
        <f t="shared" si="107"/>
        <v/>
      </c>
      <c r="O1352" t="str">
        <f t="shared" si="108"/>
        <v/>
      </c>
    </row>
    <row r="1353" spans="11:15" x14ac:dyDescent="0.3">
      <c r="K1353" t="str">
        <f t="shared" si="109"/>
        <v/>
      </c>
      <c r="L1353" t="str">
        <f t="shared" si="105"/>
        <v/>
      </c>
      <c r="M1353" t="str">
        <f t="shared" si="106"/>
        <v/>
      </c>
      <c r="N1353" t="str">
        <f t="shared" si="107"/>
        <v/>
      </c>
      <c r="O1353" t="str">
        <f t="shared" si="108"/>
        <v/>
      </c>
    </row>
    <row r="1354" spans="11:15" x14ac:dyDescent="0.3">
      <c r="K1354" t="str">
        <f t="shared" si="109"/>
        <v/>
      </c>
      <c r="L1354" t="str">
        <f t="shared" si="105"/>
        <v/>
      </c>
      <c r="M1354" t="str">
        <f t="shared" si="106"/>
        <v/>
      </c>
      <c r="N1354" t="str">
        <f t="shared" si="107"/>
        <v/>
      </c>
      <c r="O1354" t="str">
        <f t="shared" si="108"/>
        <v/>
      </c>
    </row>
    <row r="1355" spans="11:15" x14ac:dyDescent="0.3">
      <c r="K1355" t="str">
        <f t="shared" si="109"/>
        <v/>
      </c>
      <c r="L1355" t="str">
        <f t="shared" si="105"/>
        <v/>
      </c>
      <c r="M1355" t="str">
        <f t="shared" si="106"/>
        <v/>
      </c>
      <c r="N1355" t="str">
        <f t="shared" si="107"/>
        <v/>
      </c>
      <c r="O1355" t="str">
        <f t="shared" si="108"/>
        <v/>
      </c>
    </row>
    <row r="1356" spans="11:15" x14ac:dyDescent="0.3">
      <c r="K1356" t="str">
        <f t="shared" si="109"/>
        <v/>
      </c>
      <c r="L1356" t="str">
        <f t="shared" si="105"/>
        <v/>
      </c>
      <c r="M1356" t="str">
        <f t="shared" si="106"/>
        <v/>
      </c>
      <c r="N1356" t="str">
        <f t="shared" si="107"/>
        <v/>
      </c>
      <c r="O1356" t="str">
        <f t="shared" si="108"/>
        <v/>
      </c>
    </row>
    <row r="1357" spans="11:15" x14ac:dyDescent="0.3">
      <c r="K1357" t="str">
        <f t="shared" si="109"/>
        <v/>
      </c>
      <c r="L1357" t="str">
        <f t="shared" si="105"/>
        <v/>
      </c>
      <c r="M1357" t="str">
        <f t="shared" si="106"/>
        <v/>
      </c>
      <c r="N1357" t="str">
        <f t="shared" si="107"/>
        <v/>
      </c>
      <c r="O1357" t="str">
        <f t="shared" si="108"/>
        <v/>
      </c>
    </row>
    <row r="1358" spans="11:15" x14ac:dyDescent="0.3">
      <c r="K1358" t="str">
        <f t="shared" si="109"/>
        <v/>
      </c>
      <c r="L1358" t="str">
        <f t="shared" si="105"/>
        <v/>
      </c>
      <c r="M1358" t="str">
        <f t="shared" si="106"/>
        <v/>
      </c>
      <c r="N1358" t="str">
        <f t="shared" si="107"/>
        <v/>
      </c>
      <c r="O1358" t="str">
        <f t="shared" si="108"/>
        <v/>
      </c>
    </row>
    <row r="1359" spans="11:15" x14ac:dyDescent="0.3">
      <c r="K1359" t="str">
        <f t="shared" si="109"/>
        <v/>
      </c>
      <c r="L1359" t="str">
        <f t="shared" si="105"/>
        <v/>
      </c>
      <c r="M1359" t="str">
        <f t="shared" si="106"/>
        <v/>
      </c>
      <c r="N1359" t="str">
        <f t="shared" si="107"/>
        <v/>
      </c>
      <c r="O1359" t="str">
        <f t="shared" si="108"/>
        <v/>
      </c>
    </row>
    <row r="1360" spans="11:15" x14ac:dyDescent="0.3">
      <c r="K1360" t="str">
        <f t="shared" si="109"/>
        <v/>
      </c>
      <c r="L1360" t="str">
        <f t="shared" si="105"/>
        <v/>
      </c>
      <c r="M1360" t="str">
        <f t="shared" si="106"/>
        <v/>
      </c>
      <c r="N1360" t="str">
        <f t="shared" si="107"/>
        <v/>
      </c>
      <c r="O1360" t="str">
        <f t="shared" si="108"/>
        <v/>
      </c>
    </row>
    <row r="1361" spans="11:15" x14ac:dyDescent="0.3">
      <c r="K1361" t="str">
        <f t="shared" si="109"/>
        <v/>
      </c>
      <c r="L1361" t="str">
        <f t="shared" si="105"/>
        <v/>
      </c>
      <c r="M1361" t="str">
        <f t="shared" si="106"/>
        <v/>
      </c>
      <c r="N1361" t="str">
        <f t="shared" si="107"/>
        <v/>
      </c>
      <c r="O1361" t="str">
        <f t="shared" si="108"/>
        <v/>
      </c>
    </row>
    <row r="1362" spans="11:15" x14ac:dyDescent="0.3">
      <c r="K1362" t="str">
        <f t="shared" si="109"/>
        <v/>
      </c>
      <c r="L1362" t="str">
        <f t="shared" si="105"/>
        <v/>
      </c>
      <c r="M1362" t="str">
        <f t="shared" si="106"/>
        <v/>
      </c>
      <c r="N1362" t="str">
        <f t="shared" si="107"/>
        <v/>
      </c>
      <c r="O1362" t="str">
        <f t="shared" si="108"/>
        <v/>
      </c>
    </row>
    <row r="1363" spans="11:15" x14ac:dyDescent="0.3">
      <c r="K1363" t="str">
        <f t="shared" si="109"/>
        <v/>
      </c>
      <c r="L1363" t="str">
        <f t="shared" si="105"/>
        <v/>
      </c>
      <c r="M1363" t="str">
        <f t="shared" si="106"/>
        <v/>
      </c>
      <c r="N1363" t="str">
        <f t="shared" si="107"/>
        <v/>
      </c>
      <c r="O1363" t="str">
        <f t="shared" si="108"/>
        <v/>
      </c>
    </row>
    <row r="1364" spans="11:15" x14ac:dyDescent="0.3">
      <c r="K1364" t="str">
        <f t="shared" si="109"/>
        <v/>
      </c>
      <c r="L1364" t="str">
        <f t="shared" si="105"/>
        <v/>
      </c>
      <c r="M1364" t="str">
        <f t="shared" si="106"/>
        <v/>
      </c>
      <c r="N1364" t="str">
        <f t="shared" si="107"/>
        <v/>
      </c>
      <c r="O1364" t="str">
        <f t="shared" si="108"/>
        <v/>
      </c>
    </row>
    <row r="1365" spans="11:15" x14ac:dyDescent="0.3">
      <c r="K1365" t="str">
        <f t="shared" si="109"/>
        <v/>
      </c>
      <c r="L1365" t="str">
        <f t="shared" si="105"/>
        <v/>
      </c>
      <c r="M1365" t="str">
        <f t="shared" si="106"/>
        <v/>
      </c>
      <c r="N1365" t="str">
        <f t="shared" si="107"/>
        <v/>
      </c>
      <c r="O1365" t="str">
        <f t="shared" si="108"/>
        <v/>
      </c>
    </row>
    <row r="1366" spans="11:15" x14ac:dyDescent="0.3">
      <c r="K1366" t="str">
        <f t="shared" si="109"/>
        <v/>
      </c>
      <c r="L1366" t="str">
        <f t="shared" si="105"/>
        <v/>
      </c>
      <c r="M1366" t="str">
        <f t="shared" si="106"/>
        <v/>
      </c>
      <c r="N1366" t="str">
        <f t="shared" si="107"/>
        <v/>
      </c>
      <c r="O1366" t="str">
        <f t="shared" si="108"/>
        <v/>
      </c>
    </row>
    <row r="1367" spans="11:15" x14ac:dyDescent="0.3">
      <c r="K1367" t="str">
        <f t="shared" si="109"/>
        <v/>
      </c>
      <c r="L1367" t="str">
        <f t="shared" si="105"/>
        <v/>
      </c>
      <c r="M1367" t="str">
        <f t="shared" si="106"/>
        <v/>
      </c>
      <c r="N1367" t="str">
        <f t="shared" si="107"/>
        <v/>
      </c>
      <c r="O1367" t="str">
        <f t="shared" si="108"/>
        <v/>
      </c>
    </row>
    <row r="1368" spans="11:15" x14ac:dyDescent="0.3">
      <c r="K1368" t="str">
        <f t="shared" si="109"/>
        <v/>
      </c>
      <c r="L1368" t="str">
        <f t="shared" si="105"/>
        <v/>
      </c>
      <c r="M1368" t="str">
        <f t="shared" si="106"/>
        <v/>
      </c>
      <c r="N1368" t="str">
        <f t="shared" si="107"/>
        <v/>
      </c>
      <c r="O1368" t="str">
        <f t="shared" si="108"/>
        <v/>
      </c>
    </row>
    <row r="1369" spans="11:15" x14ac:dyDescent="0.3">
      <c r="K1369" t="str">
        <f t="shared" si="109"/>
        <v/>
      </c>
      <c r="L1369" t="str">
        <f t="shared" si="105"/>
        <v/>
      </c>
      <c r="M1369" t="str">
        <f t="shared" si="106"/>
        <v/>
      </c>
      <c r="N1369" t="str">
        <f t="shared" si="107"/>
        <v/>
      </c>
      <c r="O1369" t="str">
        <f t="shared" si="108"/>
        <v/>
      </c>
    </row>
    <row r="1370" spans="11:15" x14ac:dyDescent="0.3">
      <c r="K1370" t="str">
        <f t="shared" si="109"/>
        <v/>
      </c>
      <c r="L1370" t="str">
        <f t="shared" si="105"/>
        <v/>
      </c>
      <c r="M1370" t="str">
        <f t="shared" si="106"/>
        <v/>
      </c>
      <c r="N1370" t="str">
        <f t="shared" si="107"/>
        <v/>
      </c>
      <c r="O1370" t="str">
        <f t="shared" si="108"/>
        <v/>
      </c>
    </row>
    <row r="1371" spans="11:15" x14ac:dyDescent="0.3">
      <c r="K1371" t="str">
        <f t="shared" si="109"/>
        <v/>
      </c>
      <c r="L1371" t="str">
        <f t="shared" si="105"/>
        <v/>
      </c>
      <c r="M1371" t="str">
        <f t="shared" si="106"/>
        <v/>
      </c>
      <c r="N1371" t="str">
        <f t="shared" si="107"/>
        <v/>
      </c>
      <c r="O1371" t="str">
        <f t="shared" si="108"/>
        <v/>
      </c>
    </row>
    <row r="1372" spans="11:15" x14ac:dyDescent="0.3">
      <c r="K1372" t="str">
        <f t="shared" si="109"/>
        <v/>
      </c>
      <c r="L1372" t="str">
        <f t="shared" si="105"/>
        <v/>
      </c>
      <c r="M1372" t="str">
        <f t="shared" si="106"/>
        <v/>
      </c>
      <c r="N1372" t="str">
        <f t="shared" si="107"/>
        <v/>
      </c>
      <c r="O1372" t="str">
        <f t="shared" si="108"/>
        <v/>
      </c>
    </row>
    <row r="1373" spans="11:15" x14ac:dyDescent="0.3">
      <c r="K1373" t="str">
        <f t="shared" si="109"/>
        <v/>
      </c>
      <c r="L1373" t="str">
        <f t="shared" si="105"/>
        <v/>
      </c>
      <c r="M1373" t="str">
        <f t="shared" si="106"/>
        <v/>
      </c>
      <c r="N1373" t="str">
        <f t="shared" si="107"/>
        <v/>
      </c>
      <c r="O1373" t="str">
        <f t="shared" si="108"/>
        <v/>
      </c>
    </row>
    <row r="1374" spans="11:15" x14ac:dyDescent="0.3">
      <c r="K1374" t="str">
        <f t="shared" si="109"/>
        <v/>
      </c>
      <c r="L1374" t="str">
        <f t="shared" si="105"/>
        <v/>
      </c>
      <c r="M1374" t="str">
        <f t="shared" si="106"/>
        <v/>
      </c>
      <c r="N1374" t="str">
        <f t="shared" si="107"/>
        <v/>
      </c>
      <c r="O1374" t="str">
        <f t="shared" si="108"/>
        <v/>
      </c>
    </row>
    <row r="1375" spans="11:15" x14ac:dyDescent="0.3">
      <c r="K1375" t="str">
        <f t="shared" si="109"/>
        <v/>
      </c>
      <c r="L1375" t="str">
        <f t="shared" si="105"/>
        <v/>
      </c>
      <c r="M1375" t="str">
        <f t="shared" si="106"/>
        <v/>
      </c>
      <c r="N1375" t="str">
        <f t="shared" si="107"/>
        <v/>
      </c>
      <c r="O1375" t="str">
        <f t="shared" si="108"/>
        <v/>
      </c>
    </row>
    <row r="1376" spans="11:15" x14ac:dyDescent="0.3">
      <c r="K1376" t="str">
        <f t="shared" si="109"/>
        <v/>
      </c>
      <c r="L1376" t="str">
        <f t="shared" si="105"/>
        <v/>
      </c>
      <c r="M1376" t="str">
        <f t="shared" si="106"/>
        <v/>
      </c>
      <c r="N1376" t="str">
        <f t="shared" si="107"/>
        <v/>
      </c>
      <c r="O1376" t="str">
        <f t="shared" si="108"/>
        <v/>
      </c>
    </row>
    <row r="1377" spans="11:15" x14ac:dyDescent="0.3">
      <c r="K1377" t="str">
        <f t="shared" si="109"/>
        <v/>
      </c>
      <c r="L1377" t="str">
        <f t="shared" si="105"/>
        <v/>
      </c>
      <c r="M1377" t="str">
        <f t="shared" si="106"/>
        <v/>
      </c>
      <c r="N1377" t="str">
        <f t="shared" si="107"/>
        <v/>
      </c>
      <c r="O1377" t="str">
        <f t="shared" si="108"/>
        <v/>
      </c>
    </row>
    <row r="1378" spans="11:15" x14ac:dyDescent="0.3">
      <c r="K1378" t="str">
        <f t="shared" si="109"/>
        <v/>
      </c>
      <c r="L1378" t="str">
        <f t="shared" si="105"/>
        <v/>
      </c>
      <c r="M1378" t="str">
        <f t="shared" si="106"/>
        <v/>
      </c>
      <c r="N1378" t="str">
        <f t="shared" si="107"/>
        <v/>
      </c>
      <c r="O1378" t="str">
        <f t="shared" si="108"/>
        <v/>
      </c>
    </row>
    <row r="1379" spans="11:15" x14ac:dyDescent="0.3">
      <c r="K1379" t="str">
        <f t="shared" si="109"/>
        <v/>
      </c>
      <c r="L1379" t="str">
        <f t="shared" si="105"/>
        <v/>
      </c>
      <c r="M1379" t="str">
        <f t="shared" si="106"/>
        <v/>
      </c>
      <c r="N1379" t="str">
        <f t="shared" si="107"/>
        <v/>
      </c>
      <c r="O1379" t="str">
        <f t="shared" si="108"/>
        <v/>
      </c>
    </row>
    <row r="1380" spans="11:15" x14ac:dyDescent="0.3">
      <c r="K1380" t="str">
        <f t="shared" si="109"/>
        <v/>
      </c>
      <c r="L1380" t="str">
        <f t="shared" si="105"/>
        <v/>
      </c>
      <c r="M1380" t="str">
        <f t="shared" si="106"/>
        <v/>
      </c>
      <c r="N1380" t="str">
        <f t="shared" si="107"/>
        <v/>
      </c>
      <c r="O1380" t="str">
        <f t="shared" si="108"/>
        <v/>
      </c>
    </row>
    <row r="1381" spans="11:15" x14ac:dyDescent="0.3">
      <c r="K1381" t="str">
        <f t="shared" si="109"/>
        <v/>
      </c>
      <c r="L1381" t="str">
        <f t="shared" si="105"/>
        <v/>
      </c>
      <c r="M1381" t="str">
        <f t="shared" si="106"/>
        <v/>
      </c>
      <c r="N1381" t="str">
        <f t="shared" si="107"/>
        <v/>
      </c>
      <c r="O1381" t="str">
        <f t="shared" si="108"/>
        <v/>
      </c>
    </row>
    <row r="1382" spans="11:15" x14ac:dyDescent="0.3">
      <c r="K1382" t="str">
        <f t="shared" si="109"/>
        <v/>
      </c>
      <c r="L1382" t="str">
        <f t="shared" si="105"/>
        <v/>
      </c>
      <c r="M1382" t="str">
        <f t="shared" si="106"/>
        <v/>
      </c>
      <c r="N1382" t="str">
        <f t="shared" si="107"/>
        <v/>
      </c>
      <c r="O1382" t="str">
        <f t="shared" si="108"/>
        <v/>
      </c>
    </row>
    <row r="1383" spans="11:15" x14ac:dyDescent="0.3">
      <c r="K1383" t="str">
        <f t="shared" si="109"/>
        <v/>
      </c>
      <c r="L1383" t="str">
        <f t="shared" si="105"/>
        <v/>
      </c>
      <c r="M1383" t="str">
        <f t="shared" si="106"/>
        <v/>
      </c>
      <c r="N1383" t="str">
        <f t="shared" si="107"/>
        <v/>
      </c>
      <c r="O1383" t="str">
        <f t="shared" si="108"/>
        <v/>
      </c>
    </row>
    <row r="1384" spans="11:15" x14ac:dyDescent="0.3">
      <c r="K1384" t="str">
        <f t="shared" si="109"/>
        <v/>
      </c>
      <c r="L1384" t="str">
        <f t="shared" si="105"/>
        <v/>
      </c>
      <c r="M1384" t="str">
        <f t="shared" si="106"/>
        <v/>
      </c>
      <c r="N1384" t="str">
        <f t="shared" si="107"/>
        <v/>
      </c>
      <c r="O1384" t="str">
        <f t="shared" si="108"/>
        <v/>
      </c>
    </row>
    <row r="1385" spans="11:15" x14ac:dyDescent="0.3">
      <c r="K1385" t="str">
        <f t="shared" si="109"/>
        <v/>
      </c>
      <c r="L1385" t="str">
        <f t="shared" si="105"/>
        <v/>
      </c>
      <c r="M1385" t="str">
        <f t="shared" si="106"/>
        <v/>
      </c>
      <c r="N1385" t="str">
        <f t="shared" si="107"/>
        <v/>
      </c>
      <c r="O1385" t="str">
        <f t="shared" si="108"/>
        <v/>
      </c>
    </row>
    <row r="1386" spans="11:15" x14ac:dyDescent="0.3">
      <c r="K1386" t="str">
        <f t="shared" si="109"/>
        <v/>
      </c>
      <c r="L1386" t="str">
        <f t="shared" si="105"/>
        <v/>
      </c>
      <c r="M1386" t="str">
        <f t="shared" si="106"/>
        <v/>
      </c>
      <c r="N1386" t="str">
        <f t="shared" si="107"/>
        <v/>
      </c>
      <c r="O1386" t="str">
        <f t="shared" si="108"/>
        <v/>
      </c>
    </row>
    <row r="1387" spans="11:15" x14ac:dyDescent="0.3">
      <c r="K1387" t="str">
        <f t="shared" si="109"/>
        <v/>
      </c>
      <c r="L1387" t="str">
        <f t="shared" si="105"/>
        <v/>
      </c>
      <c r="M1387" t="str">
        <f t="shared" si="106"/>
        <v/>
      </c>
      <c r="N1387" t="str">
        <f t="shared" si="107"/>
        <v/>
      </c>
      <c r="O1387" t="str">
        <f t="shared" si="108"/>
        <v/>
      </c>
    </row>
    <row r="1388" spans="11:15" x14ac:dyDescent="0.3">
      <c r="K1388" t="str">
        <f t="shared" si="109"/>
        <v/>
      </c>
      <c r="L1388" t="str">
        <f t="shared" si="105"/>
        <v/>
      </c>
      <c r="M1388" t="str">
        <f t="shared" si="106"/>
        <v/>
      </c>
      <c r="N1388" t="str">
        <f t="shared" si="107"/>
        <v/>
      </c>
      <c r="O1388" t="str">
        <f t="shared" si="108"/>
        <v/>
      </c>
    </row>
    <row r="1389" spans="11:15" x14ac:dyDescent="0.3">
      <c r="K1389" t="str">
        <f t="shared" si="109"/>
        <v/>
      </c>
      <c r="L1389" t="str">
        <f t="shared" si="105"/>
        <v/>
      </c>
      <c r="M1389" t="str">
        <f t="shared" si="106"/>
        <v/>
      </c>
      <c r="N1389" t="str">
        <f t="shared" si="107"/>
        <v/>
      </c>
      <c r="O1389" t="str">
        <f t="shared" si="108"/>
        <v/>
      </c>
    </row>
    <row r="1390" spans="11:15" x14ac:dyDescent="0.3">
      <c r="K1390" t="str">
        <f t="shared" si="109"/>
        <v/>
      </c>
      <c r="L1390" t="str">
        <f t="shared" si="105"/>
        <v/>
      </c>
      <c r="M1390" t="str">
        <f t="shared" si="106"/>
        <v/>
      </c>
      <c r="N1390" t="str">
        <f t="shared" si="107"/>
        <v/>
      </c>
      <c r="O1390" t="str">
        <f t="shared" si="108"/>
        <v/>
      </c>
    </row>
    <row r="1391" spans="11:15" x14ac:dyDescent="0.3">
      <c r="K1391" t="str">
        <f t="shared" si="109"/>
        <v/>
      </c>
      <c r="L1391" t="str">
        <f t="shared" si="105"/>
        <v/>
      </c>
      <c r="M1391" t="str">
        <f t="shared" si="106"/>
        <v/>
      </c>
      <c r="N1391" t="str">
        <f t="shared" si="107"/>
        <v/>
      </c>
      <c r="O1391" t="str">
        <f t="shared" si="108"/>
        <v/>
      </c>
    </row>
    <row r="1392" spans="11:15" x14ac:dyDescent="0.3">
      <c r="K1392" t="str">
        <f t="shared" si="109"/>
        <v/>
      </c>
      <c r="L1392" t="str">
        <f t="shared" si="105"/>
        <v/>
      </c>
      <c r="M1392" t="str">
        <f t="shared" si="106"/>
        <v/>
      </c>
      <c r="N1392" t="str">
        <f t="shared" si="107"/>
        <v/>
      </c>
      <c r="O1392" t="str">
        <f t="shared" si="108"/>
        <v/>
      </c>
    </row>
    <row r="1393" spans="11:15" x14ac:dyDescent="0.3">
      <c r="K1393" t="str">
        <f t="shared" si="109"/>
        <v/>
      </c>
      <c r="L1393" t="str">
        <f t="shared" si="105"/>
        <v/>
      </c>
      <c r="M1393" t="str">
        <f t="shared" si="106"/>
        <v/>
      </c>
      <c r="N1393" t="str">
        <f t="shared" si="107"/>
        <v/>
      </c>
      <c r="O1393" t="str">
        <f t="shared" si="108"/>
        <v/>
      </c>
    </row>
    <row r="1394" spans="11:15" x14ac:dyDescent="0.3">
      <c r="K1394" t="str">
        <f t="shared" si="109"/>
        <v/>
      </c>
      <c r="L1394" t="str">
        <f t="shared" si="105"/>
        <v/>
      </c>
      <c r="M1394" t="str">
        <f t="shared" si="106"/>
        <v/>
      </c>
      <c r="N1394" t="str">
        <f t="shared" si="107"/>
        <v/>
      </c>
      <c r="O1394" t="str">
        <f t="shared" si="108"/>
        <v/>
      </c>
    </row>
    <row r="1395" spans="11:15" x14ac:dyDescent="0.3">
      <c r="K1395" t="str">
        <f t="shared" si="109"/>
        <v/>
      </c>
      <c r="L1395" t="str">
        <f t="shared" si="105"/>
        <v/>
      </c>
      <c r="M1395" t="str">
        <f t="shared" si="106"/>
        <v/>
      </c>
      <c r="N1395" t="str">
        <f t="shared" si="107"/>
        <v/>
      </c>
      <c r="O1395" t="str">
        <f t="shared" si="108"/>
        <v/>
      </c>
    </row>
    <row r="1396" spans="11:15" x14ac:dyDescent="0.3">
      <c r="K1396" t="str">
        <f t="shared" si="109"/>
        <v/>
      </c>
      <c r="L1396" t="str">
        <f t="shared" si="105"/>
        <v/>
      </c>
      <c r="M1396" t="str">
        <f t="shared" si="106"/>
        <v/>
      </c>
      <c r="N1396" t="str">
        <f t="shared" si="107"/>
        <v/>
      </c>
      <c r="O1396" t="str">
        <f t="shared" si="108"/>
        <v/>
      </c>
    </row>
    <row r="1397" spans="11:15" x14ac:dyDescent="0.3">
      <c r="K1397" t="str">
        <f t="shared" si="109"/>
        <v/>
      </c>
      <c r="L1397" t="str">
        <f t="shared" si="105"/>
        <v/>
      </c>
      <c r="M1397" t="str">
        <f t="shared" si="106"/>
        <v/>
      </c>
      <c r="N1397" t="str">
        <f t="shared" si="107"/>
        <v/>
      </c>
      <c r="O1397" t="str">
        <f t="shared" si="108"/>
        <v/>
      </c>
    </row>
    <row r="1398" spans="11:15" x14ac:dyDescent="0.3">
      <c r="K1398" t="str">
        <f t="shared" si="109"/>
        <v/>
      </c>
      <c r="L1398" t="str">
        <f t="shared" si="105"/>
        <v/>
      </c>
      <c r="M1398" t="str">
        <f t="shared" si="106"/>
        <v/>
      </c>
      <c r="N1398" t="str">
        <f t="shared" si="107"/>
        <v/>
      </c>
      <c r="O1398" t="str">
        <f t="shared" si="108"/>
        <v/>
      </c>
    </row>
    <row r="1399" spans="11:15" x14ac:dyDescent="0.3">
      <c r="K1399" t="str">
        <f t="shared" si="109"/>
        <v/>
      </c>
      <c r="L1399" t="str">
        <f t="shared" si="105"/>
        <v/>
      </c>
      <c r="M1399" t="str">
        <f t="shared" si="106"/>
        <v/>
      </c>
      <c r="N1399" t="str">
        <f t="shared" si="107"/>
        <v/>
      </c>
      <c r="O1399" t="str">
        <f t="shared" si="108"/>
        <v/>
      </c>
    </row>
    <row r="1400" spans="11:15" x14ac:dyDescent="0.3">
      <c r="K1400" t="str">
        <f t="shared" si="109"/>
        <v/>
      </c>
      <c r="L1400" t="str">
        <f t="shared" si="105"/>
        <v/>
      </c>
      <c r="M1400" t="str">
        <f t="shared" si="106"/>
        <v/>
      </c>
      <c r="N1400" t="str">
        <f t="shared" si="107"/>
        <v/>
      </c>
      <c r="O1400" t="str">
        <f t="shared" si="108"/>
        <v/>
      </c>
    </row>
    <row r="1401" spans="11:15" x14ac:dyDescent="0.3">
      <c r="K1401" t="str">
        <f t="shared" si="109"/>
        <v/>
      </c>
      <c r="L1401" t="str">
        <f t="shared" si="105"/>
        <v/>
      </c>
      <c r="M1401" t="str">
        <f t="shared" si="106"/>
        <v/>
      </c>
      <c r="N1401" t="str">
        <f t="shared" si="107"/>
        <v/>
      </c>
      <c r="O1401" t="str">
        <f t="shared" si="108"/>
        <v/>
      </c>
    </row>
    <row r="1402" spans="11:15" x14ac:dyDescent="0.3">
      <c r="K1402" t="str">
        <f t="shared" si="109"/>
        <v/>
      </c>
      <c r="L1402" t="str">
        <f t="shared" si="105"/>
        <v/>
      </c>
      <c r="M1402" t="str">
        <f t="shared" si="106"/>
        <v/>
      </c>
      <c r="N1402" t="str">
        <f t="shared" si="107"/>
        <v/>
      </c>
      <c r="O1402" t="str">
        <f t="shared" si="108"/>
        <v/>
      </c>
    </row>
    <row r="1403" spans="11:15" x14ac:dyDescent="0.3">
      <c r="K1403" t="str">
        <f t="shared" si="109"/>
        <v/>
      </c>
      <c r="L1403" t="str">
        <f t="shared" si="105"/>
        <v/>
      </c>
      <c r="M1403" t="str">
        <f t="shared" si="106"/>
        <v/>
      </c>
      <c r="N1403" t="str">
        <f t="shared" si="107"/>
        <v/>
      </c>
      <c r="O1403" t="str">
        <f t="shared" si="108"/>
        <v/>
      </c>
    </row>
    <row r="1404" spans="11:15" x14ac:dyDescent="0.3">
      <c r="K1404" t="str">
        <f t="shared" si="109"/>
        <v/>
      </c>
      <c r="L1404" t="str">
        <f t="shared" si="105"/>
        <v/>
      </c>
      <c r="M1404" t="str">
        <f t="shared" si="106"/>
        <v/>
      </c>
      <c r="N1404" t="str">
        <f t="shared" si="107"/>
        <v/>
      </c>
      <c r="O1404" t="str">
        <f t="shared" si="108"/>
        <v/>
      </c>
    </row>
    <row r="1405" spans="11:15" x14ac:dyDescent="0.3">
      <c r="K1405" t="str">
        <f t="shared" si="109"/>
        <v/>
      </c>
      <c r="L1405" t="str">
        <f t="shared" si="105"/>
        <v/>
      </c>
      <c r="M1405" t="str">
        <f t="shared" si="106"/>
        <v/>
      </c>
      <c r="N1405" t="str">
        <f t="shared" si="107"/>
        <v/>
      </c>
      <c r="O1405" t="str">
        <f t="shared" si="108"/>
        <v/>
      </c>
    </row>
    <row r="1406" spans="11:15" x14ac:dyDescent="0.3">
      <c r="K1406" t="str">
        <f t="shared" si="109"/>
        <v/>
      </c>
      <c r="L1406" t="str">
        <f t="shared" si="105"/>
        <v/>
      </c>
      <c r="M1406" t="str">
        <f t="shared" si="106"/>
        <v/>
      </c>
      <c r="N1406" t="str">
        <f t="shared" si="107"/>
        <v/>
      </c>
      <c r="O1406" t="str">
        <f t="shared" si="108"/>
        <v/>
      </c>
    </row>
    <row r="1407" spans="11:15" x14ac:dyDescent="0.3">
      <c r="K1407" t="str">
        <f t="shared" si="109"/>
        <v/>
      </c>
      <c r="L1407" t="str">
        <f t="shared" si="105"/>
        <v/>
      </c>
      <c r="M1407" t="str">
        <f t="shared" si="106"/>
        <v/>
      </c>
      <c r="N1407" t="str">
        <f t="shared" si="107"/>
        <v/>
      </c>
      <c r="O1407" t="str">
        <f t="shared" si="108"/>
        <v/>
      </c>
    </row>
    <row r="1408" spans="11:15" x14ac:dyDescent="0.3">
      <c r="K1408" t="str">
        <f t="shared" si="109"/>
        <v/>
      </c>
      <c r="L1408" t="str">
        <f t="shared" si="105"/>
        <v/>
      </c>
      <c r="M1408" t="str">
        <f t="shared" si="106"/>
        <v/>
      </c>
      <c r="N1408" t="str">
        <f t="shared" si="107"/>
        <v/>
      </c>
      <c r="O1408" t="str">
        <f t="shared" si="108"/>
        <v/>
      </c>
    </row>
    <row r="1409" spans="11:15" x14ac:dyDescent="0.3">
      <c r="K1409" t="str">
        <f t="shared" si="109"/>
        <v/>
      </c>
      <c r="L1409" t="str">
        <f t="shared" ref="L1409:L1472" si="110">IF(A1409="","",IF(ISNUMBER(--LEFT(A1409,FIND(" - ",A1409&amp;" - ")-1)),LEFT(A1409,FIND(" - ",A1409&amp;" - ")-1),TRIM(A1409)))</f>
        <v/>
      </c>
      <c r="M1409" t="str">
        <f t="shared" ref="M1409:M1472" si="111">IF(OR(K1409="",K1409=A1409,A1409=""),"",K1409&amp;"|"&amp;L1409)</f>
        <v/>
      </c>
      <c r="N1409" t="str">
        <f t="shared" ref="N1409:N1472" si="112">IF(M1409="","",IF(ISNUMBER(B1409),B1409,IFERROR(_xlfn.NUMBERVALUE(B1409,".",","),0)))</f>
        <v/>
      </c>
      <c r="O1409" t="str">
        <f t="shared" ref="O1409:O1472" si="113">IF(M1409="","",IF(ISNUMBER(C1409),C1409,IFERROR(_xlfn.NUMBERVALUE(C1409,".",","),0)))</f>
        <v/>
      </c>
    </row>
    <row r="1410" spans="11:15" x14ac:dyDescent="0.3">
      <c r="K1410" t="str">
        <f t="shared" ref="K1410:K1473" si="114">IF(OR(LEFT(B1410,9)="DOANH THU",LEFT(B1410,8)="SỐ LƯỢNG"),A1410,K1409)</f>
        <v/>
      </c>
      <c r="L1410" t="str">
        <f t="shared" si="110"/>
        <v/>
      </c>
      <c r="M1410" t="str">
        <f t="shared" si="111"/>
        <v/>
      </c>
      <c r="N1410" t="str">
        <f t="shared" si="112"/>
        <v/>
      </c>
      <c r="O1410" t="str">
        <f t="shared" si="113"/>
        <v/>
      </c>
    </row>
    <row r="1411" spans="11:15" x14ac:dyDescent="0.3">
      <c r="K1411" t="str">
        <f t="shared" si="114"/>
        <v/>
      </c>
      <c r="L1411" t="str">
        <f t="shared" si="110"/>
        <v/>
      </c>
      <c r="M1411" t="str">
        <f t="shared" si="111"/>
        <v/>
      </c>
      <c r="N1411" t="str">
        <f t="shared" si="112"/>
        <v/>
      </c>
      <c r="O1411" t="str">
        <f t="shared" si="113"/>
        <v/>
      </c>
    </row>
    <row r="1412" spans="11:15" x14ac:dyDescent="0.3">
      <c r="K1412" t="str">
        <f t="shared" si="114"/>
        <v/>
      </c>
      <c r="L1412" t="str">
        <f t="shared" si="110"/>
        <v/>
      </c>
      <c r="M1412" t="str">
        <f t="shared" si="111"/>
        <v/>
      </c>
      <c r="N1412" t="str">
        <f t="shared" si="112"/>
        <v/>
      </c>
      <c r="O1412" t="str">
        <f t="shared" si="113"/>
        <v/>
      </c>
    </row>
    <row r="1413" spans="11:15" x14ac:dyDescent="0.3">
      <c r="K1413" t="str">
        <f t="shared" si="114"/>
        <v/>
      </c>
      <c r="L1413" t="str">
        <f t="shared" si="110"/>
        <v/>
      </c>
      <c r="M1413" t="str">
        <f t="shared" si="111"/>
        <v/>
      </c>
      <c r="N1413" t="str">
        <f t="shared" si="112"/>
        <v/>
      </c>
      <c r="O1413" t="str">
        <f t="shared" si="113"/>
        <v/>
      </c>
    </row>
    <row r="1414" spans="11:15" x14ac:dyDescent="0.3">
      <c r="K1414" t="str">
        <f t="shared" si="114"/>
        <v/>
      </c>
      <c r="L1414" t="str">
        <f t="shared" si="110"/>
        <v/>
      </c>
      <c r="M1414" t="str">
        <f t="shared" si="111"/>
        <v/>
      </c>
      <c r="N1414" t="str">
        <f t="shared" si="112"/>
        <v/>
      </c>
      <c r="O1414" t="str">
        <f t="shared" si="113"/>
        <v/>
      </c>
    </row>
    <row r="1415" spans="11:15" x14ac:dyDescent="0.3">
      <c r="K1415" t="str">
        <f t="shared" si="114"/>
        <v/>
      </c>
      <c r="L1415" t="str">
        <f t="shared" si="110"/>
        <v/>
      </c>
      <c r="M1415" t="str">
        <f t="shared" si="111"/>
        <v/>
      </c>
      <c r="N1415" t="str">
        <f t="shared" si="112"/>
        <v/>
      </c>
      <c r="O1415" t="str">
        <f t="shared" si="113"/>
        <v/>
      </c>
    </row>
    <row r="1416" spans="11:15" x14ac:dyDescent="0.3">
      <c r="K1416" t="str">
        <f t="shared" si="114"/>
        <v/>
      </c>
      <c r="L1416" t="str">
        <f t="shared" si="110"/>
        <v/>
      </c>
      <c r="M1416" t="str">
        <f t="shared" si="111"/>
        <v/>
      </c>
      <c r="N1416" t="str">
        <f t="shared" si="112"/>
        <v/>
      </c>
      <c r="O1416" t="str">
        <f t="shared" si="113"/>
        <v/>
      </c>
    </row>
    <row r="1417" spans="11:15" x14ac:dyDescent="0.3">
      <c r="K1417" t="str">
        <f t="shared" si="114"/>
        <v/>
      </c>
      <c r="L1417" t="str">
        <f t="shared" si="110"/>
        <v/>
      </c>
      <c r="M1417" t="str">
        <f t="shared" si="111"/>
        <v/>
      </c>
      <c r="N1417" t="str">
        <f t="shared" si="112"/>
        <v/>
      </c>
      <c r="O1417" t="str">
        <f t="shared" si="113"/>
        <v/>
      </c>
    </row>
    <row r="1418" spans="11:15" x14ac:dyDescent="0.3">
      <c r="K1418" t="str">
        <f t="shared" si="114"/>
        <v/>
      </c>
      <c r="L1418" t="str">
        <f t="shared" si="110"/>
        <v/>
      </c>
      <c r="M1418" t="str">
        <f t="shared" si="111"/>
        <v/>
      </c>
      <c r="N1418" t="str">
        <f t="shared" si="112"/>
        <v/>
      </c>
      <c r="O1418" t="str">
        <f t="shared" si="113"/>
        <v/>
      </c>
    </row>
    <row r="1419" spans="11:15" x14ac:dyDescent="0.3">
      <c r="K1419" t="str">
        <f t="shared" si="114"/>
        <v/>
      </c>
      <c r="L1419" t="str">
        <f t="shared" si="110"/>
        <v/>
      </c>
      <c r="M1419" t="str">
        <f t="shared" si="111"/>
        <v/>
      </c>
      <c r="N1419" t="str">
        <f t="shared" si="112"/>
        <v/>
      </c>
      <c r="O1419" t="str">
        <f t="shared" si="113"/>
        <v/>
      </c>
    </row>
    <row r="1420" spans="11:15" x14ac:dyDescent="0.3">
      <c r="K1420" t="str">
        <f t="shared" si="114"/>
        <v/>
      </c>
      <c r="L1420" t="str">
        <f t="shared" si="110"/>
        <v/>
      </c>
      <c r="M1420" t="str">
        <f t="shared" si="111"/>
        <v/>
      </c>
      <c r="N1420" t="str">
        <f t="shared" si="112"/>
        <v/>
      </c>
      <c r="O1420" t="str">
        <f t="shared" si="113"/>
        <v/>
      </c>
    </row>
    <row r="1421" spans="11:15" x14ac:dyDescent="0.3">
      <c r="K1421" t="str">
        <f t="shared" si="114"/>
        <v/>
      </c>
      <c r="L1421" t="str">
        <f t="shared" si="110"/>
        <v/>
      </c>
      <c r="M1421" t="str">
        <f t="shared" si="111"/>
        <v/>
      </c>
      <c r="N1421" t="str">
        <f t="shared" si="112"/>
        <v/>
      </c>
      <c r="O1421" t="str">
        <f t="shared" si="113"/>
        <v/>
      </c>
    </row>
    <row r="1422" spans="11:15" x14ac:dyDescent="0.3">
      <c r="K1422" t="str">
        <f t="shared" si="114"/>
        <v/>
      </c>
      <c r="L1422" t="str">
        <f t="shared" si="110"/>
        <v/>
      </c>
      <c r="M1422" t="str">
        <f t="shared" si="111"/>
        <v/>
      </c>
      <c r="N1422" t="str">
        <f t="shared" si="112"/>
        <v/>
      </c>
      <c r="O1422" t="str">
        <f t="shared" si="113"/>
        <v/>
      </c>
    </row>
    <row r="1423" spans="11:15" x14ac:dyDescent="0.3">
      <c r="K1423" t="str">
        <f t="shared" si="114"/>
        <v/>
      </c>
      <c r="L1423" t="str">
        <f t="shared" si="110"/>
        <v/>
      </c>
      <c r="M1423" t="str">
        <f t="shared" si="111"/>
        <v/>
      </c>
      <c r="N1423" t="str">
        <f t="shared" si="112"/>
        <v/>
      </c>
      <c r="O1423" t="str">
        <f t="shared" si="113"/>
        <v/>
      </c>
    </row>
    <row r="1424" spans="11:15" x14ac:dyDescent="0.3">
      <c r="K1424" t="str">
        <f t="shared" si="114"/>
        <v/>
      </c>
      <c r="L1424" t="str">
        <f t="shared" si="110"/>
        <v/>
      </c>
      <c r="M1424" t="str">
        <f t="shared" si="111"/>
        <v/>
      </c>
      <c r="N1424" t="str">
        <f t="shared" si="112"/>
        <v/>
      </c>
      <c r="O1424" t="str">
        <f t="shared" si="113"/>
        <v/>
      </c>
    </row>
    <row r="1425" spans="11:15" x14ac:dyDescent="0.3">
      <c r="K1425" t="str">
        <f t="shared" si="114"/>
        <v/>
      </c>
      <c r="L1425" t="str">
        <f t="shared" si="110"/>
        <v/>
      </c>
      <c r="M1425" t="str">
        <f t="shared" si="111"/>
        <v/>
      </c>
      <c r="N1425" t="str">
        <f t="shared" si="112"/>
        <v/>
      </c>
      <c r="O1425" t="str">
        <f t="shared" si="113"/>
        <v/>
      </c>
    </row>
    <row r="1426" spans="11:15" x14ac:dyDescent="0.3">
      <c r="K1426" t="str">
        <f t="shared" si="114"/>
        <v/>
      </c>
      <c r="L1426" t="str">
        <f t="shared" si="110"/>
        <v/>
      </c>
      <c r="M1426" t="str">
        <f t="shared" si="111"/>
        <v/>
      </c>
      <c r="N1426" t="str">
        <f t="shared" si="112"/>
        <v/>
      </c>
      <c r="O1426" t="str">
        <f t="shared" si="113"/>
        <v/>
      </c>
    </row>
    <row r="1427" spans="11:15" x14ac:dyDescent="0.3">
      <c r="K1427" t="str">
        <f t="shared" si="114"/>
        <v/>
      </c>
      <c r="L1427" t="str">
        <f t="shared" si="110"/>
        <v/>
      </c>
      <c r="M1427" t="str">
        <f t="shared" si="111"/>
        <v/>
      </c>
      <c r="N1427" t="str">
        <f t="shared" si="112"/>
        <v/>
      </c>
      <c r="O1427" t="str">
        <f t="shared" si="113"/>
        <v/>
      </c>
    </row>
    <row r="1428" spans="11:15" x14ac:dyDescent="0.3">
      <c r="K1428" t="str">
        <f t="shared" si="114"/>
        <v/>
      </c>
      <c r="L1428" t="str">
        <f t="shared" si="110"/>
        <v/>
      </c>
      <c r="M1428" t="str">
        <f t="shared" si="111"/>
        <v/>
      </c>
      <c r="N1428" t="str">
        <f t="shared" si="112"/>
        <v/>
      </c>
      <c r="O1428" t="str">
        <f t="shared" si="113"/>
        <v/>
      </c>
    </row>
    <row r="1429" spans="11:15" x14ac:dyDescent="0.3">
      <c r="K1429" t="str">
        <f t="shared" si="114"/>
        <v/>
      </c>
      <c r="L1429" t="str">
        <f t="shared" si="110"/>
        <v/>
      </c>
      <c r="M1429" t="str">
        <f t="shared" si="111"/>
        <v/>
      </c>
      <c r="N1429" t="str">
        <f t="shared" si="112"/>
        <v/>
      </c>
      <c r="O1429" t="str">
        <f t="shared" si="113"/>
        <v/>
      </c>
    </row>
    <row r="1430" spans="11:15" x14ac:dyDescent="0.3">
      <c r="K1430" t="str">
        <f t="shared" si="114"/>
        <v/>
      </c>
      <c r="L1430" t="str">
        <f t="shared" si="110"/>
        <v/>
      </c>
      <c r="M1430" t="str">
        <f t="shared" si="111"/>
        <v/>
      </c>
      <c r="N1430" t="str">
        <f t="shared" si="112"/>
        <v/>
      </c>
      <c r="O1430" t="str">
        <f t="shared" si="113"/>
        <v/>
      </c>
    </row>
    <row r="1431" spans="11:15" x14ac:dyDescent="0.3">
      <c r="K1431" t="str">
        <f t="shared" si="114"/>
        <v/>
      </c>
      <c r="L1431" t="str">
        <f t="shared" si="110"/>
        <v/>
      </c>
      <c r="M1431" t="str">
        <f t="shared" si="111"/>
        <v/>
      </c>
      <c r="N1431" t="str">
        <f t="shared" si="112"/>
        <v/>
      </c>
      <c r="O1431" t="str">
        <f t="shared" si="113"/>
        <v/>
      </c>
    </row>
    <row r="1432" spans="11:15" x14ac:dyDescent="0.3">
      <c r="K1432" t="str">
        <f t="shared" si="114"/>
        <v/>
      </c>
      <c r="L1432" t="str">
        <f t="shared" si="110"/>
        <v/>
      </c>
      <c r="M1432" t="str">
        <f t="shared" si="111"/>
        <v/>
      </c>
      <c r="N1432" t="str">
        <f t="shared" si="112"/>
        <v/>
      </c>
      <c r="O1432" t="str">
        <f t="shared" si="113"/>
        <v/>
      </c>
    </row>
    <row r="1433" spans="11:15" x14ac:dyDescent="0.3">
      <c r="K1433" t="str">
        <f t="shared" si="114"/>
        <v/>
      </c>
      <c r="L1433" t="str">
        <f t="shared" si="110"/>
        <v/>
      </c>
      <c r="M1433" t="str">
        <f t="shared" si="111"/>
        <v/>
      </c>
      <c r="N1433" t="str">
        <f t="shared" si="112"/>
        <v/>
      </c>
      <c r="O1433" t="str">
        <f t="shared" si="113"/>
        <v/>
      </c>
    </row>
    <row r="1434" spans="11:15" x14ac:dyDescent="0.3">
      <c r="K1434" t="str">
        <f t="shared" si="114"/>
        <v/>
      </c>
      <c r="L1434" t="str">
        <f t="shared" si="110"/>
        <v/>
      </c>
      <c r="M1434" t="str">
        <f t="shared" si="111"/>
        <v/>
      </c>
      <c r="N1434" t="str">
        <f t="shared" si="112"/>
        <v/>
      </c>
      <c r="O1434" t="str">
        <f t="shared" si="113"/>
        <v/>
      </c>
    </row>
    <row r="1435" spans="11:15" x14ac:dyDescent="0.3">
      <c r="K1435" t="str">
        <f t="shared" si="114"/>
        <v/>
      </c>
      <c r="L1435" t="str">
        <f t="shared" si="110"/>
        <v/>
      </c>
      <c r="M1435" t="str">
        <f t="shared" si="111"/>
        <v/>
      </c>
      <c r="N1435" t="str">
        <f t="shared" si="112"/>
        <v/>
      </c>
      <c r="O1435" t="str">
        <f t="shared" si="113"/>
        <v/>
      </c>
    </row>
    <row r="1436" spans="11:15" x14ac:dyDescent="0.3">
      <c r="K1436" t="str">
        <f t="shared" si="114"/>
        <v/>
      </c>
      <c r="L1436" t="str">
        <f t="shared" si="110"/>
        <v/>
      </c>
      <c r="M1436" t="str">
        <f t="shared" si="111"/>
        <v/>
      </c>
      <c r="N1436" t="str">
        <f t="shared" si="112"/>
        <v/>
      </c>
      <c r="O1436" t="str">
        <f t="shared" si="113"/>
        <v/>
      </c>
    </row>
    <row r="1437" spans="11:15" x14ac:dyDescent="0.3">
      <c r="K1437" t="str">
        <f t="shared" si="114"/>
        <v/>
      </c>
      <c r="L1437" t="str">
        <f t="shared" si="110"/>
        <v/>
      </c>
      <c r="M1437" t="str">
        <f t="shared" si="111"/>
        <v/>
      </c>
      <c r="N1437" t="str">
        <f t="shared" si="112"/>
        <v/>
      </c>
      <c r="O1437" t="str">
        <f t="shared" si="113"/>
        <v/>
      </c>
    </row>
    <row r="1438" spans="11:15" x14ac:dyDescent="0.3">
      <c r="K1438" t="str">
        <f t="shared" si="114"/>
        <v/>
      </c>
      <c r="L1438" t="str">
        <f t="shared" si="110"/>
        <v/>
      </c>
      <c r="M1438" t="str">
        <f t="shared" si="111"/>
        <v/>
      </c>
      <c r="N1438" t="str">
        <f t="shared" si="112"/>
        <v/>
      </c>
      <c r="O1438" t="str">
        <f t="shared" si="113"/>
        <v/>
      </c>
    </row>
    <row r="1439" spans="11:15" x14ac:dyDescent="0.3">
      <c r="K1439" t="str">
        <f t="shared" si="114"/>
        <v/>
      </c>
      <c r="L1439" t="str">
        <f t="shared" si="110"/>
        <v/>
      </c>
      <c r="M1439" t="str">
        <f t="shared" si="111"/>
        <v/>
      </c>
      <c r="N1439" t="str">
        <f t="shared" si="112"/>
        <v/>
      </c>
      <c r="O1439" t="str">
        <f t="shared" si="113"/>
        <v/>
      </c>
    </row>
    <row r="1440" spans="11:15" x14ac:dyDescent="0.3">
      <c r="K1440" t="str">
        <f t="shared" si="114"/>
        <v/>
      </c>
      <c r="L1440" t="str">
        <f t="shared" si="110"/>
        <v/>
      </c>
      <c r="M1440" t="str">
        <f t="shared" si="111"/>
        <v/>
      </c>
      <c r="N1440" t="str">
        <f t="shared" si="112"/>
        <v/>
      </c>
      <c r="O1440" t="str">
        <f t="shared" si="113"/>
        <v/>
      </c>
    </row>
    <row r="1441" spans="11:15" x14ac:dyDescent="0.3">
      <c r="K1441" t="str">
        <f t="shared" si="114"/>
        <v/>
      </c>
      <c r="L1441" t="str">
        <f t="shared" si="110"/>
        <v/>
      </c>
      <c r="M1441" t="str">
        <f t="shared" si="111"/>
        <v/>
      </c>
      <c r="N1441" t="str">
        <f t="shared" si="112"/>
        <v/>
      </c>
      <c r="O1441" t="str">
        <f t="shared" si="113"/>
        <v/>
      </c>
    </row>
    <row r="1442" spans="11:15" x14ac:dyDescent="0.3">
      <c r="K1442" t="str">
        <f t="shared" si="114"/>
        <v/>
      </c>
      <c r="L1442" t="str">
        <f t="shared" si="110"/>
        <v/>
      </c>
      <c r="M1442" t="str">
        <f t="shared" si="111"/>
        <v/>
      </c>
      <c r="N1442" t="str">
        <f t="shared" si="112"/>
        <v/>
      </c>
      <c r="O1442" t="str">
        <f t="shared" si="113"/>
        <v/>
      </c>
    </row>
    <row r="1443" spans="11:15" x14ac:dyDescent="0.3">
      <c r="K1443" t="str">
        <f t="shared" si="114"/>
        <v/>
      </c>
      <c r="L1443" t="str">
        <f t="shared" si="110"/>
        <v/>
      </c>
      <c r="M1443" t="str">
        <f t="shared" si="111"/>
        <v/>
      </c>
      <c r="N1443" t="str">
        <f t="shared" si="112"/>
        <v/>
      </c>
      <c r="O1443" t="str">
        <f t="shared" si="113"/>
        <v/>
      </c>
    </row>
    <row r="1444" spans="11:15" x14ac:dyDescent="0.3">
      <c r="K1444" t="str">
        <f t="shared" si="114"/>
        <v/>
      </c>
      <c r="L1444" t="str">
        <f t="shared" si="110"/>
        <v/>
      </c>
      <c r="M1444" t="str">
        <f t="shared" si="111"/>
        <v/>
      </c>
      <c r="N1444" t="str">
        <f t="shared" si="112"/>
        <v/>
      </c>
      <c r="O1444" t="str">
        <f t="shared" si="113"/>
        <v/>
      </c>
    </row>
    <row r="1445" spans="11:15" x14ac:dyDescent="0.3">
      <c r="K1445" t="str">
        <f t="shared" si="114"/>
        <v/>
      </c>
      <c r="L1445" t="str">
        <f t="shared" si="110"/>
        <v/>
      </c>
      <c r="M1445" t="str">
        <f t="shared" si="111"/>
        <v/>
      </c>
      <c r="N1445" t="str">
        <f t="shared" si="112"/>
        <v/>
      </c>
      <c r="O1445" t="str">
        <f t="shared" si="113"/>
        <v/>
      </c>
    </row>
    <row r="1446" spans="11:15" x14ac:dyDescent="0.3">
      <c r="K1446" t="str">
        <f t="shared" si="114"/>
        <v/>
      </c>
      <c r="L1446" t="str">
        <f t="shared" si="110"/>
        <v/>
      </c>
      <c r="M1446" t="str">
        <f t="shared" si="111"/>
        <v/>
      </c>
      <c r="N1446" t="str">
        <f t="shared" si="112"/>
        <v/>
      </c>
      <c r="O1446" t="str">
        <f t="shared" si="113"/>
        <v/>
      </c>
    </row>
    <row r="1447" spans="11:15" x14ac:dyDescent="0.3">
      <c r="K1447" t="str">
        <f t="shared" si="114"/>
        <v/>
      </c>
      <c r="L1447" t="str">
        <f t="shared" si="110"/>
        <v/>
      </c>
      <c r="M1447" t="str">
        <f t="shared" si="111"/>
        <v/>
      </c>
      <c r="N1447" t="str">
        <f t="shared" si="112"/>
        <v/>
      </c>
      <c r="O1447" t="str">
        <f t="shared" si="113"/>
        <v/>
      </c>
    </row>
    <row r="1448" spans="11:15" x14ac:dyDescent="0.3">
      <c r="K1448" t="str">
        <f t="shared" si="114"/>
        <v/>
      </c>
      <c r="L1448" t="str">
        <f t="shared" si="110"/>
        <v/>
      </c>
      <c r="M1448" t="str">
        <f t="shared" si="111"/>
        <v/>
      </c>
      <c r="N1448" t="str">
        <f t="shared" si="112"/>
        <v/>
      </c>
      <c r="O1448" t="str">
        <f t="shared" si="113"/>
        <v/>
      </c>
    </row>
    <row r="1449" spans="11:15" x14ac:dyDescent="0.3">
      <c r="K1449" t="str">
        <f t="shared" si="114"/>
        <v/>
      </c>
      <c r="L1449" t="str">
        <f t="shared" si="110"/>
        <v/>
      </c>
      <c r="M1449" t="str">
        <f t="shared" si="111"/>
        <v/>
      </c>
      <c r="N1449" t="str">
        <f t="shared" si="112"/>
        <v/>
      </c>
      <c r="O1449" t="str">
        <f t="shared" si="113"/>
        <v/>
      </c>
    </row>
    <row r="1450" spans="11:15" x14ac:dyDescent="0.3">
      <c r="K1450" t="str">
        <f t="shared" si="114"/>
        <v/>
      </c>
      <c r="L1450" t="str">
        <f t="shared" si="110"/>
        <v/>
      </c>
      <c r="M1450" t="str">
        <f t="shared" si="111"/>
        <v/>
      </c>
      <c r="N1450" t="str">
        <f t="shared" si="112"/>
        <v/>
      </c>
      <c r="O1450" t="str">
        <f t="shared" si="113"/>
        <v/>
      </c>
    </row>
    <row r="1451" spans="11:15" x14ac:dyDescent="0.3">
      <c r="K1451" t="str">
        <f t="shared" si="114"/>
        <v/>
      </c>
      <c r="L1451" t="str">
        <f t="shared" si="110"/>
        <v/>
      </c>
      <c r="M1451" t="str">
        <f t="shared" si="111"/>
        <v/>
      </c>
      <c r="N1451" t="str">
        <f t="shared" si="112"/>
        <v/>
      </c>
      <c r="O1451" t="str">
        <f t="shared" si="113"/>
        <v/>
      </c>
    </row>
    <row r="1452" spans="11:15" x14ac:dyDescent="0.3">
      <c r="K1452" t="str">
        <f t="shared" si="114"/>
        <v/>
      </c>
      <c r="L1452" t="str">
        <f t="shared" si="110"/>
        <v/>
      </c>
      <c r="M1452" t="str">
        <f t="shared" si="111"/>
        <v/>
      </c>
      <c r="N1452" t="str">
        <f t="shared" si="112"/>
        <v/>
      </c>
      <c r="O1452" t="str">
        <f t="shared" si="113"/>
        <v/>
      </c>
    </row>
    <row r="1453" spans="11:15" x14ac:dyDescent="0.3">
      <c r="K1453" t="str">
        <f t="shared" si="114"/>
        <v/>
      </c>
      <c r="L1453" t="str">
        <f t="shared" si="110"/>
        <v/>
      </c>
      <c r="M1453" t="str">
        <f t="shared" si="111"/>
        <v/>
      </c>
      <c r="N1453" t="str">
        <f t="shared" si="112"/>
        <v/>
      </c>
      <c r="O1453" t="str">
        <f t="shared" si="113"/>
        <v/>
      </c>
    </row>
    <row r="1454" spans="11:15" x14ac:dyDescent="0.3">
      <c r="K1454" t="str">
        <f t="shared" si="114"/>
        <v/>
      </c>
      <c r="L1454" t="str">
        <f t="shared" si="110"/>
        <v/>
      </c>
      <c r="M1454" t="str">
        <f t="shared" si="111"/>
        <v/>
      </c>
      <c r="N1454" t="str">
        <f t="shared" si="112"/>
        <v/>
      </c>
      <c r="O1454" t="str">
        <f t="shared" si="113"/>
        <v/>
      </c>
    </row>
    <row r="1455" spans="11:15" x14ac:dyDescent="0.3">
      <c r="K1455" t="str">
        <f t="shared" si="114"/>
        <v/>
      </c>
      <c r="L1455" t="str">
        <f t="shared" si="110"/>
        <v/>
      </c>
      <c r="M1455" t="str">
        <f t="shared" si="111"/>
        <v/>
      </c>
      <c r="N1455" t="str">
        <f t="shared" si="112"/>
        <v/>
      </c>
      <c r="O1455" t="str">
        <f t="shared" si="113"/>
        <v/>
      </c>
    </row>
    <row r="1456" spans="11:15" x14ac:dyDescent="0.3">
      <c r="K1456" t="str">
        <f t="shared" si="114"/>
        <v/>
      </c>
      <c r="L1456" t="str">
        <f t="shared" si="110"/>
        <v/>
      </c>
      <c r="M1456" t="str">
        <f t="shared" si="111"/>
        <v/>
      </c>
      <c r="N1456" t="str">
        <f t="shared" si="112"/>
        <v/>
      </c>
      <c r="O1456" t="str">
        <f t="shared" si="113"/>
        <v/>
      </c>
    </row>
    <row r="1457" spans="11:15" x14ac:dyDescent="0.3">
      <c r="K1457" t="str">
        <f t="shared" si="114"/>
        <v/>
      </c>
      <c r="L1457" t="str">
        <f t="shared" si="110"/>
        <v/>
      </c>
      <c r="M1457" t="str">
        <f t="shared" si="111"/>
        <v/>
      </c>
      <c r="N1457" t="str">
        <f t="shared" si="112"/>
        <v/>
      </c>
      <c r="O1457" t="str">
        <f t="shared" si="113"/>
        <v/>
      </c>
    </row>
    <row r="1458" spans="11:15" x14ac:dyDescent="0.3">
      <c r="K1458" t="str">
        <f t="shared" si="114"/>
        <v/>
      </c>
      <c r="L1458" t="str">
        <f t="shared" si="110"/>
        <v/>
      </c>
      <c r="M1458" t="str">
        <f t="shared" si="111"/>
        <v/>
      </c>
      <c r="N1458" t="str">
        <f t="shared" si="112"/>
        <v/>
      </c>
      <c r="O1458" t="str">
        <f t="shared" si="113"/>
        <v/>
      </c>
    </row>
    <row r="1459" spans="11:15" x14ac:dyDescent="0.3">
      <c r="K1459" t="str">
        <f t="shared" si="114"/>
        <v/>
      </c>
      <c r="L1459" t="str">
        <f t="shared" si="110"/>
        <v/>
      </c>
      <c r="M1459" t="str">
        <f t="shared" si="111"/>
        <v/>
      </c>
      <c r="N1459" t="str">
        <f t="shared" si="112"/>
        <v/>
      </c>
      <c r="O1459" t="str">
        <f t="shared" si="113"/>
        <v/>
      </c>
    </row>
    <row r="1460" spans="11:15" x14ac:dyDescent="0.3">
      <c r="K1460" t="str">
        <f t="shared" si="114"/>
        <v/>
      </c>
      <c r="L1460" t="str">
        <f t="shared" si="110"/>
        <v/>
      </c>
      <c r="M1460" t="str">
        <f t="shared" si="111"/>
        <v/>
      </c>
      <c r="N1460" t="str">
        <f t="shared" si="112"/>
        <v/>
      </c>
      <c r="O1460" t="str">
        <f t="shared" si="113"/>
        <v/>
      </c>
    </row>
    <row r="1461" spans="11:15" x14ac:dyDescent="0.3">
      <c r="K1461" t="str">
        <f t="shared" si="114"/>
        <v/>
      </c>
      <c r="L1461" t="str">
        <f t="shared" si="110"/>
        <v/>
      </c>
      <c r="M1461" t="str">
        <f t="shared" si="111"/>
        <v/>
      </c>
      <c r="N1461" t="str">
        <f t="shared" si="112"/>
        <v/>
      </c>
      <c r="O1461" t="str">
        <f t="shared" si="113"/>
        <v/>
      </c>
    </row>
    <row r="1462" spans="11:15" x14ac:dyDescent="0.3">
      <c r="K1462" t="str">
        <f t="shared" si="114"/>
        <v/>
      </c>
      <c r="L1462" t="str">
        <f t="shared" si="110"/>
        <v/>
      </c>
      <c r="M1462" t="str">
        <f t="shared" si="111"/>
        <v/>
      </c>
      <c r="N1462" t="str">
        <f t="shared" si="112"/>
        <v/>
      </c>
      <c r="O1462" t="str">
        <f t="shared" si="113"/>
        <v/>
      </c>
    </row>
    <row r="1463" spans="11:15" x14ac:dyDescent="0.3">
      <c r="K1463" t="str">
        <f t="shared" si="114"/>
        <v/>
      </c>
      <c r="L1463" t="str">
        <f t="shared" si="110"/>
        <v/>
      </c>
      <c r="M1463" t="str">
        <f t="shared" si="111"/>
        <v/>
      </c>
      <c r="N1463" t="str">
        <f t="shared" si="112"/>
        <v/>
      </c>
      <c r="O1463" t="str">
        <f t="shared" si="113"/>
        <v/>
      </c>
    </row>
    <row r="1464" spans="11:15" x14ac:dyDescent="0.3">
      <c r="K1464" t="str">
        <f t="shared" si="114"/>
        <v/>
      </c>
      <c r="L1464" t="str">
        <f t="shared" si="110"/>
        <v/>
      </c>
      <c r="M1464" t="str">
        <f t="shared" si="111"/>
        <v/>
      </c>
      <c r="N1464" t="str">
        <f t="shared" si="112"/>
        <v/>
      </c>
      <c r="O1464" t="str">
        <f t="shared" si="113"/>
        <v/>
      </c>
    </row>
    <row r="1465" spans="11:15" x14ac:dyDescent="0.3">
      <c r="K1465" t="str">
        <f t="shared" si="114"/>
        <v/>
      </c>
      <c r="L1465" t="str">
        <f t="shared" si="110"/>
        <v/>
      </c>
      <c r="M1465" t="str">
        <f t="shared" si="111"/>
        <v/>
      </c>
      <c r="N1465" t="str">
        <f t="shared" si="112"/>
        <v/>
      </c>
      <c r="O1465" t="str">
        <f t="shared" si="113"/>
        <v/>
      </c>
    </row>
    <row r="1466" spans="11:15" x14ac:dyDescent="0.3">
      <c r="K1466" t="str">
        <f t="shared" si="114"/>
        <v/>
      </c>
      <c r="L1466" t="str">
        <f t="shared" si="110"/>
        <v/>
      </c>
      <c r="M1466" t="str">
        <f t="shared" si="111"/>
        <v/>
      </c>
      <c r="N1466" t="str">
        <f t="shared" si="112"/>
        <v/>
      </c>
      <c r="O1466" t="str">
        <f t="shared" si="113"/>
        <v/>
      </c>
    </row>
    <row r="1467" spans="11:15" x14ac:dyDescent="0.3">
      <c r="K1467" t="str">
        <f t="shared" si="114"/>
        <v/>
      </c>
      <c r="L1467" t="str">
        <f t="shared" si="110"/>
        <v/>
      </c>
      <c r="M1467" t="str">
        <f t="shared" si="111"/>
        <v/>
      </c>
      <c r="N1467" t="str">
        <f t="shared" si="112"/>
        <v/>
      </c>
      <c r="O1467" t="str">
        <f t="shared" si="113"/>
        <v/>
      </c>
    </row>
    <row r="1468" spans="11:15" x14ac:dyDescent="0.3">
      <c r="K1468" t="str">
        <f t="shared" si="114"/>
        <v/>
      </c>
      <c r="L1468" t="str">
        <f t="shared" si="110"/>
        <v/>
      </c>
      <c r="M1468" t="str">
        <f t="shared" si="111"/>
        <v/>
      </c>
      <c r="N1468" t="str">
        <f t="shared" si="112"/>
        <v/>
      </c>
      <c r="O1468" t="str">
        <f t="shared" si="113"/>
        <v/>
      </c>
    </row>
    <row r="1469" spans="11:15" x14ac:dyDescent="0.3">
      <c r="K1469" t="str">
        <f t="shared" si="114"/>
        <v/>
      </c>
      <c r="L1469" t="str">
        <f t="shared" si="110"/>
        <v/>
      </c>
      <c r="M1469" t="str">
        <f t="shared" si="111"/>
        <v/>
      </c>
      <c r="N1469" t="str">
        <f t="shared" si="112"/>
        <v/>
      </c>
      <c r="O1469" t="str">
        <f t="shared" si="113"/>
        <v/>
      </c>
    </row>
    <row r="1470" spans="11:15" x14ac:dyDescent="0.3">
      <c r="K1470" t="str">
        <f t="shared" si="114"/>
        <v/>
      </c>
      <c r="L1470" t="str">
        <f t="shared" si="110"/>
        <v/>
      </c>
      <c r="M1470" t="str">
        <f t="shared" si="111"/>
        <v/>
      </c>
      <c r="N1470" t="str">
        <f t="shared" si="112"/>
        <v/>
      </c>
      <c r="O1470" t="str">
        <f t="shared" si="113"/>
        <v/>
      </c>
    </row>
    <row r="1471" spans="11:15" x14ac:dyDescent="0.3">
      <c r="K1471" t="str">
        <f t="shared" si="114"/>
        <v/>
      </c>
      <c r="L1471" t="str">
        <f t="shared" si="110"/>
        <v/>
      </c>
      <c r="M1471" t="str">
        <f t="shared" si="111"/>
        <v/>
      </c>
      <c r="N1471" t="str">
        <f t="shared" si="112"/>
        <v/>
      </c>
      <c r="O1471" t="str">
        <f t="shared" si="113"/>
        <v/>
      </c>
    </row>
    <row r="1472" spans="11:15" x14ac:dyDescent="0.3">
      <c r="K1472" t="str">
        <f t="shared" si="114"/>
        <v/>
      </c>
      <c r="L1472" t="str">
        <f t="shared" si="110"/>
        <v/>
      </c>
      <c r="M1472" t="str">
        <f t="shared" si="111"/>
        <v/>
      </c>
      <c r="N1472" t="str">
        <f t="shared" si="112"/>
        <v/>
      </c>
      <c r="O1472" t="str">
        <f t="shared" si="113"/>
        <v/>
      </c>
    </row>
    <row r="1473" spans="11:15" x14ac:dyDescent="0.3">
      <c r="K1473" t="str">
        <f t="shared" si="114"/>
        <v/>
      </c>
      <c r="L1473" t="str">
        <f t="shared" ref="L1473:L1500" si="115">IF(A1473="","",IF(ISNUMBER(--LEFT(A1473,FIND(" - ",A1473&amp;" - ")-1)),LEFT(A1473,FIND(" - ",A1473&amp;" - ")-1),TRIM(A1473)))</f>
        <v/>
      </c>
      <c r="M1473" t="str">
        <f t="shared" ref="M1473:M1536" si="116">IF(OR(K1473="",K1473=A1473,A1473=""),"",K1473&amp;"|"&amp;L1473)</f>
        <v/>
      </c>
      <c r="N1473" t="str">
        <f t="shared" ref="N1473:N1536" si="117">IF(M1473="","",IF(ISNUMBER(B1473),B1473,IFERROR(_xlfn.NUMBERVALUE(B1473,".",","),0)))</f>
        <v/>
      </c>
      <c r="O1473" t="str">
        <f t="shared" ref="O1473:O1500" si="118">IF(M1473="","",IF(ISNUMBER(C1473),C1473,IFERROR(_xlfn.NUMBERVALUE(C1473,".",","),0)))</f>
        <v/>
      </c>
    </row>
    <row r="1474" spans="11:15" x14ac:dyDescent="0.3">
      <c r="K1474" t="str">
        <f t="shared" ref="K1474:K1500" si="119">IF(OR(LEFT(B1474,9)="DOANH THU",LEFT(B1474,8)="SỐ LƯỢNG"),A1474,K1473)</f>
        <v/>
      </c>
      <c r="L1474" t="str">
        <f t="shared" si="115"/>
        <v/>
      </c>
      <c r="M1474" t="str">
        <f t="shared" si="116"/>
        <v/>
      </c>
      <c r="N1474" t="str">
        <f t="shared" si="117"/>
        <v/>
      </c>
      <c r="O1474" t="str">
        <f t="shared" si="118"/>
        <v/>
      </c>
    </row>
    <row r="1475" spans="11:15" x14ac:dyDescent="0.3">
      <c r="K1475" t="str">
        <f t="shared" si="119"/>
        <v/>
      </c>
      <c r="L1475" t="str">
        <f t="shared" si="115"/>
        <v/>
      </c>
      <c r="M1475" t="str">
        <f t="shared" si="116"/>
        <v/>
      </c>
      <c r="N1475" t="str">
        <f t="shared" si="117"/>
        <v/>
      </c>
      <c r="O1475" t="str">
        <f t="shared" si="118"/>
        <v/>
      </c>
    </row>
    <row r="1476" spans="11:15" x14ac:dyDescent="0.3">
      <c r="K1476" t="str">
        <f t="shared" si="119"/>
        <v/>
      </c>
      <c r="L1476" t="str">
        <f t="shared" si="115"/>
        <v/>
      </c>
      <c r="M1476" t="str">
        <f t="shared" si="116"/>
        <v/>
      </c>
      <c r="N1476" t="str">
        <f t="shared" si="117"/>
        <v/>
      </c>
      <c r="O1476" t="str">
        <f t="shared" si="118"/>
        <v/>
      </c>
    </row>
    <row r="1477" spans="11:15" x14ac:dyDescent="0.3">
      <c r="K1477" t="str">
        <f t="shared" si="119"/>
        <v/>
      </c>
      <c r="L1477" t="str">
        <f t="shared" si="115"/>
        <v/>
      </c>
      <c r="M1477" t="str">
        <f t="shared" si="116"/>
        <v/>
      </c>
      <c r="N1477" t="str">
        <f t="shared" si="117"/>
        <v/>
      </c>
      <c r="O1477" t="str">
        <f t="shared" si="118"/>
        <v/>
      </c>
    </row>
    <row r="1478" spans="11:15" x14ac:dyDescent="0.3">
      <c r="K1478" t="str">
        <f t="shared" si="119"/>
        <v/>
      </c>
      <c r="L1478" t="str">
        <f t="shared" si="115"/>
        <v/>
      </c>
      <c r="M1478" t="str">
        <f t="shared" si="116"/>
        <v/>
      </c>
      <c r="N1478" t="str">
        <f t="shared" si="117"/>
        <v/>
      </c>
      <c r="O1478" t="str">
        <f t="shared" si="118"/>
        <v/>
      </c>
    </row>
    <row r="1479" spans="11:15" x14ac:dyDescent="0.3">
      <c r="K1479" t="str">
        <f t="shared" si="119"/>
        <v/>
      </c>
      <c r="L1479" t="str">
        <f t="shared" si="115"/>
        <v/>
      </c>
      <c r="M1479" t="str">
        <f t="shared" si="116"/>
        <v/>
      </c>
      <c r="N1479" t="str">
        <f t="shared" si="117"/>
        <v/>
      </c>
      <c r="O1479" t="str">
        <f t="shared" si="118"/>
        <v/>
      </c>
    </row>
    <row r="1480" spans="11:15" x14ac:dyDescent="0.3">
      <c r="K1480" t="str">
        <f t="shared" si="119"/>
        <v/>
      </c>
      <c r="L1480" t="str">
        <f t="shared" si="115"/>
        <v/>
      </c>
      <c r="M1480" t="str">
        <f t="shared" si="116"/>
        <v/>
      </c>
      <c r="N1480" t="str">
        <f t="shared" si="117"/>
        <v/>
      </c>
      <c r="O1480" t="str">
        <f t="shared" si="118"/>
        <v/>
      </c>
    </row>
    <row r="1481" spans="11:15" x14ac:dyDescent="0.3">
      <c r="K1481" t="str">
        <f t="shared" si="119"/>
        <v/>
      </c>
      <c r="L1481" t="str">
        <f t="shared" si="115"/>
        <v/>
      </c>
      <c r="M1481" t="str">
        <f t="shared" si="116"/>
        <v/>
      </c>
      <c r="N1481" t="str">
        <f t="shared" si="117"/>
        <v/>
      </c>
      <c r="O1481" t="str">
        <f t="shared" si="118"/>
        <v/>
      </c>
    </row>
    <row r="1482" spans="11:15" x14ac:dyDescent="0.3">
      <c r="K1482" t="str">
        <f t="shared" si="119"/>
        <v/>
      </c>
      <c r="L1482" t="str">
        <f t="shared" si="115"/>
        <v/>
      </c>
      <c r="M1482" t="str">
        <f t="shared" si="116"/>
        <v/>
      </c>
      <c r="N1482" t="str">
        <f t="shared" si="117"/>
        <v/>
      </c>
      <c r="O1482" t="str">
        <f t="shared" si="118"/>
        <v/>
      </c>
    </row>
    <row r="1483" spans="11:15" x14ac:dyDescent="0.3">
      <c r="K1483" t="str">
        <f t="shared" si="119"/>
        <v/>
      </c>
      <c r="L1483" t="str">
        <f t="shared" si="115"/>
        <v/>
      </c>
      <c r="M1483" t="str">
        <f t="shared" si="116"/>
        <v/>
      </c>
      <c r="N1483" t="str">
        <f t="shared" si="117"/>
        <v/>
      </c>
      <c r="O1483" t="str">
        <f t="shared" si="118"/>
        <v/>
      </c>
    </row>
    <row r="1484" spans="11:15" x14ac:dyDescent="0.3">
      <c r="K1484" t="str">
        <f t="shared" si="119"/>
        <v/>
      </c>
      <c r="L1484" t="str">
        <f t="shared" si="115"/>
        <v/>
      </c>
      <c r="M1484" t="str">
        <f t="shared" si="116"/>
        <v/>
      </c>
      <c r="N1484" t="str">
        <f t="shared" si="117"/>
        <v/>
      </c>
      <c r="O1484" t="str">
        <f t="shared" si="118"/>
        <v/>
      </c>
    </row>
    <row r="1485" spans="11:15" x14ac:dyDescent="0.3">
      <c r="K1485" t="str">
        <f t="shared" si="119"/>
        <v/>
      </c>
      <c r="L1485" t="str">
        <f t="shared" si="115"/>
        <v/>
      </c>
      <c r="M1485" t="str">
        <f t="shared" si="116"/>
        <v/>
      </c>
      <c r="N1485" t="str">
        <f t="shared" si="117"/>
        <v/>
      </c>
      <c r="O1485" t="str">
        <f t="shared" si="118"/>
        <v/>
      </c>
    </row>
    <row r="1486" spans="11:15" x14ac:dyDescent="0.3">
      <c r="K1486" t="str">
        <f t="shared" si="119"/>
        <v/>
      </c>
      <c r="L1486" t="str">
        <f t="shared" si="115"/>
        <v/>
      </c>
      <c r="M1486" t="str">
        <f t="shared" si="116"/>
        <v/>
      </c>
      <c r="N1486" t="str">
        <f t="shared" si="117"/>
        <v/>
      </c>
      <c r="O1486" t="str">
        <f t="shared" si="118"/>
        <v/>
      </c>
    </row>
    <row r="1487" spans="11:15" x14ac:dyDescent="0.3">
      <c r="K1487" t="str">
        <f t="shared" si="119"/>
        <v/>
      </c>
      <c r="L1487" t="str">
        <f t="shared" si="115"/>
        <v/>
      </c>
      <c r="M1487" t="str">
        <f t="shared" si="116"/>
        <v/>
      </c>
      <c r="N1487" t="str">
        <f t="shared" si="117"/>
        <v/>
      </c>
      <c r="O1487" t="str">
        <f t="shared" si="118"/>
        <v/>
      </c>
    </row>
    <row r="1488" spans="11:15" x14ac:dyDescent="0.3">
      <c r="K1488" t="str">
        <f t="shared" si="119"/>
        <v/>
      </c>
      <c r="L1488" t="str">
        <f t="shared" si="115"/>
        <v/>
      </c>
      <c r="M1488" t="str">
        <f t="shared" si="116"/>
        <v/>
      </c>
      <c r="N1488" t="str">
        <f t="shared" si="117"/>
        <v/>
      </c>
      <c r="O1488" t="str">
        <f t="shared" si="118"/>
        <v/>
      </c>
    </row>
    <row r="1489" spans="11:15" x14ac:dyDescent="0.3">
      <c r="K1489" t="str">
        <f t="shared" si="119"/>
        <v/>
      </c>
      <c r="L1489" t="str">
        <f t="shared" si="115"/>
        <v/>
      </c>
      <c r="M1489" t="str">
        <f t="shared" si="116"/>
        <v/>
      </c>
      <c r="N1489" t="str">
        <f t="shared" si="117"/>
        <v/>
      </c>
      <c r="O1489" t="str">
        <f t="shared" si="118"/>
        <v/>
      </c>
    </row>
    <row r="1490" spans="11:15" x14ac:dyDescent="0.3">
      <c r="K1490" t="str">
        <f t="shared" si="119"/>
        <v/>
      </c>
      <c r="L1490" t="str">
        <f t="shared" si="115"/>
        <v/>
      </c>
      <c r="M1490" t="str">
        <f t="shared" si="116"/>
        <v/>
      </c>
      <c r="N1490" t="str">
        <f t="shared" si="117"/>
        <v/>
      </c>
      <c r="O1490" t="str">
        <f t="shared" si="118"/>
        <v/>
      </c>
    </row>
    <row r="1491" spans="11:15" x14ac:dyDescent="0.3">
      <c r="K1491" t="str">
        <f t="shared" si="119"/>
        <v/>
      </c>
      <c r="L1491" t="str">
        <f t="shared" si="115"/>
        <v/>
      </c>
      <c r="M1491" t="str">
        <f t="shared" si="116"/>
        <v/>
      </c>
      <c r="N1491" t="str">
        <f t="shared" si="117"/>
        <v/>
      </c>
      <c r="O1491" t="str">
        <f t="shared" si="118"/>
        <v/>
      </c>
    </row>
    <row r="1492" spans="11:15" x14ac:dyDescent="0.3">
      <c r="K1492" t="str">
        <f t="shared" si="119"/>
        <v/>
      </c>
      <c r="L1492" t="str">
        <f t="shared" si="115"/>
        <v/>
      </c>
      <c r="M1492" t="str">
        <f t="shared" si="116"/>
        <v/>
      </c>
      <c r="N1492" t="str">
        <f t="shared" si="117"/>
        <v/>
      </c>
      <c r="O1492" t="str">
        <f t="shared" si="118"/>
        <v/>
      </c>
    </row>
    <row r="1493" spans="11:15" x14ac:dyDescent="0.3">
      <c r="K1493" t="str">
        <f t="shared" si="119"/>
        <v/>
      </c>
      <c r="L1493" t="str">
        <f t="shared" si="115"/>
        <v/>
      </c>
      <c r="M1493" t="str">
        <f t="shared" si="116"/>
        <v/>
      </c>
      <c r="N1493" t="str">
        <f t="shared" si="117"/>
        <v/>
      </c>
      <c r="O1493" t="str">
        <f t="shared" si="118"/>
        <v/>
      </c>
    </row>
    <row r="1494" spans="11:15" x14ac:dyDescent="0.3">
      <c r="K1494" t="str">
        <f t="shared" si="119"/>
        <v/>
      </c>
      <c r="L1494" t="str">
        <f t="shared" si="115"/>
        <v/>
      </c>
      <c r="M1494" t="str">
        <f t="shared" si="116"/>
        <v/>
      </c>
      <c r="N1494" t="str">
        <f t="shared" si="117"/>
        <v/>
      </c>
      <c r="O1494" t="str">
        <f t="shared" si="118"/>
        <v/>
      </c>
    </row>
    <row r="1495" spans="11:15" x14ac:dyDescent="0.3">
      <c r="K1495" t="str">
        <f t="shared" si="119"/>
        <v/>
      </c>
      <c r="L1495" t="str">
        <f t="shared" si="115"/>
        <v/>
      </c>
      <c r="M1495" t="str">
        <f t="shared" si="116"/>
        <v/>
      </c>
      <c r="N1495" t="str">
        <f t="shared" si="117"/>
        <v/>
      </c>
      <c r="O1495" t="str">
        <f t="shared" si="118"/>
        <v/>
      </c>
    </row>
    <row r="1496" spans="11:15" x14ac:dyDescent="0.3">
      <c r="K1496" t="str">
        <f t="shared" si="119"/>
        <v/>
      </c>
      <c r="L1496" t="str">
        <f t="shared" si="115"/>
        <v/>
      </c>
      <c r="M1496" t="str">
        <f t="shared" si="116"/>
        <v/>
      </c>
      <c r="N1496" t="str">
        <f t="shared" si="117"/>
        <v/>
      </c>
      <c r="O1496" t="str">
        <f t="shared" si="118"/>
        <v/>
      </c>
    </row>
    <row r="1497" spans="11:15" x14ac:dyDescent="0.3">
      <c r="K1497" t="str">
        <f t="shared" si="119"/>
        <v/>
      </c>
      <c r="L1497" t="str">
        <f t="shared" si="115"/>
        <v/>
      </c>
      <c r="M1497" t="str">
        <f t="shared" si="116"/>
        <v/>
      </c>
      <c r="N1497" t="str">
        <f t="shared" si="117"/>
        <v/>
      </c>
      <c r="O1497" t="str">
        <f t="shared" si="118"/>
        <v/>
      </c>
    </row>
    <row r="1498" spans="11:15" x14ac:dyDescent="0.3">
      <c r="K1498" t="str">
        <f t="shared" si="119"/>
        <v/>
      </c>
      <c r="L1498" t="str">
        <f t="shared" si="115"/>
        <v/>
      </c>
      <c r="M1498" t="str">
        <f t="shared" si="116"/>
        <v/>
      </c>
      <c r="N1498" t="str">
        <f t="shared" si="117"/>
        <v/>
      </c>
      <c r="O1498" t="str">
        <f t="shared" si="118"/>
        <v/>
      </c>
    </row>
    <row r="1499" spans="11:15" x14ac:dyDescent="0.3">
      <c r="K1499" t="str">
        <f t="shared" si="119"/>
        <v/>
      </c>
      <c r="L1499" t="str">
        <f t="shared" si="115"/>
        <v/>
      </c>
      <c r="M1499" t="str">
        <f t="shared" si="116"/>
        <v/>
      </c>
      <c r="N1499" t="str">
        <f t="shared" si="117"/>
        <v/>
      </c>
      <c r="O1499" t="str">
        <f t="shared" si="118"/>
        <v/>
      </c>
    </row>
    <row r="1500" spans="11:15" x14ac:dyDescent="0.3">
      <c r="K1500" t="str">
        <f t="shared" si="119"/>
        <v/>
      </c>
      <c r="L1500" t="str">
        <f t="shared" si="115"/>
        <v/>
      </c>
      <c r="M1500" t="str">
        <f t="shared" si="116"/>
        <v/>
      </c>
      <c r="N1500" t="str">
        <f t="shared" si="117"/>
        <v/>
      </c>
      <c r="O1500" t="str">
        <f t="shared" si="118"/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J1:O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5" x14ac:dyDescent="0.3">
      <c r="J1" s="45" t="s">
        <v>98</v>
      </c>
      <c r="K1" t="str">
        <f>IF(OR(LEFT(B1,9)="DOANH THU",LEFT(B1,8)="SỐ LƯỢNG"),A1,"")</f>
        <v/>
      </c>
      <c r="L1" t="str">
        <f t="shared" ref="L1:L64" si="0">IF(A1="","",IF(ISNUMBER(--LEFT(A1,FIND(" - ",A1&amp;" - ")-1)),LEFT(A1,FIND(" - ",A1&amp;" - ")-1),TRIM(A1)))</f>
        <v/>
      </c>
      <c r="M1" t="str">
        <f t="shared" ref="M1:M64" si="1">IF(OR(K1="",K1=A1,A1=""),"",K1&amp;"|"&amp;L1)</f>
        <v/>
      </c>
      <c r="N1" t="str">
        <f t="shared" ref="N1:N64" si="2">IF(M1="","",IF(ISNUMBER(B1),B1,IFERROR(_xlfn.NUMBERVALUE(B1,".",","),0)))</f>
        <v/>
      </c>
      <c r="O1" t="str">
        <f t="shared" ref="O1:O64" si="3">IF(M1="","",IF(ISNUMBER(C1),C1,IFERROR(_xlfn.NUMBERVALUE(C1,".",","),0)))</f>
        <v/>
      </c>
    </row>
    <row r="2" spans="10:15" x14ac:dyDescent="0.3">
      <c r="J2" s="46" t="s">
        <v>101</v>
      </c>
      <c r="K2" t="str">
        <f t="shared" ref="K2:K65" si="4">IF(OR(LEFT(B2,9)="DOANH THU",LEFT(B2,8)="SỐ LƯỢNG"),A2,K1)</f>
        <v/>
      </c>
      <c r="L2" t="str">
        <f t="shared" si="0"/>
        <v/>
      </c>
      <c r="M2" t="str">
        <f t="shared" si="1"/>
        <v/>
      </c>
      <c r="N2" t="str">
        <f t="shared" si="2"/>
        <v/>
      </c>
      <c r="O2" t="str">
        <f t="shared" si="3"/>
        <v/>
      </c>
    </row>
    <row r="3" spans="10:15" x14ac:dyDescent="0.3">
      <c r="J3" s="47" t="s">
        <v>102</v>
      </c>
      <c r="K3" t="str">
        <f t="shared" si="4"/>
        <v/>
      </c>
      <c r="L3" t="str">
        <f t="shared" si="0"/>
        <v/>
      </c>
      <c r="M3" t="str">
        <f t="shared" si="1"/>
        <v/>
      </c>
      <c r="N3" t="str">
        <f t="shared" si="2"/>
        <v/>
      </c>
      <c r="O3" t="str">
        <f t="shared" si="3"/>
        <v/>
      </c>
    </row>
    <row r="4" spans="10:15" x14ac:dyDescent="0.3">
      <c r="K4" t="str">
        <f t="shared" si="4"/>
        <v/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</row>
    <row r="5" spans="10:15" x14ac:dyDescent="0.3">
      <c r="K5" t="str">
        <f t="shared" si="4"/>
        <v/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</row>
    <row r="6" spans="10:15" x14ac:dyDescent="0.3">
      <c r="K6" t="str">
        <f t="shared" si="4"/>
        <v/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</row>
    <row r="7" spans="10:15" x14ac:dyDescent="0.3">
      <c r="K7" t="str">
        <f t="shared" si="4"/>
        <v/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</row>
    <row r="8" spans="10:15" x14ac:dyDescent="0.3">
      <c r="K8" t="str">
        <f t="shared" si="4"/>
        <v/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</row>
    <row r="9" spans="10:15" x14ac:dyDescent="0.3">
      <c r="K9" t="str">
        <f t="shared" si="4"/>
        <v/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</row>
    <row r="10" spans="10:15" x14ac:dyDescent="0.3">
      <c r="K10" t="str">
        <f t="shared" si="4"/>
        <v/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</row>
    <row r="11" spans="10:15" x14ac:dyDescent="0.3">
      <c r="K11" t="str">
        <f t="shared" si="4"/>
        <v/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</row>
    <row r="12" spans="10:15" x14ac:dyDescent="0.3">
      <c r="K12" t="str">
        <f t="shared" si="4"/>
        <v/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</row>
    <row r="13" spans="10:15" x14ac:dyDescent="0.3">
      <c r="K13" t="str">
        <f t="shared" si="4"/>
        <v/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</row>
    <row r="14" spans="10:15" x14ac:dyDescent="0.3">
      <c r="K14" t="str">
        <f t="shared" si="4"/>
        <v/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</row>
    <row r="15" spans="10:15" x14ac:dyDescent="0.3">
      <c r="K15" t="str">
        <f t="shared" si="4"/>
        <v/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</row>
    <row r="16" spans="10:15" x14ac:dyDescent="0.3">
      <c r="K16" t="str">
        <f t="shared" si="4"/>
        <v/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</row>
    <row r="17" spans="11:15" x14ac:dyDescent="0.3">
      <c r="K17" t="str">
        <f t="shared" si="4"/>
        <v/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</row>
    <row r="18" spans="11:15" x14ac:dyDescent="0.3">
      <c r="K18" t="str">
        <f t="shared" si="4"/>
        <v/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</row>
    <row r="19" spans="11:15" x14ac:dyDescent="0.3">
      <c r="K19" t="str">
        <f t="shared" si="4"/>
        <v/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</row>
    <row r="20" spans="11:15" x14ac:dyDescent="0.3">
      <c r="K20" t="str">
        <f t="shared" si="4"/>
        <v/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</row>
    <row r="21" spans="11:15" x14ac:dyDescent="0.3">
      <c r="K21" t="str">
        <f t="shared" si="4"/>
        <v/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</row>
    <row r="22" spans="11:15" x14ac:dyDescent="0.3">
      <c r="K22" t="str">
        <f t="shared" si="4"/>
        <v/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</row>
    <row r="23" spans="11:15" x14ac:dyDescent="0.3">
      <c r="K23" t="str">
        <f t="shared" si="4"/>
        <v/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</row>
    <row r="24" spans="11:15" x14ac:dyDescent="0.3">
      <c r="K24" t="str">
        <f t="shared" si="4"/>
        <v/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</row>
    <row r="25" spans="11:15" x14ac:dyDescent="0.3">
      <c r="K25" t="str">
        <f t="shared" si="4"/>
        <v/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</row>
    <row r="26" spans="11:15" x14ac:dyDescent="0.3">
      <c r="K26" t="str">
        <f t="shared" si="4"/>
        <v/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</row>
    <row r="27" spans="11:15" x14ac:dyDescent="0.3">
      <c r="K27" t="str">
        <f t="shared" si="4"/>
        <v/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</row>
    <row r="28" spans="11:15" x14ac:dyDescent="0.3">
      <c r="K28" t="str">
        <f t="shared" si="4"/>
        <v/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</row>
    <row r="29" spans="11:15" x14ac:dyDescent="0.3">
      <c r="K29" t="str">
        <f t="shared" si="4"/>
        <v/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</row>
    <row r="30" spans="11:15" x14ac:dyDescent="0.3">
      <c r="K30" t="str">
        <f t="shared" si="4"/>
        <v/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</row>
    <row r="31" spans="11:15" x14ac:dyDescent="0.3">
      <c r="K31" t="str">
        <f t="shared" si="4"/>
        <v/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</row>
    <row r="32" spans="11:15" x14ac:dyDescent="0.3">
      <c r="K32" t="str">
        <f t="shared" si="4"/>
        <v/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</row>
    <row r="33" spans="11:15" x14ac:dyDescent="0.3">
      <c r="K33" t="str">
        <f t="shared" si="4"/>
        <v/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</row>
    <row r="34" spans="11:15" x14ac:dyDescent="0.3">
      <c r="K34" t="str">
        <f t="shared" si="4"/>
        <v/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</row>
    <row r="35" spans="11:15" x14ac:dyDescent="0.3">
      <c r="K35" t="str">
        <f t="shared" si="4"/>
        <v/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</row>
    <row r="36" spans="11:15" x14ac:dyDescent="0.3">
      <c r="K36" t="str">
        <f t="shared" si="4"/>
        <v/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</row>
    <row r="37" spans="11:15" x14ac:dyDescent="0.3">
      <c r="K37" t="str">
        <f t="shared" si="4"/>
        <v/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</row>
    <row r="38" spans="11:15" x14ac:dyDescent="0.3">
      <c r="K38" t="str">
        <f t="shared" si="4"/>
        <v/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</row>
    <row r="39" spans="11:15" x14ac:dyDescent="0.3">
      <c r="K39" t="str">
        <f t="shared" si="4"/>
        <v/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</row>
    <row r="40" spans="11:15" x14ac:dyDescent="0.3">
      <c r="K40" t="str">
        <f t="shared" si="4"/>
        <v/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</row>
    <row r="41" spans="11:15" x14ac:dyDescent="0.3">
      <c r="K41" t="str">
        <f t="shared" si="4"/>
        <v/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</row>
    <row r="42" spans="11:15" x14ac:dyDescent="0.3">
      <c r="K42" t="str">
        <f t="shared" si="4"/>
        <v/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</row>
    <row r="43" spans="11:15" x14ac:dyDescent="0.3">
      <c r="K43" t="str">
        <f t="shared" si="4"/>
        <v/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</row>
    <row r="44" spans="11:15" x14ac:dyDescent="0.3">
      <c r="K44" t="str">
        <f t="shared" si="4"/>
        <v/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</row>
    <row r="45" spans="11:15" x14ac:dyDescent="0.3">
      <c r="K45" t="str">
        <f t="shared" si="4"/>
        <v/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</row>
    <row r="46" spans="11:15" x14ac:dyDescent="0.3">
      <c r="K46" t="str">
        <f t="shared" si="4"/>
        <v/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</row>
    <row r="47" spans="11:15" x14ac:dyDescent="0.3">
      <c r="K47" t="str">
        <f t="shared" si="4"/>
        <v/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</row>
    <row r="48" spans="11:15" x14ac:dyDescent="0.3">
      <c r="K48" t="str">
        <f t="shared" si="4"/>
        <v/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</row>
    <row r="49" spans="11:15" x14ac:dyDescent="0.3">
      <c r="K49" t="str">
        <f t="shared" si="4"/>
        <v/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</row>
    <row r="50" spans="11:15" x14ac:dyDescent="0.3">
      <c r="K50" t="str">
        <f t="shared" si="4"/>
        <v/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</row>
    <row r="51" spans="11:15" x14ac:dyDescent="0.3">
      <c r="K51" t="str">
        <f t="shared" si="4"/>
        <v/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</row>
    <row r="52" spans="11:15" x14ac:dyDescent="0.3">
      <c r="K52" t="str">
        <f t="shared" si="4"/>
        <v/>
      </c>
      <c r="L52" t="str">
        <f t="shared" si="0"/>
        <v/>
      </c>
      <c r="M52" t="str">
        <f t="shared" si="1"/>
        <v/>
      </c>
      <c r="N52" t="str">
        <f t="shared" si="2"/>
        <v/>
      </c>
      <c r="O52" t="str">
        <f t="shared" si="3"/>
        <v/>
      </c>
    </row>
    <row r="53" spans="11:15" x14ac:dyDescent="0.3">
      <c r="K53" t="str">
        <f t="shared" si="4"/>
        <v/>
      </c>
      <c r="L53" t="str">
        <f t="shared" si="0"/>
        <v/>
      </c>
      <c r="M53" t="str">
        <f t="shared" si="1"/>
        <v/>
      </c>
      <c r="N53" t="str">
        <f t="shared" si="2"/>
        <v/>
      </c>
      <c r="O53" t="str">
        <f t="shared" si="3"/>
        <v/>
      </c>
    </row>
    <row r="54" spans="11:15" x14ac:dyDescent="0.3">
      <c r="K54" t="str">
        <f t="shared" si="4"/>
        <v/>
      </c>
      <c r="L54" t="str">
        <f t="shared" si="0"/>
        <v/>
      </c>
      <c r="M54" t="str">
        <f t="shared" si="1"/>
        <v/>
      </c>
      <c r="N54" t="str">
        <f t="shared" si="2"/>
        <v/>
      </c>
      <c r="O54" t="str">
        <f t="shared" si="3"/>
        <v/>
      </c>
    </row>
    <row r="55" spans="11:15" x14ac:dyDescent="0.3">
      <c r="K55" t="str">
        <f t="shared" si="4"/>
        <v/>
      </c>
      <c r="L55" t="str">
        <f t="shared" si="0"/>
        <v/>
      </c>
      <c r="M55" t="str">
        <f t="shared" si="1"/>
        <v/>
      </c>
      <c r="N55" t="str">
        <f t="shared" si="2"/>
        <v/>
      </c>
      <c r="O55" t="str">
        <f t="shared" si="3"/>
        <v/>
      </c>
    </row>
    <row r="56" spans="11:15" x14ac:dyDescent="0.3">
      <c r="K56" t="str">
        <f t="shared" si="4"/>
        <v/>
      </c>
      <c r="L56" t="str">
        <f t="shared" si="0"/>
        <v/>
      </c>
      <c r="M56" t="str">
        <f t="shared" si="1"/>
        <v/>
      </c>
      <c r="N56" t="str">
        <f t="shared" si="2"/>
        <v/>
      </c>
      <c r="O56" t="str">
        <f t="shared" si="3"/>
        <v/>
      </c>
    </row>
    <row r="57" spans="11:15" x14ac:dyDescent="0.3">
      <c r="K57" t="str">
        <f t="shared" si="4"/>
        <v/>
      </c>
      <c r="L57" t="str">
        <f t="shared" si="0"/>
        <v/>
      </c>
      <c r="M57" t="str">
        <f t="shared" si="1"/>
        <v/>
      </c>
      <c r="N57" t="str">
        <f t="shared" si="2"/>
        <v/>
      </c>
      <c r="O57" t="str">
        <f t="shared" si="3"/>
        <v/>
      </c>
    </row>
    <row r="58" spans="11:15" x14ac:dyDescent="0.3">
      <c r="K58" t="str">
        <f t="shared" si="4"/>
        <v/>
      </c>
      <c r="L58" t="str">
        <f t="shared" si="0"/>
        <v/>
      </c>
      <c r="M58" t="str">
        <f t="shared" si="1"/>
        <v/>
      </c>
      <c r="N58" t="str">
        <f t="shared" si="2"/>
        <v/>
      </c>
      <c r="O58" t="str">
        <f t="shared" si="3"/>
        <v/>
      </c>
    </row>
    <row r="59" spans="11:15" x14ac:dyDescent="0.3">
      <c r="K59" t="str">
        <f t="shared" si="4"/>
        <v/>
      </c>
      <c r="L59" t="str">
        <f t="shared" si="0"/>
        <v/>
      </c>
      <c r="M59" t="str">
        <f t="shared" si="1"/>
        <v/>
      </c>
      <c r="N59" t="str">
        <f t="shared" si="2"/>
        <v/>
      </c>
      <c r="O59" t="str">
        <f t="shared" si="3"/>
        <v/>
      </c>
    </row>
    <row r="60" spans="11:15" x14ac:dyDescent="0.3">
      <c r="K60" t="str">
        <f t="shared" si="4"/>
        <v/>
      </c>
      <c r="L60" t="str">
        <f t="shared" si="0"/>
        <v/>
      </c>
      <c r="M60" t="str">
        <f t="shared" si="1"/>
        <v/>
      </c>
      <c r="N60" t="str">
        <f t="shared" si="2"/>
        <v/>
      </c>
      <c r="O60" t="str">
        <f t="shared" si="3"/>
        <v/>
      </c>
    </row>
    <row r="61" spans="11:15" x14ac:dyDescent="0.3">
      <c r="K61" t="str">
        <f t="shared" si="4"/>
        <v/>
      </c>
      <c r="L61" t="str">
        <f t="shared" si="0"/>
        <v/>
      </c>
      <c r="M61" t="str">
        <f t="shared" si="1"/>
        <v/>
      </c>
      <c r="N61" t="str">
        <f t="shared" si="2"/>
        <v/>
      </c>
      <c r="O61" t="str">
        <f t="shared" si="3"/>
        <v/>
      </c>
    </row>
    <row r="62" spans="11:15" x14ac:dyDescent="0.3">
      <c r="K62" t="str">
        <f t="shared" si="4"/>
        <v/>
      </c>
      <c r="L62" t="str">
        <f t="shared" si="0"/>
        <v/>
      </c>
      <c r="M62" t="str">
        <f t="shared" si="1"/>
        <v/>
      </c>
      <c r="N62" t="str">
        <f t="shared" si="2"/>
        <v/>
      </c>
      <c r="O62" t="str">
        <f t="shared" si="3"/>
        <v/>
      </c>
    </row>
    <row r="63" spans="11:15" x14ac:dyDescent="0.3">
      <c r="K63" t="str">
        <f t="shared" si="4"/>
        <v/>
      </c>
      <c r="L63" t="str">
        <f t="shared" si="0"/>
        <v/>
      </c>
      <c r="M63" t="str">
        <f t="shared" si="1"/>
        <v/>
      </c>
      <c r="N63" t="str">
        <f t="shared" si="2"/>
        <v/>
      </c>
      <c r="O63" t="str">
        <f t="shared" si="3"/>
        <v/>
      </c>
    </row>
    <row r="64" spans="11:15" x14ac:dyDescent="0.3">
      <c r="K64" t="str">
        <f t="shared" si="4"/>
        <v/>
      </c>
      <c r="L64" t="str">
        <f t="shared" si="0"/>
        <v/>
      </c>
      <c r="M64" t="str">
        <f t="shared" si="1"/>
        <v/>
      </c>
      <c r="N64" t="str">
        <f t="shared" si="2"/>
        <v/>
      </c>
      <c r="O64" t="str">
        <f t="shared" si="3"/>
        <v/>
      </c>
    </row>
    <row r="65" spans="11:15" x14ac:dyDescent="0.3">
      <c r="K65" t="str">
        <f t="shared" si="4"/>
        <v/>
      </c>
      <c r="L65" t="str">
        <f t="shared" ref="L65:L128" si="5">IF(A65="","",IF(ISNUMBER(--LEFT(A65,FIND(" - ",A65&amp;" - ")-1)),LEFT(A65,FIND(" - ",A65&amp;" - ")-1),TRIM(A65)))</f>
        <v/>
      </c>
      <c r="M65" t="str">
        <f t="shared" ref="M65:M128" si="6">IF(OR(K65="",K65=A65,A65=""),"",K65&amp;"|"&amp;L65)</f>
        <v/>
      </c>
      <c r="N65" t="str">
        <f t="shared" ref="N65:N128" si="7">IF(M65="","",IF(ISNUMBER(B65),B65,IFERROR(_xlfn.NUMBERVALUE(B65,".",","),0)))</f>
        <v/>
      </c>
      <c r="O65" t="str">
        <f t="shared" ref="O65:O128" si="8">IF(M65="","",IF(ISNUMBER(C65),C65,IFERROR(_xlfn.NUMBERVALUE(C65,".",","),0)))</f>
        <v/>
      </c>
    </row>
    <row r="66" spans="11:15" x14ac:dyDescent="0.3">
      <c r="K66" t="str">
        <f t="shared" ref="K66:K129" si="9">IF(OR(LEFT(B66,9)="DOANH THU",LEFT(B66,8)="SỐ LƯỢNG"),A66,K65)</f>
        <v/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</row>
    <row r="67" spans="11:15" x14ac:dyDescent="0.3">
      <c r="K67" t="str">
        <f t="shared" si="9"/>
        <v/>
      </c>
      <c r="L67" t="str">
        <f t="shared" si="5"/>
        <v/>
      </c>
      <c r="M67" t="str">
        <f t="shared" si="6"/>
        <v/>
      </c>
      <c r="N67" t="str">
        <f t="shared" si="7"/>
        <v/>
      </c>
      <c r="O67" t="str">
        <f t="shared" si="8"/>
        <v/>
      </c>
    </row>
    <row r="68" spans="11:15" x14ac:dyDescent="0.3">
      <c r="K68" t="str">
        <f t="shared" si="9"/>
        <v/>
      </c>
      <c r="L68" t="str">
        <f t="shared" si="5"/>
        <v/>
      </c>
      <c r="M68" t="str">
        <f t="shared" si="6"/>
        <v/>
      </c>
      <c r="N68" t="str">
        <f t="shared" si="7"/>
        <v/>
      </c>
      <c r="O68" t="str">
        <f t="shared" si="8"/>
        <v/>
      </c>
    </row>
    <row r="69" spans="11:15" x14ac:dyDescent="0.3">
      <c r="K69" t="str">
        <f t="shared" si="9"/>
        <v/>
      </c>
      <c r="L69" t="str">
        <f t="shared" si="5"/>
        <v/>
      </c>
      <c r="M69" t="str">
        <f t="shared" si="6"/>
        <v/>
      </c>
      <c r="N69" t="str">
        <f t="shared" si="7"/>
        <v/>
      </c>
      <c r="O69" t="str">
        <f t="shared" si="8"/>
        <v/>
      </c>
    </row>
    <row r="70" spans="11:15" x14ac:dyDescent="0.3">
      <c r="K70" t="str">
        <f t="shared" si="9"/>
        <v/>
      </c>
      <c r="L70" t="str">
        <f t="shared" si="5"/>
        <v/>
      </c>
      <c r="M70" t="str">
        <f t="shared" si="6"/>
        <v/>
      </c>
      <c r="N70" t="str">
        <f t="shared" si="7"/>
        <v/>
      </c>
      <c r="O70" t="str">
        <f t="shared" si="8"/>
        <v/>
      </c>
    </row>
    <row r="71" spans="11:15" x14ac:dyDescent="0.3">
      <c r="K71" t="str">
        <f t="shared" si="9"/>
        <v/>
      </c>
      <c r="L71" t="str">
        <f t="shared" si="5"/>
        <v/>
      </c>
      <c r="M71" t="str">
        <f t="shared" si="6"/>
        <v/>
      </c>
      <c r="N71" t="str">
        <f t="shared" si="7"/>
        <v/>
      </c>
      <c r="O71" t="str">
        <f t="shared" si="8"/>
        <v/>
      </c>
    </row>
    <row r="72" spans="11:15" x14ac:dyDescent="0.3">
      <c r="K72" t="str">
        <f t="shared" si="9"/>
        <v/>
      </c>
      <c r="L72" t="str">
        <f t="shared" si="5"/>
        <v/>
      </c>
      <c r="M72" t="str">
        <f t="shared" si="6"/>
        <v/>
      </c>
      <c r="N72" t="str">
        <f t="shared" si="7"/>
        <v/>
      </c>
      <c r="O72" t="str">
        <f t="shared" si="8"/>
        <v/>
      </c>
    </row>
    <row r="73" spans="11:15" x14ac:dyDescent="0.3">
      <c r="K73" t="str">
        <f t="shared" si="9"/>
        <v/>
      </c>
      <c r="L73" t="str">
        <f t="shared" si="5"/>
        <v/>
      </c>
      <c r="M73" t="str">
        <f t="shared" si="6"/>
        <v/>
      </c>
      <c r="N73" t="str">
        <f t="shared" si="7"/>
        <v/>
      </c>
      <c r="O73" t="str">
        <f t="shared" si="8"/>
        <v/>
      </c>
    </row>
    <row r="74" spans="11:15" x14ac:dyDescent="0.3">
      <c r="K74" t="str">
        <f t="shared" si="9"/>
        <v/>
      </c>
      <c r="L74" t="str">
        <f t="shared" si="5"/>
        <v/>
      </c>
      <c r="M74" t="str">
        <f t="shared" si="6"/>
        <v/>
      </c>
      <c r="N74" t="str">
        <f t="shared" si="7"/>
        <v/>
      </c>
      <c r="O74" t="str">
        <f t="shared" si="8"/>
        <v/>
      </c>
    </row>
    <row r="75" spans="11:15" x14ac:dyDescent="0.3">
      <c r="K75" t="str">
        <f t="shared" si="9"/>
        <v/>
      </c>
      <c r="L75" t="str">
        <f t="shared" si="5"/>
        <v/>
      </c>
      <c r="M75" t="str">
        <f t="shared" si="6"/>
        <v/>
      </c>
      <c r="N75" t="str">
        <f t="shared" si="7"/>
        <v/>
      </c>
      <c r="O75" t="str">
        <f t="shared" si="8"/>
        <v/>
      </c>
    </row>
    <row r="76" spans="11:15" x14ac:dyDescent="0.3">
      <c r="K76" t="str">
        <f t="shared" si="9"/>
        <v/>
      </c>
      <c r="L76" t="str">
        <f t="shared" si="5"/>
        <v/>
      </c>
      <c r="M76" t="str">
        <f t="shared" si="6"/>
        <v/>
      </c>
      <c r="N76" t="str">
        <f t="shared" si="7"/>
        <v/>
      </c>
      <c r="O76" t="str">
        <f t="shared" si="8"/>
        <v/>
      </c>
    </row>
    <row r="77" spans="11:15" x14ac:dyDescent="0.3">
      <c r="K77" t="str">
        <f t="shared" si="9"/>
        <v/>
      </c>
      <c r="L77" t="str">
        <f t="shared" si="5"/>
        <v/>
      </c>
      <c r="M77" t="str">
        <f t="shared" si="6"/>
        <v/>
      </c>
      <c r="N77" t="str">
        <f t="shared" si="7"/>
        <v/>
      </c>
      <c r="O77" t="str">
        <f t="shared" si="8"/>
        <v/>
      </c>
    </row>
    <row r="78" spans="11:15" x14ac:dyDescent="0.3">
      <c r="K78" t="str">
        <f t="shared" si="9"/>
        <v/>
      </c>
      <c r="L78" t="str">
        <f t="shared" si="5"/>
        <v/>
      </c>
      <c r="M78" t="str">
        <f t="shared" si="6"/>
        <v/>
      </c>
      <c r="N78" t="str">
        <f t="shared" si="7"/>
        <v/>
      </c>
      <c r="O78" t="str">
        <f t="shared" si="8"/>
        <v/>
      </c>
    </row>
    <row r="79" spans="11:15" x14ac:dyDescent="0.3">
      <c r="K79" t="str">
        <f t="shared" si="9"/>
        <v/>
      </c>
      <c r="L79" t="str">
        <f t="shared" si="5"/>
        <v/>
      </c>
      <c r="M79" t="str">
        <f t="shared" si="6"/>
        <v/>
      </c>
      <c r="N79" t="str">
        <f t="shared" si="7"/>
        <v/>
      </c>
      <c r="O79" t="str">
        <f t="shared" si="8"/>
        <v/>
      </c>
    </row>
    <row r="80" spans="11:15" x14ac:dyDescent="0.3">
      <c r="K80" t="str">
        <f t="shared" si="9"/>
        <v/>
      </c>
      <c r="L80" t="str">
        <f t="shared" si="5"/>
        <v/>
      </c>
      <c r="M80" t="str">
        <f t="shared" si="6"/>
        <v/>
      </c>
      <c r="N80" t="str">
        <f t="shared" si="7"/>
        <v/>
      </c>
      <c r="O80" t="str">
        <f t="shared" si="8"/>
        <v/>
      </c>
    </row>
    <row r="81" spans="11:15" x14ac:dyDescent="0.3">
      <c r="K81" t="str">
        <f t="shared" si="9"/>
        <v/>
      </c>
      <c r="L81" t="str">
        <f t="shared" si="5"/>
        <v/>
      </c>
      <c r="M81" t="str">
        <f t="shared" si="6"/>
        <v/>
      </c>
      <c r="N81" t="str">
        <f t="shared" si="7"/>
        <v/>
      </c>
      <c r="O81" t="str">
        <f t="shared" si="8"/>
        <v/>
      </c>
    </row>
    <row r="82" spans="11:15" x14ac:dyDescent="0.3">
      <c r="K82" t="str">
        <f t="shared" si="9"/>
        <v/>
      </c>
      <c r="L82" t="str">
        <f t="shared" si="5"/>
        <v/>
      </c>
      <c r="M82" t="str">
        <f t="shared" si="6"/>
        <v/>
      </c>
      <c r="N82" t="str">
        <f t="shared" si="7"/>
        <v/>
      </c>
      <c r="O82" t="str">
        <f t="shared" si="8"/>
        <v/>
      </c>
    </row>
    <row r="83" spans="11:15" x14ac:dyDescent="0.3">
      <c r="K83" t="str">
        <f t="shared" si="9"/>
        <v/>
      </c>
      <c r="L83" t="str">
        <f t="shared" si="5"/>
        <v/>
      </c>
      <c r="M83" t="str">
        <f t="shared" si="6"/>
        <v/>
      </c>
      <c r="N83" t="str">
        <f t="shared" si="7"/>
        <v/>
      </c>
      <c r="O83" t="str">
        <f t="shared" si="8"/>
        <v/>
      </c>
    </row>
    <row r="84" spans="11:15" x14ac:dyDescent="0.3">
      <c r="K84" t="str">
        <f t="shared" si="9"/>
        <v/>
      </c>
      <c r="L84" t="str">
        <f t="shared" si="5"/>
        <v/>
      </c>
      <c r="M84" t="str">
        <f t="shared" si="6"/>
        <v/>
      </c>
      <c r="N84" t="str">
        <f t="shared" si="7"/>
        <v/>
      </c>
      <c r="O84" t="str">
        <f t="shared" si="8"/>
        <v/>
      </c>
    </row>
    <row r="85" spans="11:15" x14ac:dyDescent="0.3">
      <c r="K85" t="str">
        <f t="shared" si="9"/>
        <v/>
      </c>
      <c r="L85" t="str">
        <f t="shared" si="5"/>
        <v/>
      </c>
      <c r="M85" t="str">
        <f t="shared" si="6"/>
        <v/>
      </c>
      <c r="N85" t="str">
        <f t="shared" si="7"/>
        <v/>
      </c>
      <c r="O85" t="str">
        <f t="shared" si="8"/>
        <v/>
      </c>
    </row>
    <row r="86" spans="11:15" x14ac:dyDescent="0.3">
      <c r="K86" t="str">
        <f t="shared" si="9"/>
        <v/>
      </c>
      <c r="L86" t="str">
        <f t="shared" si="5"/>
        <v/>
      </c>
      <c r="M86" t="str">
        <f t="shared" si="6"/>
        <v/>
      </c>
      <c r="N86" t="str">
        <f t="shared" si="7"/>
        <v/>
      </c>
      <c r="O86" t="str">
        <f t="shared" si="8"/>
        <v/>
      </c>
    </row>
    <row r="87" spans="11:15" x14ac:dyDescent="0.3">
      <c r="K87" t="str">
        <f t="shared" si="9"/>
        <v/>
      </c>
      <c r="L87" t="str">
        <f t="shared" si="5"/>
        <v/>
      </c>
      <c r="M87" t="str">
        <f t="shared" si="6"/>
        <v/>
      </c>
      <c r="N87" t="str">
        <f t="shared" si="7"/>
        <v/>
      </c>
      <c r="O87" t="str">
        <f t="shared" si="8"/>
        <v/>
      </c>
    </row>
    <row r="88" spans="11:15" x14ac:dyDescent="0.3">
      <c r="K88" t="str">
        <f t="shared" si="9"/>
        <v/>
      </c>
      <c r="L88" t="str">
        <f t="shared" si="5"/>
        <v/>
      </c>
      <c r="M88" t="str">
        <f t="shared" si="6"/>
        <v/>
      </c>
      <c r="N88" t="str">
        <f t="shared" si="7"/>
        <v/>
      </c>
      <c r="O88" t="str">
        <f t="shared" si="8"/>
        <v/>
      </c>
    </row>
    <row r="89" spans="11:15" x14ac:dyDescent="0.3">
      <c r="K89" t="str">
        <f t="shared" si="9"/>
        <v/>
      </c>
      <c r="L89" t="str">
        <f t="shared" si="5"/>
        <v/>
      </c>
      <c r="M89" t="str">
        <f t="shared" si="6"/>
        <v/>
      </c>
      <c r="N89" t="str">
        <f t="shared" si="7"/>
        <v/>
      </c>
      <c r="O89" t="str">
        <f t="shared" si="8"/>
        <v/>
      </c>
    </row>
    <row r="90" spans="11:15" x14ac:dyDescent="0.3">
      <c r="K90" t="str">
        <f t="shared" si="9"/>
        <v/>
      </c>
      <c r="L90" t="str">
        <f t="shared" si="5"/>
        <v/>
      </c>
      <c r="M90" t="str">
        <f t="shared" si="6"/>
        <v/>
      </c>
      <c r="N90" t="str">
        <f t="shared" si="7"/>
        <v/>
      </c>
      <c r="O90" t="str">
        <f t="shared" si="8"/>
        <v/>
      </c>
    </row>
    <row r="91" spans="11:15" x14ac:dyDescent="0.3">
      <c r="K91" t="str">
        <f t="shared" si="9"/>
        <v/>
      </c>
      <c r="L91" t="str">
        <f t="shared" si="5"/>
        <v/>
      </c>
      <c r="M91" t="str">
        <f t="shared" si="6"/>
        <v/>
      </c>
      <c r="N91" t="str">
        <f t="shared" si="7"/>
        <v/>
      </c>
      <c r="O91" t="str">
        <f t="shared" si="8"/>
        <v/>
      </c>
    </row>
    <row r="92" spans="11:15" x14ac:dyDescent="0.3">
      <c r="K92" t="str">
        <f t="shared" si="9"/>
        <v/>
      </c>
      <c r="L92" t="str">
        <f t="shared" si="5"/>
        <v/>
      </c>
      <c r="M92" t="str">
        <f t="shared" si="6"/>
        <v/>
      </c>
      <c r="N92" t="str">
        <f t="shared" si="7"/>
        <v/>
      </c>
      <c r="O92" t="str">
        <f t="shared" si="8"/>
        <v/>
      </c>
    </row>
    <row r="93" spans="11:15" x14ac:dyDescent="0.3">
      <c r="K93" t="str">
        <f t="shared" si="9"/>
        <v/>
      </c>
      <c r="L93" t="str">
        <f t="shared" si="5"/>
        <v/>
      </c>
      <c r="M93" t="str">
        <f t="shared" si="6"/>
        <v/>
      </c>
      <c r="N93" t="str">
        <f t="shared" si="7"/>
        <v/>
      </c>
      <c r="O93" t="str">
        <f t="shared" si="8"/>
        <v/>
      </c>
    </row>
    <row r="94" spans="11:15" x14ac:dyDescent="0.3">
      <c r="K94" t="str">
        <f t="shared" si="9"/>
        <v/>
      </c>
      <c r="L94" t="str">
        <f t="shared" si="5"/>
        <v/>
      </c>
      <c r="M94" t="str">
        <f t="shared" si="6"/>
        <v/>
      </c>
      <c r="N94" t="str">
        <f t="shared" si="7"/>
        <v/>
      </c>
      <c r="O94" t="str">
        <f t="shared" si="8"/>
        <v/>
      </c>
    </row>
    <row r="95" spans="11:15" x14ac:dyDescent="0.3">
      <c r="K95" t="str">
        <f t="shared" si="9"/>
        <v/>
      </c>
      <c r="L95" t="str">
        <f t="shared" si="5"/>
        <v/>
      </c>
      <c r="M95" t="str">
        <f t="shared" si="6"/>
        <v/>
      </c>
      <c r="N95" t="str">
        <f t="shared" si="7"/>
        <v/>
      </c>
      <c r="O95" t="str">
        <f t="shared" si="8"/>
        <v/>
      </c>
    </row>
    <row r="96" spans="11:15" x14ac:dyDescent="0.3">
      <c r="K96" t="str">
        <f t="shared" si="9"/>
        <v/>
      </c>
      <c r="L96" t="str">
        <f t="shared" si="5"/>
        <v/>
      </c>
      <c r="M96" t="str">
        <f t="shared" si="6"/>
        <v/>
      </c>
      <c r="N96" t="str">
        <f t="shared" si="7"/>
        <v/>
      </c>
      <c r="O96" t="str">
        <f t="shared" si="8"/>
        <v/>
      </c>
    </row>
    <row r="97" spans="11:15" x14ac:dyDescent="0.3">
      <c r="K97" t="str">
        <f t="shared" si="9"/>
        <v/>
      </c>
      <c r="L97" t="str">
        <f t="shared" si="5"/>
        <v/>
      </c>
      <c r="M97" t="str">
        <f t="shared" si="6"/>
        <v/>
      </c>
      <c r="N97" t="str">
        <f t="shared" si="7"/>
        <v/>
      </c>
      <c r="O97" t="str">
        <f t="shared" si="8"/>
        <v/>
      </c>
    </row>
    <row r="98" spans="11:15" x14ac:dyDescent="0.3">
      <c r="K98" t="str">
        <f t="shared" si="9"/>
        <v/>
      </c>
      <c r="L98" t="str">
        <f t="shared" si="5"/>
        <v/>
      </c>
      <c r="M98" t="str">
        <f t="shared" si="6"/>
        <v/>
      </c>
      <c r="N98" t="str">
        <f t="shared" si="7"/>
        <v/>
      </c>
      <c r="O98" t="str">
        <f t="shared" si="8"/>
        <v/>
      </c>
    </row>
    <row r="99" spans="11:15" x14ac:dyDescent="0.3">
      <c r="K99" t="str">
        <f t="shared" si="9"/>
        <v/>
      </c>
      <c r="L99" t="str">
        <f t="shared" si="5"/>
        <v/>
      </c>
      <c r="M99" t="str">
        <f t="shared" si="6"/>
        <v/>
      </c>
      <c r="N99" t="str">
        <f t="shared" si="7"/>
        <v/>
      </c>
      <c r="O99" t="str">
        <f t="shared" si="8"/>
        <v/>
      </c>
    </row>
    <row r="100" spans="11:15" x14ac:dyDescent="0.3">
      <c r="K100" t="str">
        <f t="shared" si="9"/>
        <v/>
      </c>
      <c r="L100" t="str">
        <f t="shared" si="5"/>
        <v/>
      </c>
      <c r="M100" t="str">
        <f t="shared" si="6"/>
        <v/>
      </c>
      <c r="N100" t="str">
        <f t="shared" si="7"/>
        <v/>
      </c>
      <c r="O100" t="str">
        <f t="shared" si="8"/>
        <v/>
      </c>
    </row>
    <row r="101" spans="11:15" x14ac:dyDescent="0.3">
      <c r="K101" t="str">
        <f t="shared" si="9"/>
        <v/>
      </c>
      <c r="L101" t="str">
        <f t="shared" si="5"/>
        <v/>
      </c>
      <c r="M101" t="str">
        <f t="shared" si="6"/>
        <v/>
      </c>
      <c r="N101" t="str">
        <f t="shared" si="7"/>
        <v/>
      </c>
      <c r="O101" t="str">
        <f t="shared" si="8"/>
        <v/>
      </c>
    </row>
    <row r="102" spans="11:15" x14ac:dyDescent="0.3">
      <c r="K102" t="str">
        <f t="shared" si="9"/>
        <v/>
      </c>
      <c r="L102" t="str">
        <f t="shared" si="5"/>
        <v/>
      </c>
      <c r="M102" t="str">
        <f t="shared" si="6"/>
        <v/>
      </c>
      <c r="N102" t="str">
        <f t="shared" si="7"/>
        <v/>
      </c>
      <c r="O102" t="str">
        <f t="shared" si="8"/>
        <v/>
      </c>
    </row>
    <row r="103" spans="11:15" x14ac:dyDescent="0.3">
      <c r="K103" t="str">
        <f t="shared" si="9"/>
        <v/>
      </c>
      <c r="L103" t="str">
        <f t="shared" si="5"/>
        <v/>
      </c>
      <c r="M103" t="str">
        <f t="shared" si="6"/>
        <v/>
      </c>
      <c r="N103" t="str">
        <f t="shared" si="7"/>
        <v/>
      </c>
      <c r="O103" t="str">
        <f t="shared" si="8"/>
        <v/>
      </c>
    </row>
    <row r="104" spans="11:15" x14ac:dyDescent="0.3">
      <c r="K104" t="str">
        <f t="shared" si="9"/>
        <v/>
      </c>
      <c r="L104" t="str">
        <f t="shared" si="5"/>
        <v/>
      </c>
      <c r="M104" t="str">
        <f t="shared" si="6"/>
        <v/>
      </c>
      <c r="N104" t="str">
        <f t="shared" si="7"/>
        <v/>
      </c>
      <c r="O104" t="str">
        <f t="shared" si="8"/>
        <v/>
      </c>
    </row>
    <row r="105" spans="11:15" x14ac:dyDescent="0.3">
      <c r="K105" t="str">
        <f t="shared" si="9"/>
        <v/>
      </c>
      <c r="L105" t="str">
        <f t="shared" si="5"/>
        <v/>
      </c>
      <c r="M105" t="str">
        <f t="shared" si="6"/>
        <v/>
      </c>
      <c r="N105" t="str">
        <f t="shared" si="7"/>
        <v/>
      </c>
      <c r="O105" t="str">
        <f t="shared" si="8"/>
        <v/>
      </c>
    </row>
    <row r="106" spans="11:15" x14ac:dyDescent="0.3">
      <c r="K106" t="str">
        <f t="shared" si="9"/>
        <v/>
      </c>
      <c r="L106" t="str">
        <f t="shared" si="5"/>
        <v/>
      </c>
      <c r="M106" t="str">
        <f t="shared" si="6"/>
        <v/>
      </c>
      <c r="N106" t="str">
        <f t="shared" si="7"/>
        <v/>
      </c>
      <c r="O106" t="str">
        <f t="shared" si="8"/>
        <v/>
      </c>
    </row>
    <row r="107" spans="11:15" x14ac:dyDescent="0.3">
      <c r="K107" t="str">
        <f t="shared" si="9"/>
        <v/>
      </c>
      <c r="L107" t="str">
        <f t="shared" si="5"/>
        <v/>
      </c>
      <c r="M107" t="str">
        <f t="shared" si="6"/>
        <v/>
      </c>
      <c r="N107" t="str">
        <f t="shared" si="7"/>
        <v/>
      </c>
      <c r="O107" t="str">
        <f t="shared" si="8"/>
        <v/>
      </c>
    </row>
    <row r="108" spans="11:15" x14ac:dyDescent="0.3">
      <c r="K108" t="str">
        <f t="shared" si="9"/>
        <v/>
      </c>
      <c r="L108" t="str">
        <f t="shared" si="5"/>
        <v/>
      </c>
      <c r="M108" t="str">
        <f t="shared" si="6"/>
        <v/>
      </c>
      <c r="N108" t="str">
        <f t="shared" si="7"/>
        <v/>
      </c>
      <c r="O108" t="str">
        <f t="shared" si="8"/>
        <v/>
      </c>
    </row>
    <row r="109" spans="11:15" x14ac:dyDescent="0.3">
      <c r="K109" t="str">
        <f t="shared" si="9"/>
        <v/>
      </c>
      <c r="L109" t="str">
        <f t="shared" si="5"/>
        <v/>
      </c>
      <c r="M109" t="str">
        <f t="shared" si="6"/>
        <v/>
      </c>
      <c r="N109" t="str">
        <f t="shared" si="7"/>
        <v/>
      </c>
      <c r="O109" t="str">
        <f t="shared" si="8"/>
        <v/>
      </c>
    </row>
    <row r="110" spans="11:15" x14ac:dyDescent="0.3">
      <c r="K110" t="str">
        <f t="shared" si="9"/>
        <v/>
      </c>
      <c r="L110" t="str">
        <f t="shared" si="5"/>
        <v/>
      </c>
      <c r="M110" t="str">
        <f t="shared" si="6"/>
        <v/>
      </c>
      <c r="N110" t="str">
        <f t="shared" si="7"/>
        <v/>
      </c>
      <c r="O110" t="str">
        <f t="shared" si="8"/>
        <v/>
      </c>
    </row>
    <row r="111" spans="11:15" x14ac:dyDescent="0.3">
      <c r="K111" t="str">
        <f t="shared" si="9"/>
        <v/>
      </c>
      <c r="L111" t="str">
        <f t="shared" si="5"/>
        <v/>
      </c>
      <c r="M111" t="str">
        <f t="shared" si="6"/>
        <v/>
      </c>
      <c r="N111" t="str">
        <f t="shared" si="7"/>
        <v/>
      </c>
      <c r="O111" t="str">
        <f t="shared" si="8"/>
        <v/>
      </c>
    </row>
    <row r="112" spans="11:15" x14ac:dyDescent="0.3">
      <c r="K112" t="str">
        <f t="shared" si="9"/>
        <v/>
      </c>
      <c r="L112" t="str">
        <f t="shared" si="5"/>
        <v/>
      </c>
      <c r="M112" t="str">
        <f t="shared" si="6"/>
        <v/>
      </c>
      <c r="N112" t="str">
        <f t="shared" si="7"/>
        <v/>
      </c>
      <c r="O112" t="str">
        <f t="shared" si="8"/>
        <v/>
      </c>
    </row>
    <row r="113" spans="11:15" x14ac:dyDescent="0.3">
      <c r="K113" t="str">
        <f t="shared" si="9"/>
        <v/>
      </c>
      <c r="L113" t="str">
        <f t="shared" si="5"/>
        <v/>
      </c>
      <c r="M113" t="str">
        <f t="shared" si="6"/>
        <v/>
      </c>
      <c r="N113" t="str">
        <f t="shared" si="7"/>
        <v/>
      </c>
      <c r="O113" t="str">
        <f t="shared" si="8"/>
        <v/>
      </c>
    </row>
    <row r="114" spans="11:15" x14ac:dyDescent="0.3">
      <c r="K114" t="str">
        <f t="shared" si="9"/>
        <v/>
      </c>
      <c r="L114" t="str">
        <f t="shared" si="5"/>
        <v/>
      </c>
      <c r="M114" t="str">
        <f t="shared" si="6"/>
        <v/>
      </c>
      <c r="N114" t="str">
        <f t="shared" si="7"/>
        <v/>
      </c>
      <c r="O114" t="str">
        <f t="shared" si="8"/>
        <v/>
      </c>
    </row>
    <row r="115" spans="11:15" x14ac:dyDescent="0.3">
      <c r="K115" t="str">
        <f t="shared" si="9"/>
        <v/>
      </c>
      <c r="L115" t="str">
        <f t="shared" si="5"/>
        <v/>
      </c>
      <c r="M115" t="str">
        <f t="shared" si="6"/>
        <v/>
      </c>
      <c r="N115" t="str">
        <f t="shared" si="7"/>
        <v/>
      </c>
      <c r="O115" t="str">
        <f t="shared" si="8"/>
        <v/>
      </c>
    </row>
    <row r="116" spans="11:15" x14ac:dyDescent="0.3">
      <c r="K116" t="str">
        <f t="shared" si="9"/>
        <v/>
      </c>
      <c r="L116" t="str">
        <f t="shared" si="5"/>
        <v/>
      </c>
      <c r="M116" t="str">
        <f t="shared" si="6"/>
        <v/>
      </c>
      <c r="N116" t="str">
        <f t="shared" si="7"/>
        <v/>
      </c>
      <c r="O116" t="str">
        <f t="shared" si="8"/>
        <v/>
      </c>
    </row>
    <row r="117" spans="11:15" x14ac:dyDescent="0.3">
      <c r="K117" t="str">
        <f t="shared" si="9"/>
        <v/>
      </c>
      <c r="L117" t="str">
        <f t="shared" si="5"/>
        <v/>
      </c>
      <c r="M117" t="str">
        <f t="shared" si="6"/>
        <v/>
      </c>
      <c r="N117" t="str">
        <f t="shared" si="7"/>
        <v/>
      </c>
      <c r="O117" t="str">
        <f t="shared" si="8"/>
        <v/>
      </c>
    </row>
    <row r="118" spans="11:15" x14ac:dyDescent="0.3">
      <c r="K118" t="str">
        <f t="shared" si="9"/>
        <v/>
      </c>
      <c r="L118" t="str">
        <f t="shared" si="5"/>
        <v/>
      </c>
      <c r="M118" t="str">
        <f t="shared" si="6"/>
        <v/>
      </c>
      <c r="N118" t="str">
        <f t="shared" si="7"/>
        <v/>
      </c>
      <c r="O118" t="str">
        <f t="shared" si="8"/>
        <v/>
      </c>
    </row>
    <row r="119" spans="11:15" x14ac:dyDescent="0.3">
      <c r="K119" t="str">
        <f t="shared" si="9"/>
        <v/>
      </c>
      <c r="L119" t="str">
        <f t="shared" si="5"/>
        <v/>
      </c>
      <c r="M119" t="str">
        <f t="shared" si="6"/>
        <v/>
      </c>
      <c r="N119" t="str">
        <f t="shared" si="7"/>
        <v/>
      </c>
      <c r="O119" t="str">
        <f t="shared" si="8"/>
        <v/>
      </c>
    </row>
    <row r="120" spans="11:15" x14ac:dyDescent="0.3">
      <c r="K120" t="str">
        <f t="shared" si="9"/>
        <v/>
      </c>
      <c r="L120" t="str">
        <f t="shared" si="5"/>
        <v/>
      </c>
      <c r="M120" t="str">
        <f t="shared" si="6"/>
        <v/>
      </c>
      <c r="N120" t="str">
        <f t="shared" si="7"/>
        <v/>
      </c>
      <c r="O120" t="str">
        <f t="shared" si="8"/>
        <v/>
      </c>
    </row>
    <row r="121" spans="11:15" x14ac:dyDescent="0.3">
      <c r="K121" t="str">
        <f t="shared" si="9"/>
        <v/>
      </c>
      <c r="L121" t="str">
        <f t="shared" si="5"/>
        <v/>
      </c>
      <c r="M121" t="str">
        <f t="shared" si="6"/>
        <v/>
      </c>
      <c r="N121" t="str">
        <f t="shared" si="7"/>
        <v/>
      </c>
      <c r="O121" t="str">
        <f t="shared" si="8"/>
        <v/>
      </c>
    </row>
    <row r="122" spans="11:15" x14ac:dyDescent="0.3">
      <c r="K122" t="str">
        <f t="shared" si="9"/>
        <v/>
      </c>
      <c r="L122" t="str">
        <f t="shared" si="5"/>
        <v/>
      </c>
      <c r="M122" t="str">
        <f t="shared" si="6"/>
        <v/>
      </c>
      <c r="N122" t="str">
        <f t="shared" si="7"/>
        <v/>
      </c>
      <c r="O122" t="str">
        <f t="shared" si="8"/>
        <v/>
      </c>
    </row>
    <row r="123" spans="11:15" x14ac:dyDescent="0.3">
      <c r="K123" t="str">
        <f t="shared" si="9"/>
        <v/>
      </c>
      <c r="L123" t="str">
        <f t="shared" si="5"/>
        <v/>
      </c>
      <c r="M123" t="str">
        <f t="shared" si="6"/>
        <v/>
      </c>
      <c r="N123" t="str">
        <f t="shared" si="7"/>
        <v/>
      </c>
      <c r="O123" t="str">
        <f t="shared" si="8"/>
        <v/>
      </c>
    </row>
    <row r="124" spans="11:15" x14ac:dyDescent="0.3">
      <c r="K124" t="str">
        <f t="shared" si="9"/>
        <v/>
      </c>
      <c r="L124" t="str">
        <f t="shared" si="5"/>
        <v/>
      </c>
      <c r="M124" t="str">
        <f t="shared" si="6"/>
        <v/>
      </c>
      <c r="N124" t="str">
        <f t="shared" si="7"/>
        <v/>
      </c>
      <c r="O124" t="str">
        <f t="shared" si="8"/>
        <v/>
      </c>
    </row>
    <row r="125" spans="11:15" x14ac:dyDescent="0.3">
      <c r="K125" t="str">
        <f t="shared" si="9"/>
        <v/>
      </c>
      <c r="L125" t="str">
        <f t="shared" si="5"/>
        <v/>
      </c>
      <c r="M125" t="str">
        <f t="shared" si="6"/>
        <v/>
      </c>
      <c r="N125" t="str">
        <f t="shared" si="7"/>
        <v/>
      </c>
      <c r="O125" t="str">
        <f t="shared" si="8"/>
        <v/>
      </c>
    </row>
    <row r="126" spans="11:15" x14ac:dyDescent="0.3">
      <c r="K126" t="str">
        <f t="shared" si="9"/>
        <v/>
      </c>
      <c r="L126" t="str">
        <f t="shared" si="5"/>
        <v/>
      </c>
      <c r="M126" t="str">
        <f t="shared" si="6"/>
        <v/>
      </c>
      <c r="N126" t="str">
        <f t="shared" si="7"/>
        <v/>
      </c>
      <c r="O126" t="str">
        <f t="shared" si="8"/>
        <v/>
      </c>
    </row>
    <row r="127" spans="11:15" x14ac:dyDescent="0.3">
      <c r="K127" t="str">
        <f t="shared" si="9"/>
        <v/>
      </c>
      <c r="L127" t="str">
        <f t="shared" si="5"/>
        <v/>
      </c>
      <c r="M127" t="str">
        <f t="shared" si="6"/>
        <v/>
      </c>
      <c r="N127" t="str">
        <f t="shared" si="7"/>
        <v/>
      </c>
      <c r="O127" t="str">
        <f t="shared" si="8"/>
        <v/>
      </c>
    </row>
    <row r="128" spans="11:15" x14ac:dyDescent="0.3">
      <c r="K128" t="str">
        <f t="shared" si="9"/>
        <v/>
      </c>
      <c r="L128" t="str">
        <f t="shared" si="5"/>
        <v/>
      </c>
      <c r="M128" t="str">
        <f t="shared" si="6"/>
        <v/>
      </c>
      <c r="N128" t="str">
        <f t="shared" si="7"/>
        <v/>
      </c>
      <c r="O128" t="str">
        <f t="shared" si="8"/>
        <v/>
      </c>
    </row>
    <row r="129" spans="11:15" x14ac:dyDescent="0.3">
      <c r="K129" t="str">
        <f t="shared" si="9"/>
        <v/>
      </c>
      <c r="L129" t="str">
        <f t="shared" ref="L129:L192" si="10">IF(A129="","",IF(ISNUMBER(--LEFT(A129,FIND(" - ",A129&amp;" - ")-1)),LEFT(A129,FIND(" - ",A129&amp;" - ")-1),TRIM(A129)))</f>
        <v/>
      </c>
      <c r="M129" t="str">
        <f t="shared" ref="M129:M192" si="11">IF(OR(K129="",K129=A129,A129=""),"",K129&amp;"|"&amp;L129)</f>
        <v/>
      </c>
      <c r="N129" t="str">
        <f t="shared" ref="N129:N192" si="12">IF(M129="","",IF(ISNUMBER(B129),B129,IFERROR(_xlfn.NUMBERVALUE(B129,".",","),0)))</f>
        <v/>
      </c>
      <c r="O129" t="str">
        <f t="shared" ref="O129:O192" si="13">IF(M129="","",IF(ISNUMBER(C129),C129,IFERROR(_xlfn.NUMBERVALUE(C129,".",","),0)))</f>
        <v/>
      </c>
    </row>
    <row r="130" spans="11:15" x14ac:dyDescent="0.3">
      <c r="K130" t="str">
        <f t="shared" ref="K130:K193" si="14">IF(OR(LEFT(B130,9)="DOANH THU",LEFT(B130,8)="SỐ LƯỢNG"),A130,K129)</f>
        <v/>
      </c>
      <c r="L130" t="str">
        <f t="shared" si="10"/>
        <v/>
      </c>
      <c r="M130" t="str">
        <f t="shared" si="11"/>
        <v/>
      </c>
      <c r="N130" t="str">
        <f t="shared" si="12"/>
        <v/>
      </c>
      <c r="O130" t="str">
        <f t="shared" si="13"/>
        <v/>
      </c>
    </row>
    <row r="131" spans="11:15" x14ac:dyDescent="0.3">
      <c r="K131" t="str">
        <f t="shared" si="14"/>
        <v/>
      </c>
      <c r="L131" t="str">
        <f t="shared" si="10"/>
        <v/>
      </c>
      <c r="M131" t="str">
        <f t="shared" si="11"/>
        <v/>
      </c>
      <c r="N131" t="str">
        <f t="shared" si="12"/>
        <v/>
      </c>
      <c r="O131" t="str">
        <f t="shared" si="13"/>
        <v/>
      </c>
    </row>
    <row r="132" spans="11:15" x14ac:dyDescent="0.3">
      <c r="K132" t="str">
        <f t="shared" si="14"/>
        <v/>
      </c>
      <c r="L132" t="str">
        <f t="shared" si="10"/>
        <v/>
      </c>
      <c r="M132" t="str">
        <f t="shared" si="11"/>
        <v/>
      </c>
      <c r="N132" t="str">
        <f t="shared" si="12"/>
        <v/>
      </c>
      <c r="O132" t="str">
        <f t="shared" si="13"/>
        <v/>
      </c>
    </row>
    <row r="133" spans="11:15" x14ac:dyDescent="0.3">
      <c r="K133" t="str">
        <f t="shared" si="14"/>
        <v/>
      </c>
      <c r="L133" t="str">
        <f t="shared" si="10"/>
        <v/>
      </c>
      <c r="M133" t="str">
        <f t="shared" si="11"/>
        <v/>
      </c>
      <c r="N133" t="str">
        <f t="shared" si="12"/>
        <v/>
      </c>
      <c r="O133" t="str">
        <f t="shared" si="13"/>
        <v/>
      </c>
    </row>
    <row r="134" spans="11:15" x14ac:dyDescent="0.3">
      <c r="K134" t="str">
        <f t="shared" si="14"/>
        <v/>
      </c>
      <c r="L134" t="str">
        <f t="shared" si="10"/>
        <v/>
      </c>
      <c r="M134" t="str">
        <f t="shared" si="11"/>
        <v/>
      </c>
      <c r="N134" t="str">
        <f t="shared" si="12"/>
        <v/>
      </c>
      <c r="O134" t="str">
        <f t="shared" si="13"/>
        <v/>
      </c>
    </row>
    <row r="135" spans="11:15" x14ac:dyDescent="0.3">
      <c r="K135" t="str">
        <f t="shared" si="14"/>
        <v/>
      </c>
      <c r="L135" t="str">
        <f t="shared" si="10"/>
        <v/>
      </c>
      <c r="M135" t="str">
        <f t="shared" si="11"/>
        <v/>
      </c>
      <c r="N135" t="str">
        <f t="shared" si="12"/>
        <v/>
      </c>
      <c r="O135" t="str">
        <f t="shared" si="13"/>
        <v/>
      </c>
    </row>
    <row r="136" spans="11:15" x14ac:dyDescent="0.3">
      <c r="K136" t="str">
        <f t="shared" si="14"/>
        <v/>
      </c>
      <c r="L136" t="str">
        <f t="shared" si="10"/>
        <v/>
      </c>
      <c r="M136" t="str">
        <f t="shared" si="11"/>
        <v/>
      </c>
      <c r="N136" t="str">
        <f t="shared" si="12"/>
        <v/>
      </c>
      <c r="O136" t="str">
        <f t="shared" si="13"/>
        <v/>
      </c>
    </row>
    <row r="137" spans="11:15" x14ac:dyDescent="0.3">
      <c r="K137" t="str">
        <f t="shared" si="14"/>
        <v/>
      </c>
      <c r="L137" t="str">
        <f t="shared" si="10"/>
        <v/>
      </c>
      <c r="M137" t="str">
        <f t="shared" si="11"/>
        <v/>
      </c>
      <c r="N137" t="str">
        <f t="shared" si="12"/>
        <v/>
      </c>
      <c r="O137" t="str">
        <f t="shared" si="13"/>
        <v/>
      </c>
    </row>
    <row r="138" spans="11:15" x14ac:dyDescent="0.3">
      <c r="K138" t="str">
        <f t="shared" si="14"/>
        <v/>
      </c>
      <c r="L138" t="str">
        <f t="shared" si="10"/>
        <v/>
      </c>
      <c r="M138" t="str">
        <f t="shared" si="11"/>
        <v/>
      </c>
      <c r="N138" t="str">
        <f t="shared" si="12"/>
        <v/>
      </c>
      <c r="O138" t="str">
        <f t="shared" si="13"/>
        <v/>
      </c>
    </row>
    <row r="139" spans="11:15" x14ac:dyDescent="0.3">
      <c r="K139" t="str">
        <f t="shared" si="14"/>
        <v/>
      </c>
      <c r="L139" t="str">
        <f t="shared" si="10"/>
        <v/>
      </c>
      <c r="M139" t="str">
        <f t="shared" si="11"/>
        <v/>
      </c>
      <c r="N139" t="str">
        <f t="shared" si="12"/>
        <v/>
      </c>
      <c r="O139" t="str">
        <f t="shared" si="13"/>
        <v/>
      </c>
    </row>
    <row r="140" spans="11:15" x14ac:dyDescent="0.3">
      <c r="K140" t="str">
        <f t="shared" si="14"/>
        <v/>
      </c>
      <c r="L140" t="str">
        <f t="shared" si="10"/>
        <v/>
      </c>
      <c r="M140" t="str">
        <f t="shared" si="11"/>
        <v/>
      </c>
      <c r="N140" t="str">
        <f t="shared" si="12"/>
        <v/>
      </c>
      <c r="O140" t="str">
        <f t="shared" si="13"/>
        <v/>
      </c>
    </row>
    <row r="141" spans="11:15" x14ac:dyDescent="0.3">
      <c r="K141" t="str">
        <f t="shared" si="14"/>
        <v/>
      </c>
      <c r="L141" t="str">
        <f t="shared" si="10"/>
        <v/>
      </c>
      <c r="M141" t="str">
        <f t="shared" si="11"/>
        <v/>
      </c>
      <c r="N141" t="str">
        <f t="shared" si="12"/>
        <v/>
      </c>
      <c r="O141" t="str">
        <f t="shared" si="13"/>
        <v/>
      </c>
    </row>
    <row r="142" spans="11:15" x14ac:dyDescent="0.3">
      <c r="K142" t="str">
        <f t="shared" si="14"/>
        <v/>
      </c>
      <c r="L142" t="str">
        <f t="shared" si="10"/>
        <v/>
      </c>
      <c r="M142" t="str">
        <f t="shared" si="11"/>
        <v/>
      </c>
      <c r="N142" t="str">
        <f t="shared" si="12"/>
        <v/>
      </c>
      <c r="O142" t="str">
        <f t="shared" si="13"/>
        <v/>
      </c>
    </row>
    <row r="143" spans="11:15" x14ac:dyDescent="0.3">
      <c r="K143" t="str">
        <f t="shared" si="14"/>
        <v/>
      </c>
      <c r="L143" t="str">
        <f t="shared" si="10"/>
        <v/>
      </c>
      <c r="M143" t="str">
        <f t="shared" si="11"/>
        <v/>
      </c>
      <c r="N143" t="str">
        <f t="shared" si="12"/>
        <v/>
      </c>
      <c r="O143" t="str">
        <f t="shared" si="13"/>
        <v/>
      </c>
    </row>
    <row r="144" spans="11:15" x14ac:dyDescent="0.3">
      <c r="K144" t="str">
        <f t="shared" si="14"/>
        <v/>
      </c>
      <c r="L144" t="str">
        <f t="shared" si="10"/>
        <v/>
      </c>
      <c r="M144" t="str">
        <f t="shared" si="11"/>
        <v/>
      </c>
      <c r="N144" t="str">
        <f t="shared" si="12"/>
        <v/>
      </c>
      <c r="O144" t="str">
        <f t="shared" si="13"/>
        <v/>
      </c>
    </row>
    <row r="145" spans="11:15" x14ac:dyDescent="0.3">
      <c r="K145" t="str">
        <f t="shared" si="14"/>
        <v/>
      </c>
      <c r="L145" t="str">
        <f t="shared" si="10"/>
        <v/>
      </c>
      <c r="M145" t="str">
        <f t="shared" si="11"/>
        <v/>
      </c>
      <c r="N145" t="str">
        <f t="shared" si="12"/>
        <v/>
      </c>
      <c r="O145" t="str">
        <f t="shared" si="13"/>
        <v/>
      </c>
    </row>
    <row r="146" spans="11:15" x14ac:dyDescent="0.3">
      <c r="K146" t="str">
        <f t="shared" si="14"/>
        <v/>
      </c>
      <c r="L146" t="str">
        <f t="shared" si="10"/>
        <v/>
      </c>
      <c r="M146" t="str">
        <f t="shared" si="11"/>
        <v/>
      </c>
      <c r="N146" t="str">
        <f t="shared" si="12"/>
        <v/>
      </c>
      <c r="O146" t="str">
        <f t="shared" si="13"/>
        <v/>
      </c>
    </row>
    <row r="147" spans="11:15" x14ac:dyDescent="0.3">
      <c r="K147" t="str">
        <f t="shared" si="14"/>
        <v/>
      </c>
      <c r="L147" t="str">
        <f t="shared" si="10"/>
        <v/>
      </c>
      <c r="M147" t="str">
        <f t="shared" si="11"/>
        <v/>
      </c>
      <c r="N147" t="str">
        <f t="shared" si="12"/>
        <v/>
      </c>
      <c r="O147" t="str">
        <f t="shared" si="13"/>
        <v/>
      </c>
    </row>
    <row r="148" spans="11:15" x14ac:dyDescent="0.3">
      <c r="K148" t="str">
        <f t="shared" si="14"/>
        <v/>
      </c>
      <c r="L148" t="str">
        <f t="shared" si="10"/>
        <v/>
      </c>
      <c r="M148" t="str">
        <f t="shared" si="11"/>
        <v/>
      </c>
      <c r="N148" t="str">
        <f t="shared" si="12"/>
        <v/>
      </c>
      <c r="O148" t="str">
        <f t="shared" si="13"/>
        <v/>
      </c>
    </row>
    <row r="149" spans="11:15" x14ac:dyDescent="0.3">
      <c r="K149" t="str">
        <f t="shared" si="14"/>
        <v/>
      </c>
      <c r="L149" t="str">
        <f t="shared" si="10"/>
        <v/>
      </c>
      <c r="M149" t="str">
        <f t="shared" si="11"/>
        <v/>
      </c>
      <c r="N149" t="str">
        <f t="shared" si="12"/>
        <v/>
      </c>
      <c r="O149" t="str">
        <f t="shared" si="13"/>
        <v/>
      </c>
    </row>
    <row r="150" spans="11:15" x14ac:dyDescent="0.3">
      <c r="K150" t="str">
        <f t="shared" si="14"/>
        <v/>
      </c>
      <c r="L150" t="str">
        <f t="shared" si="10"/>
        <v/>
      </c>
      <c r="M150" t="str">
        <f t="shared" si="11"/>
        <v/>
      </c>
      <c r="N150" t="str">
        <f t="shared" si="12"/>
        <v/>
      </c>
      <c r="O150" t="str">
        <f t="shared" si="13"/>
        <v/>
      </c>
    </row>
    <row r="151" spans="11:15" x14ac:dyDescent="0.3">
      <c r="K151" t="str">
        <f t="shared" si="14"/>
        <v/>
      </c>
      <c r="L151" t="str">
        <f t="shared" si="10"/>
        <v/>
      </c>
      <c r="M151" t="str">
        <f t="shared" si="11"/>
        <v/>
      </c>
      <c r="N151" t="str">
        <f t="shared" si="12"/>
        <v/>
      </c>
      <c r="O151" t="str">
        <f t="shared" si="13"/>
        <v/>
      </c>
    </row>
    <row r="152" spans="11:15" x14ac:dyDescent="0.3">
      <c r="K152" t="str">
        <f t="shared" si="14"/>
        <v/>
      </c>
      <c r="L152" t="str">
        <f t="shared" si="10"/>
        <v/>
      </c>
      <c r="M152" t="str">
        <f t="shared" si="11"/>
        <v/>
      </c>
      <c r="N152" t="str">
        <f t="shared" si="12"/>
        <v/>
      </c>
      <c r="O152" t="str">
        <f t="shared" si="13"/>
        <v/>
      </c>
    </row>
    <row r="153" spans="11:15" x14ac:dyDescent="0.3">
      <c r="K153" t="str">
        <f t="shared" si="14"/>
        <v/>
      </c>
      <c r="L153" t="str">
        <f t="shared" si="10"/>
        <v/>
      </c>
      <c r="M153" t="str">
        <f t="shared" si="11"/>
        <v/>
      </c>
      <c r="N153" t="str">
        <f t="shared" si="12"/>
        <v/>
      </c>
      <c r="O153" t="str">
        <f t="shared" si="13"/>
        <v/>
      </c>
    </row>
    <row r="154" spans="11:15" x14ac:dyDescent="0.3">
      <c r="K154" t="str">
        <f t="shared" si="14"/>
        <v/>
      </c>
      <c r="L154" t="str">
        <f t="shared" si="10"/>
        <v/>
      </c>
      <c r="M154" t="str">
        <f t="shared" si="11"/>
        <v/>
      </c>
      <c r="N154" t="str">
        <f t="shared" si="12"/>
        <v/>
      </c>
      <c r="O154" t="str">
        <f t="shared" si="13"/>
        <v/>
      </c>
    </row>
    <row r="155" spans="11:15" x14ac:dyDescent="0.3">
      <c r="K155" t="str">
        <f t="shared" si="14"/>
        <v/>
      </c>
      <c r="L155" t="str">
        <f t="shared" si="10"/>
        <v/>
      </c>
      <c r="M155" t="str">
        <f t="shared" si="11"/>
        <v/>
      </c>
      <c r="N155" t="str">
        <f t="shared" si="12"/>
        <v/>
      </c>
      <c r="O155" t="str">
        <f t="shared" si="13"/>
        <v/>
      </c>
    </row>
    <row r="156" spans="11:15" x14ac:dyDescent="0.3">
      <c r="K156" t="str">
        <f t="shared" si="14"/>
        <v/>
      </c>
      <c r="L156" t="str">
        <f t="shared" si="10"/>
        <v/>
      </c>
      <c r="M156" t="str">
        <f t="shared" si="11"/>
        <v/>
      </c>
      <c r="N156" t="str">
        <f t="shared" si="12"/>
        <v/>
      </c>
      <c r="O156" t="str">
        <f t="shared" si="13"/>
        <v/>
      </c>
    </row>
    <row r="157" spans="11:15" x14ac:dyDescent="0.3">
      <c r="K157" t="str">
        <f t="shared" si="14"/>
        <v/>
      </c>
      <c r="L157" t="str">
        <f t="shared" si="10"/>
        <v/>
      </c>
      <c r="M157" t="str">
        <f t="shared" si="11"/>
        <v/>
      </c>
      <c r="N157" t="str">
        <f t="shared" si="12"/>
        <v/>
      </c>
      <c r="O157" t="str">
        <f t="shared" si="13"/>
        <v/>
      </c>
    </row>
    <row r="158" spans="11:15" x14ac:dyDescent="0.3">
      <c r="K158" t="str">
        <f t="shared" si="14"/>
        <v/>
      </c>
      <c r="L158" t="str">
        <f t="shared" si="10"/>
        <v/>
      </c>
      <c r="M158" t="str">
        <f t="shared" si="11"/>
        <v/>
      </c>
      <c r="N158" t="str">
        <f t="shared" si="12"/>
        <v/>
      </c>
      <c r="O158" t="str">
        <f t="shared" si="13"/>
        <v/>
      </c>
    </row>
    <row r="159" spans="11:15" x14ac:dyDescent="0.3">
      <c r="K159" t="str">
        <f t="shared" si="14"/>
        <v/>
      </c>
      <c r="L159" t="str">
        <f t="shared" si="10"/>
        <v/>
      </c>
      <c r="M159" t="str">
        <f t="shared" si="11"/>
        <v/>
      </c>
      <c r="N159" t="str">
        <f t="shared" si="12"/>
        <v/>
      </c>
      <c r="O159" t="str">
        <f t="shared" si="13"/>
        <v/>
      </c>
    </row>
    <row r="160" spans="11:15" x14ac:dyDescent="0.3">
      <c r="K160" t="str">
        <f t="shared" si="14"/>
        <v/>
      </c>
      <c r="L160" t="str">
        <f t="shared" si="10"/>
        <v/>
      </c>
      <c r="M160" t="str">
        <f t="shared" si="11"/>
        <v/>
      </c>
      <c r="N160" t="str">
        <f t="shared" si="12"/>
        <v/>
      </c>
      <c r="O160" t="str">
        <f t="shared" si="13"/>
        <v/>
      </c>
    </row>
    <row r="161" spans="11:15" x14ac:dyDescent="0.3">
      <c r="K161" t="str">
        <f t="shared" si="14"/>
        <v/>
      </c>
      <c r="L161" t="str">
        <f t="shared" si="10"/>
        <v/>
      </c>
      <c r="M161" t="str">
        <f t="shared" si="11"/>
        <v/>
      </c>
      <c r="N161" t="str">
        <f t="shared" si="12"/>
        <v/>
      </c>
      <c r="O161" t="str">
        <f t="shared" si="13"/>
        <v/>
      </c>
    </row>
    <row r="162" spans="11:15" x14ac:dyDescent="0.3">
      <c r="K162" t="str">
        <f t="shared" si="14"/>
        <v/>
      </c>
      <c r="L162" t="str">
        <f t="shared" si="10"/>
        <v/>
      </c>
      <c r="M162" t="str">
        <f t="shared" si="11"/>
        <v/>
      </c>
      <c r="N162" t="str">
        <f t="shared" si="12"/>
        <v/>
      </c>
      <c r="O162" t="str">
        <f t="shared" si="13"/>
        <v/>
      </c>
    </row>
    <row r="163" spans="11:15" x14ac:dyDescent="0.3">
      <c r="K163" t="str">
        <f t="shared" si="14"/>
        <v/>
      </c>
      <c r="L163" t="str">
        <f t="shared" si="10"/>
        <v/>
      </c>
      <c r="M163" t="str">
        <f t="shared" si="11"/>
        <v/>
      </c>
      <c r="N163" t="str">
        <f t="shared" si="12"/>
        <v/>
      </c>
      <c r="O163" t="str">
        <f t="shared" si="13"/>
        <v/>
      </c>
    </row>
    <row r="164" spans="11:15" x14ac:dyDescent="0.3">
      <c r="K164" t="str">
        <f t="shared" si="14"/>
        <v/>
      </c>
      <c r="L164" t="str">
        <f t="shared" si="10"/>
        <v/>
      </c>
      <c r="M164" t="str">
        <f t="shared" si="11"/>
        <v/>
      </c>
      <c r="N164" t="str">
        <f t="shared" si="12"/>
        <v/>
      </c>
      <c r="O164" t="str">
        <f t="shared" si="13"/>
        <v/>
      </c>
    </row>
    <row r="165" spans="11:15" x14ac:dyDescent="0.3">
      <c r="K165" t="str">
        <f t="shared" si="14"/>
        <v/>
      </c>
      <c r="L165" t="str">
        <f t="shared" si="10"/>
        <v/>
      </c>
      <c r="M165" t="str">
        <f t="shared" si="11"/>
        <v/>
      </c>
      <c r="N165" t="str">
        <f t="shared" si="12"/>
        <v/>
      </c>
      <c r="O165" t="str">
        <f t="shared" si="13"/>
        <v/>
      </c>
    </row>
    <row r="166" spans="11:15" x14ac:dyDescent="0.3">
      <c r="K166" t="str">
        <f t="shared" si="14"/>
        <v/>
      </c>
      <c r="L166" t="str">
        <f t="shared" si="10"/>
        <v/>
      </c>
      <c r="M166" t="str">
        <f t="shared" si="11"/>
        <v/>
      </c>
      <c r="N166" t="str">
        <f t="shared" si="12"/>
        <v/>
      </c>
      <c r="O166" t="str">
        <f t="shared" si="13"/>
        <v/>
      </c>
    </row>
    <row r="167" spans="11:15" x14ac:dyDescent="0.3">
      <c r="K167" t="str">
        <f t="shared" si="14"/>
        <v/>
      </c>
      <c r="L167" t="str">
        <f t="shared" si="10"/>
        <v/>
      </c>
      <c r="M167" t="str">
        <f t="shared" si="11"/>
        <v/>
      </c>
      <c r="N167" t="str">
        <f t="shared" si="12"/>
        <v/>
      </c>
      <c r="O167" t="str">
        <f t="shared" si="13"/>
        <v/>
      </c>
    </row>
    <row r="168" spans="11:15" x14ac:dyDescent="0.3">
      <c r="K168" t="str">
        <f t="shared" si="14"/>
        <v/>
      </c>
      <c r="L168" t="str">
        <f t="shared" si="10"/>
        <v/>
      </c>
      <c r="M168" t="str">
        <f t="shared" si="11"/>
        <v/>
      </c>
      <c r="N168" t="str">
        <f t="shared" si="12"/>
        <v/>
      </c>
      <c r="O168" t="str">
        <f t="shared" si="13"/>
        <v/>
      </c>
    </row>
    <row r="169" spans="11:15" x14ac:dyDescent="0.3">
      <c r="K169" t="str">
        <f t="shared" si="14"/>
        <v/>
      </c>
      <c r="L169" t="str">
        <f t="shared" si="10"/>
        <v/>
      </c>
      <c r="M169" t="str">
        <f t="shared" si="11"/>
        <v/>
      </c>
      <c r="N169" t="str">
        <f t="shared" si="12"/>
        <v/>
      </c>
      <c r="O169" t="str">
        <f t="shared" si="13"/>
        <v/>
      </c>
    </row>
    <row r="170" spans="11:15" x14ac:dyDescent="0.3">
      <c r="K170" t="str">
        <f t="shared" si="14"/>
        <v/>
      </c>
      <c r="L170" t="str">
        <f t="shared" si="10"/>
        <v/>
      </c>
      <c r="M170" t="str">
        <f t="shared" si="11"/>
        <v/>
      </c>
      <c r="N170" t="str">
        <f t="shared" si="12"/>
        <v/>
      </c>
      <c r="O170" t="str">
        <f t="shared" si="13"/>
        <v/>
      </c>
    </row>
    <row r="171" spans="11:15" x14ac:dyDescent="0.3">
      <c r="K171" t="str">
        <f t="shared" si="14"/>
        <v/>
      </c>
      <c r="L171" t="str">
        <f t="shared" si="10"/>
        <v/>
      </c>
      <c r="M171" t="str">
        <f t="shared" si="11"/>
        <v/>
      </c>
      <c r="N171" t="str">
        <f t="shared" si="12"/>
        <v/>
      </c>
      <c r="O171" t="str">
        <f t="shared" si="13"/>
        <v/>
      </c>
    </row>
    <row r="172" spans="11:15" x14ac:dyDescent="0.3">
      <c r="K172" t="str">
        <f t="shared" si="14"/>
        <v/>
      </c>
      <c r="L172" t="str">
        <f t="shared" si="10"/>
        <v/>
      </c>
      <c r="M172" t="str">
        <f t="shared" si="11"/>
        <v/>
      </c>
      <c r="N172" t="str">
        <f t="shared" si="12"/>
        <v/>
      </c>
      <c r="O172" t="str">
        <f t="shared" si="13"/>
        <v/>
      </c>
    </row>
    <row r="173" spans="11:15" x14ac:dyDescent="0.3">
      <c r="K173" t="str">
        <f t="shared" si="14"/>
        <v/>
      </c>
      <c r="L173" t="str">
        <f t="shared" si="10"/>
        <v/>
      </c>
      <c r="M173" t="str">
        <f t="shared" si="11"/>
        <v/>
      </c>
      <c r="N173" t="str">
        <f t="shared" si="12"/>
        <v/>
      </c>
      <c r="O173" t="str">
        <f t="shared" si="13"/>
        <v/>
      </c>
    </row>
    <row r="174" spans="11:15" x14ac:dyDescent="0.3">
      <c r="K174" t="str">
        <f t="shared" si="14"/>
        <v/>
      </c>
      <c r="L174" t="str">
        <f t="shared" si="10"/>
        <v/>
      </c>
      <c r="M174" t="str">
        <f t="shared" si="11"/>
        <v/>
      </c>
      <c r="N174" t="str">
        <f t="shared" si="12"/>
        <v/>
      </c>
      <c r="O174" t="str">
        <f t="shared" si="13"/>
        <v/>
      </c>
    </row>
    <row r="175" spans="11:15" x14ac:dyDescent="0.3">
      <c r="K175" t="str">
        <f t="shared" si="14"/>
        <v/>
      </c>
      <c r="L175" t="str">
        <f t="shared" si="10"/>
        <v/>
      </c>
      <c r="M175" t="str">
        <f t="shared" si="11"/>
        <v/>
      </c>
      <c r="N175" t="str">
        <f t="shared" si="12"/>
        <v/>
      </c>
      <c r="O175" t="str">
        <f t="shared" si="13"/>
        <v/>
      </c>
    </row>
    <row r="176" spans="11:15" x14ac:dyDescent="0.3">
      <c r="K176" t="str">
        <f t="shared" si="14"/>
        <v/>
      </c>
      <c r="L176" t="str">
        <f t="shared" si="10"/>
        <v/>
      </c>
      <c r="M176" t="str">
        <f t="shared" si="11"/>
        <v/>
      </c>
      <c r="N176" t="str">
        <f t="shared" si="12"/>
        <v/>
      </c>
      <c r="O176" t="str">
        <f t="shared" si="13"/>
        <v/>
      </c>
    </row>
    <row r="177" spans="11:15" x14ac:dyDescent="0.3">
      <c r="K177" t="str">
        <f t="shared" si="14"/>
        <v/>
      </c>
      <c r="L177" t="str">
        <f t="shared" si="10"/>
        <v/>
      </c>
      <c r="M177" t="str">
        <f t="shared" si="11"/>
        <v/>
      </c>
      <c r="N177" t="str">
        <f t="shared" si="12"/>
        <v/>
      </c>
      <c r="O177" t="str">
        <f t="shared" si="13"/>
        <v/>
      </c>
    </row>
    <row r="178" spans="11:15" x14ac:dyDescent="0.3">
      <c r="K178" t="str">
        <f t="shared" si="14"/>
        <v/>
      </c>
      <c r="L178" t="str">
        <f t="shared" si="10"/>
        <v/>
      </c>
      <c r="M178" t="str">
        <f t="shared" si="11"/>
        <v/>
      </c>
      <c r="N178" t="str">
        <f t="shared" si="12"/>
        <v/>
      </c>
      <c r="O178" t="str">
        <f t="shared" si="13"/>
        <v/>
      </c>
    </row>
    <row r="179" spans="11:15" x14ac:dyDescent="0.3">
      <c r="K179" t="str">
        <f t="shared" si="14"/>
        <v/>
      </c>
      <c r="L179" t="str">
        <f t="shared" si="10"/>
        <v/>
      </c>
      <c r="M179" t="str">
        <f t="shared" si="11"/>
        <v/>
      </c>
      <c r="N179" t="str">
        <f t="shared" si="12"/>
        <v/>
      </c>
      <c r="O179" t="str">
        <f t="shared" si="13"/>
        <v/>
      </c>
    </row>
    <row r="180" spans="11:15" x14ac:dyDescent="0.3">
      <c r="K180" t="str">
        <f t="shared" si="14"/>
        <v/>
      </c>
      <c r="L180" t="str">
        <f t="shared" si="10"/>
        <v/>
      </c>
      <c r="M180" t="str">
        <f t="shared" si="11"/>
        <v/>
      </c>
      <c r="N180" t="str">
        <f t="shared" si="12"/>
        <v/>
      </c>
      <c r="O180" t="str">
        <f t="shared" si="13"/>
        <v/>
      </c>
    </row>
    <row r="181" spans="11:15" x14ac:dyDescent="0.3">
      <c r="K181" t="str">
        <f t="shared" si="14"/>
        <v/>
      </c>
      <c r="L181" t="str">
        <f t="shared" si="10"/>
        <v/>
      </c>
      <c r="M181" t="str">
        <f t="shared" si="11"/>
        <v/>
      </c>
      <c r="N181" t="str">
        <f t="shared" si="12"/>
        <v/>
      </c>
      <c r="O181" t="str">
        <f t="shared" si="13"/>
        <v/>
      </c>
    </row>
    <row r="182" spans="11:15" x14ac:dyDescent="0.3">
      <c r="K182" t="str">
        <f t="shared" si="14"/>
        <v/>
      </c>
      <c r="L182" t="str">
        <f t="shared" si="10"/>
        <v/>
      </c>
      <c r="M182" t="str">
        <f t="shared" si="11"/>
        <v/>
      </c>
      <c r="N182" t="str">
        <f t="shared" si="12"/>
        <v/>
      </c>
      <c r="O182" t="str">
        <f t="shared" si="13"/>
        <v/>
      </c>
    </row>
    <row r="183" spans="11:15" x14ac:dyDescent="0.3">
      <c r="K183" t="str">
        <f t="shared" si="14"/>
        <v/>
      </c>
      <c r="L183" t="str">
        <f t="shared" si="10"/>
        <v/>
      </c>
      <c r="M183" t="str">
        <f t="shared" si="11"/>
        <v/>
      </c>
      <c r="N183" t="str">
        <f t="shared" si="12"/>
        <v/>
      </c>
      <c r="O183" t="str">
        <f t="shared" si="13"/>
        <v/>
      </c>
    </row>
    <row r="184" spans="11:15" x14ac:dyDescent="0.3">
      <c r="K184" t="str">
        <f t="shared" si="14"/>
        <v/>
      </c>
      <c r="L184" t="str">
        <f t="shared" si="10"/>
        <v/>
      </c>
      <c r="M184" t="str">
        <f t="shared" si="11"/>
        <v/>
      </c>
      <c r="N184" t="str">
        <f t="shared" si="12"/>
        <v/>
      </c>
      <c r="O184" t="str">
        <f t="shared" si="13"/>
        <v/>
      </c>
    </row>
    <row r="185" spans="11:15" x14ac:dyDescent="0.3">
      <c r="K185" t="str">
        <f t="shared" si="14"/>
        <v/>
      </c>
      <c r="L185" t="str">
        <f t="shared" si="10"/>
        <v/>
      </c>
      <c r="M185" t="str">
        <f t="shared" si="11"/>
        <v/>
      </c>
      <c r="N185" t="str">
        <f t="shared" si="12"/>
        <v/>
      </c>
      <c r="O185" t="str">
        <f t="shared" si="13"/>
        <v/>
      </c>
    </row>
    <row r="186" spans="11:15" x14ac:dyDescent="0.3">
      <c r="K186" t="str">
        <f t="shared" si="14"/>
        <v/>
      </c>
      <c r="L186" t="str">
        <f t="shared" si="10"/>
        <v/>
      </c>
      <c r="M186" t="str">
        <f t="shared" si="11"/>
        <v/>
      </c>
      <c r="N186" t="str">
        <f t="shared" si="12"/>
        <v/>
      </c>
      <c r="O186" t="str">
        <f t="shared" si="13"/>
        <v/>
      </c>
    </row>
    <row r="187" spans="11:15" x14ac:dyDescent="0.3">
      <c r="K187" t="str">
        <f t="shared" si="14"/>
        <v/>
      </c>
      <c r="L187" t="str">
        <f t="shared" si="10"/>
        <v/>
      </c>
      <c r="M187" t="str">
        <f t="shared" si="11"/>
        <v/>
      </c>
      <c r="N187" t="str">
        <f t="shared" si="12"/>
        <v/>
      </c>
      <c r="O187" t="str">
        <f t="shared" si="13"/>
        <v/>
      </c>
    </row>
    <row r="188" spans="11:15" x14ac:dyDescent="0.3">
      <c r="K188" t="str">
        <f t="shared" si="14"/>
        <v/>
      </c>
      <c r="L188" t="str">
        <f t="shared" si="10"/>
        <v/>
      </c>
      <c r="M188" t="str">
        <f t="shared" si="11"/>
        <v/>
      </c>
      <c r="N188" t="str">
        <f t="shared" si="12"/>
        <v/>
      </c>
      <c r="O188" t="str">
        <f t="shared" si="13"/>
        <v/>
      </c>
    </row>
    <row r="189" spans="11:15" x14ac:dyDescent="0.3">
      <c r="K189" t="str">
        <f t="shared" si="14"/>
        <v/>
      </c>
      <c r="L189" t="str">
        <f t="shared" si="10"/>
        <v/>
      </c>
      <c r="M189" t="str">
        <f t="shared" si="11"/>
        <v/>
      </c>
      <c r="N189" t="str">
        <f t="shared" si="12"/>
        <v/>
      </c>
      <c r="O189" t="str">
        <f t="shared" si="13"/>
        <v/>
      </c>
    </row>
    <row r="190" spans="11:15" x14ac:dyDescent="0.3">
      <c r="K190" t="str">
        <f t="shared" si="14"/>
        <v/>
      </c>
      <c r="L190" t="str">
        <f t="shared" si="10"/>
        <v/>
      </c>
      <c r="M190" t="str">
        <f t="shared" si="11"/>
        <v/>
      </c>
      <c r="N190" t="str">
        <f t="shared" si="12"/>
        <v/>
      </c>
      <c r="O190" t="str">
        <f t="shared" si="13"/>
        <v/>
      </c>
    </row>
    <row r="191" spans="11:15" x14ac:dyDescent="0.3">
      <c r="K191" t="str">
        <f t="shared" si="14"/>
        <v/>
      </c>
      <c r="L191" t="str">
        <f t="shared" si="10"/>
        <v/>
      </c>
      <c r="M191" t="str">
        <f t="shared" si="11"/>
        <v/>
      </c>
      <c r="N191" t="str">
        <f t="shared" si="12"/>
        <v/>
      </c>
      <c r="O191" t="str">
        <f t="shared" si="13"/>
        <v/>
      </c>
    </row>
    <row r="192" spans="11:15" x14ac:dyDescent="0.3">
      <c r="K192" t="str">
        <f t="shared" si="14"/>
        <v/>
      </c>
      <c r="L192" t="str">
        <f t="shared" si="10"/>
        <v/>
      </c>
      <c r="M192" t="str">
        <f t="shared" si="11"/>
        <v/>
      </c>
      <c r="N192" t="str">
        <f t="shared" si="12"/>
        <v/>
      </c>
      <c r="O192" t="str">
        <f t="shared" si="13"/>
        <v/>
      </c>
    </row>
    <row r="193" spans="11:15" x14ac:dyDescent="0.3">
      <c r="K193" t="str">
        <f t="shared" si="14"/>
        <v/>
      </c>
      <c r="L193" t="str">
        <f t="shared" ref="L193:L256" si="15">IF(A193="","",IF(ISNUMBER(--LEFT(A193,FIND(" - ",A193&amp;" - ")-1)),LEFT(A193,FIND(" - ",A193&amp;" - ")-1),TRIM(A193)))</f>
        <v/>
      </c>
      <c r="M193" t="str">
        <f t="shared" ref="M193:M256" si="16">IF(OR(K193="",K193=A193,A193=""),"",K193&amp;"|"&amp;L193)</f>
        <v/>
      </c>
      <c r="N193" t="str">
        <f t="shared" ref="N193:N256" si="17">IF(M193="","",IF(ISNUMBER(B193),B193,IFERROR(_xlfn.NUMBERVALUE(B193,".",","),0)))</f>
        <v/>
      </c>
      <c r="O193" t="str">
        <f t="shared" ref="O193:O256" si="18">IF(M193="","",IF(ISNUMBER(C193),C193,IFERROR(_xlfn.NUMBERVALUE(C193,".",","),0)))</f>
        <v/>
      </c>
    </row>
    <row r="194" spans="11:15" x14ac:dyDescent="0.3">
      <c r="K194" t="str">
        <f t="shared" ref="K194:K257" si="19">IF(OR(LEFT(B194,9)="DOANH THU",LEFT(B194,8)="SỐ LƯỢNG"),A194,K193)</f>
        <v/>
      </c>
      <c r="L194" t="str">
        <f t="shared" si="15"/>
        <v/>
      </c>
      <c r="M194" t="str">
        <f t="shared" si="16"/>
        <v/>
      </c>
      <c r="N194" t="str">
        <f t="shared" si="17"/>
        <v/>
      </c>
      <c r="O194" t="str">
        <f t="shared" si="18"/>
        <v/>
      </c>
    </row>
    <row r="195" spans="11:15" x14ac:dyDescent="0.3">
      <c r="K195" t="str">
        <f t="shared" si="19"/>
        <v/>
      </c>
      <c r="L195" t="str">
        <f t="shared" si="15"/>
        <v/>
      </c>
      <c r="M195" t="str">
        <f t="shared" si="16"/>
        <v/>
      </c>
      <c r="N195" t="str">
        <f t="shared" si="17"/>
        <v/>
      </c>
      <c r="O195" t="str">
        <f t="shared" si="18"/>
        <v/>
      </c>
    </row>
    <row r="196" spans="11:15" x14ac:dyDescent="0.3">
      <c r="K196" t="str">
        <f t="shared" si="19"/>
        <v/>
      </c>
      <c r="L196" t="str">
        <f t="shared" si="15"/>
        <v/>
      </c>
      <c r="M196" t="str">
        <f t="shared" si="16"/>
        <v/>
      </c>
      <c r="N196" t="str">
        <f t="shared" si="17"/>
        <v/>
      </c>
      <c r="O196" t="str">
        <f t="shared" si="18"/>
        <v/>
      </c>
    </row>
    <row r="197" spans="11:15" x14ac:dyDescent="0.3">
      <c r="K197" t="str">
        <f t="shared" si="19"/>
        <v/>
      </c>
      <c r="L197" t="str">
        <f t="shared" si="15"/>
        <v/>
      </c>
      <c r="M197" t="str">
        <f t="shared" si="16"/>
        <v/>
      </c>
      <c r="N197" t="str">
        <f t="shared" si="17"/>
        <v/>
      </c>
      <c r="O197" t="str">
        <f t="shared" si="18"/>
        <v/>
      </c>
    </row>
    <row r="198" spans="11:15" x14ac:dyDescent="0.3">
      <c r="K198" t="str">
        <f t="shared" si="19"/>
        <v/>
      </c>
      <c r="L198" t="str">
        <f t="shared" si="15"/>
        <v/>
      </c>
      <c r="M198" t="str">
        <f t="shared" si="16"/>
        <v/>
      </c>
      <c r="N198" t="str">
        <f t="shared" si="17"/>
        <v/>
      </c>
      <c r="O198" t="str">
        <f t="shared" si="18"/>
        <v/>
      </c>
    </row>
    <row r="199" spans="11:15" x14ac:dyDescent="0.3">
      <c r="K199" t="str">
        <f t="shared" si="19"/>
        <v/>
      </c>
      <c r="L199" t="str">
        <f t="shared" si="15"/>
        <v/>
      </c>
      <c r="M199" t="str">
        <f t="shared" si="16"/>
        <v/>
      </c>
      <c r="N199" t="str">
        <f t="shared" si="17"/>
        <v/>
      </c>
      <c r="O199" t="str">
        <f t="shared" si="18"/>
        <v/>
      </c>
    </row>
    <row r="200" spans="11:15" x14ac:dyDescent="0.3">
      <c r="K200" t="str">
        <f t="shared" si="19"/>
        <v/>
      </c>
      <c r="L200" t="str">
        <f t="shared" si="15"/>
        <v/>
      </c>
      <c r="M200" t="str">
        <f t="shared" si="16"/>
        <v/>
      </c>
      <c r="N200" t="str">
        <f t="shared" si="17"/>
        <v/>
      </c>
      <c r="O200" t="str">
        <f t="shared" si="18"/>
        <v/>
      </c>
    </row>
    <row r="201" spans="11:15" x14ac:dyDescent="0.3">
      <c r="K201" t="str">
        <f t="shared" si="19"/>
        <v/>
      </c>
      <c r="L201" t="str">
        <f t="shared" si="15"/>
        <v/>
      </c>
      <c r="M201" t="str">
        <f t="shared" si="16"/>
        <v/>
      </c>
      <c r="N201" t="str">
        <f t="shared" si="17"/>
        <v/>
      </c>
      <c r="O201" t="str">
        <f t="shared" si="18"/>
        <v/>
      </c>
    </row>
    <row r="202" spans="11:15" x14ac:dyDescent="0.3">
      <c r="K202" t="str">
        <f t="shared" si="19"/>
        <v/>
      </c>
      <c r="L202" t="str">
        <f t="shared" si="15"/>
        <v/>
      </c>
      <c r="M202" t="str">
        <f t="shared" si="16"/>
        <v/>
      </c>
      <c r="N202" t="str">
        <f t="shared" si="17"/>
        <v/>
      </c>
      <c r="O202" t="str">
        <f t="shared" si="18"/>
        <v/>
      </c>
    </row>
    <row r="203" spans="11:15" x14ac:dyDescent="0.3">
      <c r="K203" t="str">
        <f t="shared" si="19"/>
        <v/>
      </c>
      <c r="L203" t="str">
        <f t="shared" si="15"/>
        <v/>
      </c>
      <c r="M203" t="str">
        <f t="shared" si="16"/>
        <v/>
      </c>
      <c r="N203" t="str">
        <f t="shared" si="17"/>
        <v/>
      </c>
      <c r="O203" t="str">
        <f t="shared" si="18"/>
        <v/>
      </c>
    </row>
    <row r="204" spans="11:15" x14ac:dyDescent="0.3">
      <c r="K204" t="str">
        <f t="shared" si="19"/>
        <v/>
      </c>
      <c r="L204" t="str">
        <f t="shared" si="15"/>
        <v/>
      </c>
      <c r="M204" t="str">
        <f t="shared" si="16"/>
        <v/>
      </c>
      <c r="N204" t="str">
        <f t="shared" si="17"/>
        <v/>
      </c>
      <c r="O204" t="str">
        <f t="shared" si="18"/>
        <v/>
      </c>
    </row>
    <row r="205" spans="11:15" x14ac:dyDescent="0.3">
      <c r="K205" t="str">
        <f t="shared" si="19"/>
        <v/>
      </c>
      <c r="L205" t="str">
        <f t="shared" si="15"/>
        <v/>
      </c>
      <c r="M205" t="str">
        <f t="shared" si="16"/>
        <v/>
      </c>
      <c r="N205" t="str">
        <f t="shared" si="17"/>
        <v/>
      </c>
      <c r="O205" t="str">
        <f t="shared" si="18"/>
        <v/>
      </c>
    </row>
    <row r="206" spans="11:15" x14ac:dyDescent="0.3">
      <c r="K206" t="str">
        <f t="shared" si="19"/>
        <v/>
      </c>
      <c r="L206" t="str">
        <f t="shared" si="15"/>
        <v/>
      </c>
      <c r="M206" t="str">
        <f t="shared" si="16"/>
        <v/>
      </c>
      <c r="N206" t="str">
        <f t="shared" si="17"/>
        <v/>
      </c>
      <c r="O206" t="str">
        <f t="shared" si="18"/>
        <v/>
      </c>
    </row>
    <row r="207" spans="11:15" x14ac:dyDescent="0.3">
      <c r="K207" t="str">
        <f t="shared" si="19"/>
        <v/>
      </c>
      <c r="L207" t="str">
        <f t="shared" si="15"/>
        <v/>
      </c>
      <c r="M207" t="str">
        <f t="shared" si="16"/>
        <v/>
      </c>
      <c r="N207" t="str">
        <f t="shared" si="17"/>
        <v/>
      </c>
      <c r="O207" t="str">
        <f t="shared" si="18"/>
        <v/>
      </c>
    </row>
    <row r="208" spans="11:15" x14ac:dyDescent="0.3">
      <c r="K208" t="str">
        <f t="shared" si="19"/>
        <v/>
      </c>
      <c r="L208" t="str">
        <f t="shared" si="15"/>
        <v/>
      </c>
      <c r="M208" t="str">
        <f t="shared" si="16"/>
        <v/>
      </c>
      <c r="N208" t="str">
        <f t="shared" si="17"/>
        <v/>
      </c>
      <c r="O208" t="str">
        <f t="shared" si="18"/>
        <v/>
      </c>
    </row>
    <row r="209" spans="11:15" x14ac:dyDescent="0.3">
      <c r="K209" t="str">
        <f t="shared" si="19"/>
        <v/>
      </c>
      <c r="L209" t="str">
        <f t="shared" si="15"/>
        <v/>
      </c>
      <c r="M209" t="str">
        <f t="shared" si="16"/>
        <v/>
      </c>
      <c r="N209" t="str">
        <f t="shared" si="17"/>
        <v/>
      </c>
      <c r="O209" t="str">
        <f t="shared" si="18"/>
        <v/>
      </c>
    </row>
    <row r="210" spans="11:15" x14ac:dyDescent="0.3">
      <c r="K210" t="str">
        <f t="shared" si="19"/>
        <v/>
      </c>
      <c r="L210" t="str">
        <f t="shared" si="15"/>
        <v/>
      </c>
      <c r="M210" t="str">
        <f t="shared" si="16"/>
        <v/>
      </c>
      <c r="N210" t="str">
        <f t="shared" si="17"/>
        <v/>
      </c>
      <c r="O210" t="str">
        <f t="shared" si="18"/>
        <v/>
      </c>
    </row>
    <row r="211" spans="11:15" x14ac:dyDescent="0.3">
      <c r="K211" t="str">
        <f t="shared" si="19"/>
        <v/>
      </c>
      <c r="L211" t="str">
        <f t="shared" si="15"/>
        <v/>
      </c>
      <c r="M211" t="str">
        <f t="shared" si="16"/>
        <v/>
      </c>
      <c r="N211" t="str">
        <f t="shared" si="17"/>
        <v/>
      </c>
      <c r="O211" t="str">
        <f t="shared" si="18"/>
        <v/>
      </c>
    </row>
    <row r="212" spans="11:15" x14ac:dyDescent="0.3">
      <c r="K212" t="str">
        <f t="shared" si="19"/>
        <v/>
      </c>
      <c r="L212" t="str">
        <f t="shared" si="15"/>
        <v/>
      </c>
      <c r="M212" t="str">
        <f t="shared" si="16"/>
        <v/>
      </c>
      <c r="N212" t="str">
        <f t="shared" si="17"/>
        <v/>
      </c>
      <c r="O212" t="str">
        <f t="shared" si="18"/>
        <v/>
      </c>
    </row>
    <row r="213" spans="11:15" x14ac:dyDescent="0.3">
      <c r="K213" t="str">
        <f t="shared" si="19"/>
        <v/>
      </c>
      <c r="L213" t="str">
        <f t="shared" si="15"/>
        <v/>
      </c>
      <c r="M213" t="str">
        <f t="shared" si="16"/>
        <v/>
      </c>
      <c r="N213" t="str">
        <f t="shared" si="17"/>
        <v/>
      </c>
      <c r="O213" t="str">
        <f t="shared" si="18"/>
        <v/>
      </c>
    </row>
    <row r="214" spans="11:15" x14ac:dyDescent="0.3">
      <c r="K214" t="str">
        <f t="shared" si="19"/>
        <v/>
      </c>
      <c r="L214" t="str">
        <f t="shared" si="15"/>
        <v/>
      </c>
      <c r="M214" t="str">
        <f t="shared" si="16"/>
        <v/>
      </c>
      <c r="N214" t="str">
        <f t="shared" si="17"/>
        <v/>
      </c>
      <c r="O214" t="str">
        <f t="shared" si="18"/>
        <v/>
      </c>
    </row>
    <row r="215" spans="11:15" x14ac:dyDescent="0.3">
      <c r="K215" t="str">
        <f t="shared" si="19"/>
        <v/>
      </c>
      <c r="L215" t="str">
        <f t="shared" si="15"/>
        <v/>
      </c>
      <c r="M215" t="str">
        <f t="shared" si="16"/>
        <v/>
      </c>
      <c r="N215" t="str">
        <f t="shared" si="17"/>
        <v/>
      </c>
      <c r="O215" t="str">
        <f t="shared" si="18"/>
        <v/>
      </c>
    </row>
    <row r="216" spans="11:15" x14ac:dyDescent="0.3">
      <c r="K216" t="str">
        <f t="shared" si="19"/>
        <v/>
      </c>
      <c r="L216" t="str">
        <f t="shared" si="15"/>
        <v/>
      </c>
      <c r="M216" t="str">
        <f t="shared" si="16"/>
        <v/>
      </c>
      <c r="N216" t="str">
        <f t="shared" si="17"/>
        <v/>
      </c>
      <c r="O216" t="str">
        <f t="shared" si="18"/>
        <v/>
      </c>
    </row>
    <row r="217" spans="11:15" x14ac:dyDescent="0.3">
      <c r="K217" t="str">
        <f t="shared" si="19"/>
        <v/>
      </c>
      <c r="L217" t="str">
        <f t="shared" si="15"/>
        <v/>
      </c>
      <c r="M217" t="str">
        <f t="shared" si="16"/>
        <v/>
      </c>
      <c r="N217" t="str">
        <f t="shared" si="17"/>
        <v/>
      </c>
      <c r="O217" t="str">
        <f t="shared" si="18"/>
        <v/>
      </c>
    </row>
    <row r="218" spans="11:15" x14ac:dyDescent="0.3">
      <c r="K218" t="str">
        <f t="shared" si="19"/>
        <v/>
      </c>
      <c r="L218" t="str">
        <f t="shared" si="15"/>
        <v/>
      </c>
      <c r="M218" t="str">
        <f t="shared" si="16"/>
        <v/>
      </c>
      <c r="N218" t="str">
        <f t="shared" si="17"/>
        <v/>
      </c>
      <c r="O218" t="str">
        <f t="shared" si="18"/>
        <v/>
      </c>
    </row>
    <row r="219" spans="11:15" x14ac:dyDescent="0.3">
      <c r="K219" t="str">
        <f t="shared" si="19"/>
        <v/>
      </c>
      <c r="L219" t="str">
        <f t="shared" si="15"/>
        <v/>
      </c>
      <c r="M219" t="str">
        <f t="shared" si="16"/>
        <v/>
      </c>
      <c r="N219" t="str">
        <f t="shared" si="17"/>
        <v/>
      </c>
      <c r="O219" t="str">
        <f t="shared" si="18"/>
        <v/>
      </c>
    </row>
    <row r="220" spans="11:15" x14ac:dyDescent="0.3">
      <c r="K220" t="str">
        <f t="shared" si="19"/>
        <v/>
      </c>
      <c r="L220" t="str">
        <f t="shared" si="15"/>
        <v/>
      </c>
      <c r="M220" t="str">
        <f t="shared" si="16"/>
        <v/>
      </c>
      <c r="N220" t="str">
        <f t="shared" si="17"/>
        <v/>
      </c>
      <c r="O220" t="str">
        <f t="shared" si="18"/>
        <v/>
      </c>
    </row>
    <row r="221" spans="11:15" x14ac:dyDescent="0.3">
      <c r="K221" t="str">
        <f t="shared" si="19"/>
        <v/>
      </c>
      <c r="L221" t="str">
        <f t="shared" si="15"/>
        <v/>
      </c>
      <c r="M221" t="str">
        <f t="shared" si="16"/>
        <v/>
      </c>
      <c r="N221" t="str">
        <f t="shared" si="17"/>
        <v/>
      </c>
      <c r="O221" t="str">
        <f t="shared" si="18"/>
        <v/>
      </c>
    </row>
    <row r="222" spans="11:15" x14ac:dyDescent="0.3">
      <c r="K222" t="str">
        <f t="shared" si="19"/>
        <v/>
      </c>
      <c r="L222" t="str">
        <f t="shared" si="15"/>
        <v/>
      </c>
      <c r="M222" t="str">
        <f t="shared" si="16"/>
        <v/>
      </c>
      <c r="N222" t="str">
        <f t="shared" si="17"/>
        <v/>
      </c>
      <c r="O222" t="str">
        <f t="shared" si="18"/>
        <v/>
      </c>
    </row>
    <row r="223" spans="11:15" x14ac:dyDescent="0.3">
      <c r="K223" t="str">
        <f t="shared" si="19"/>
        <v/>
      </c>
      <c r="L223" t="str">
        <f t="shared" si="15"/>
        <v/>
      </c>
      <c r="M223" t="str">
        <f t="shared" si="16"/>
        <v/>
      </c>
      <c r="N223" t="str">
        <f t="shared" si="17"/>
        <v/>
      </c>
      <c r="O223" t="str">
        <f t="shared" si="18"/>
        <v/>
      </c>
    </row>
    <row r="224" spans="11:15" x14ac:dyDescent="0.3">
      <c r="K224" t="str">
        <f t="shared" si="19"/>
        <v/>
      </c>
      <c r="L224" t="str">
        <f t="shared" si="15"/>
        <v/>
      </c>
      <c r="M224" t="str">
        <f t="shared" si="16"/>
        <v/>
      </c>
      <c r="N224" t="str">
        <f t="shared" si="17"/>
        <v/>
      </c>
      <c r="O224" t="str">
        <f t="shared" si="18"/>
        <v/>
      </c>
    </row>
    <row r="225" spans="11:15" x14ac:dyDescent="0.3">
      <c r="K225" t="str">
        <f t="shared" si="19"/>
        <v/>
      </c>
      <c r="L225" t="str">
        <f t="shared" si="15"/>
        <v/>
      </c>
      <c r="M225" t="str">
        <f t="shared" si="16"/>
        <v/>
      </c>
      <c r="N225" t="str">
        <f t="shared" si="17"/>
        <v/>
      </c>
      <c r="O225" t="str">
        <f t="shared" si="18"/>
        <v/>
      </c>
    </row>
    <row r="226" spans="11:15" x14ac:dyDescent="0.3">
      <c r="K226" t="str">
        <f t="shared" si="19"/>
        <v/>
      </c>
      <c r="L226" t="str">
        <f t="shared" si="15"/>
        <v/>
      </c>
      <c r="M226" t="str">
        <f t="shared" si="16"/>
        <v/>
      </c>
      <c r="N226" t="str">
        <f t="shared" si="17"/>
        <v/>
      </c>
      <c r="O226" t="str">
        <f t="shared" si="18"/>
        <v/>
      </c>
    </row>
    <row r="227" spans="11:15" x14ac:dyDescent="0.3">
      <c r="K227" t="str">
        <f t="shared" si="19"/>
        <v/>
      </c>
      <c r="L227" t="str">
        <f t="shared" si="15"/>
        <v/>
      </c>
      <c r="M227" t="str">
        <f t="shared" si="16"/>
        <v/>
      </c>
      <c r="N227" t="str">
        <f t="shared" si="17"/>
        <v/>
      </c>
      <c r="O227" t="str">
        <f t="shared" si="18"/>
        <v/>
      </c>
    </row>
    <row r="228" spans="11:15" x14ac:dyDescent="0.3">
      <c r="K228" t="str">
        <f t="shared" si="19"/>
        <v/>
      </c>
      <c r="L228" t="str">
        <f t="shared" si="15"/>
        <v/>
      </c>
      <c r="M228" t="str">
        <f t="shared" si="16"/>
        <v/>
      </c>
      <c r="N228" t="str">
        <f t="shared" si="17"/>
        <v/>
      </c>
      <c r="O228" t="str">
        <f t="shared" si="18"/>
        <v/>
      </c>
    </row>
    <row r="229" spans="11:15" x14ac:dyDescent="0.3">
      <c r="K229" t="str">
        <f t="shared" si="19"/>
        <v/>
      </c>
      <c r="L229" t="str">
        <f t="shared" si="15"/>
        <v/>
      </c>
      <c r="M229" t="str">
        <f t="shared" si="16"/>
        <v/>
      </c>
      <c r="N229" t="str">
        <f t="shared" si="17"/>
        <v/>
      </c>
      <c r="O229" t="str">
        <f t="shared" si="18"/>
        <v/>
      </c>
    </row>
    <row r="230" spans="11:15" x14ac:dyDescent="0.3">
      <c r="K230" t="str">
        <f t="shared" si="19"/>
        <v/>
      </c>
      <c r="L230" t="str">
        <f t="shared" si="15"/>
        <v/>
      </c>
      <c r="M230" t="str">
        <f t="shared" si="16"/>
        <v/>
      </c>
      <c r="N230" t="str">
        <f t="shared" si="17"/>
        <v/>
      </c>
      <c r="O230" t="str">
        <f t="shared" si="18"/>
        <v/>
      </c>
    </row>
    <row r="231" spans="11:15" x14ac:dyDescent="0.3">
      <c r="K231" t="str">
        <f t="shared" si="19"/>
        <v/>
      </c>
      <c r="L231" t="str">
        <f t="shared" si="15"/>
        <v/>
      </c>
      <c r="M231" t="str">
        <f t="shared" si="16"/>
        <v/>
      </c>
      <c r="N231" t="str">
        <f t="shared" si="17"/>
        <v/>
      </c>
      <c r="O231" t="str">
        <f t="shared" si="18"/>
        <v/>
      </c>
    </row>
    <row r="232" spans="11:15" x14ac:dyDescent="0.3">
      <c r="K232" t="str">
        <f t="shared" si="19"/>
        <v/>
      </c>
      <c r="L232" t="str">
        <f t="shared" si="15"/>
        <v/>
      </c>
      <c r="M232" t="str">
        <f t="shared" si="16"/>
        <v/>
      </c>
      <c r="N232" t="str">
        <f t="shared" si="17"/>
        <v/>
      </c>
      <c r="O232" t="str">
        <f t="shared" si="18"/>
        <v/>
      </c>
    </row>
    <row r="233" spans="11:15" x14ac:dyDescent="0.3">
      <c r="K233" t="str">
        <f t="shared" si="19"/>
        <v/>
      </c>
      <c r="L233" t="str">
        <f t="shared" si="15"/>
        <v/>
      </c>
      <c r="M233" t="str">
        <f t="shared" si="16"/>
        <v/>
      </c>
      <c r="N233" t="str">
        <f t="shared" si="17"/>
        <v/>
      </c>
      <c r="O233" t="str">
        <f t="shared" si="18"/>
        <v/>
      </c>
    </row>
    <row r="234" spans="11:15" x14ac:dyDescent="0.3">
      <c r="K234" t="str">
        <f t="shared" si="19"/>
        <v/>
      </c>
      <c r="L234" t="str">
        <f t="shared" si="15"/>
        <v/>
      </c>
      <c r="M234" t="str">
        <f t="shared" si="16"/>
        <v/>
      </c>
      <c r="N234" t="str">
        <f t="shared" si="17"/>
        <v/>
      </c>
      <c r="O234" t="str">
        <f t="shared" si="18"/>
        <v/>
      </c>
    </row>
    <row r="235" spans="11:15" x14ac:dyDescent="0.3">
      <c r="K235" t="str">
        <f t="shared" si="19"/>
        <v/>
      </c>
      <c r="L235" t="str">
        <f t="shared" si="15"/>
        <v/>
      </c>
      <c r="M235" t="str">
        <f t="shared" si="16"/>
        <v/>
      </c>
      <c r="N235" t="str">
        <f t="shared" si="17"/>
        <v/>
      </c>
      <c r="O235" t="str">
        <f t="shared" si="18"/>
        <v/>
      </c>
    </row>
    <row r="236" spans="11:15" x14ac:dyDescent="0.3">
      <c r="K236" t="str">
        <f t="shared" si="19"/>
        <v/>
      </c>
      <c r="L236" t="str">
        <f t="shared" si="15"/>
        <v/>
      </c>
      <c r="M236" t="str">
        <f t="shared" si="16"/>
        <v/>
      </c>
      <c r="N236" t="str">
        <f t="shared" si="17"/>
        <v/>
      </c>
      <c r="O236" t="str">
        <f t="shared" si="18"/>
        <v/>
      </c>
    </row>
    <row r="237" spans="11:15" x14ac:dyDescent="0.3">
      <c r="K237" t="str">
        <f t="shared" si="19"/>
        <v/>
      </c>
      <c r="L237" t="str">
        <f t="shared" si="15"/>
        <v/>
      </c>
      <c r="M237" t="str">
        <f t="shared" si="16"/>
        <v/>
      </c>
      <c r="N237" t="str">
        <f t="shared" si="17"/>
        <v/>
      </c>
      <c r="O237" t="str">
        <f t="shared" si="18"/>
        <v/>
      </c>
    </row>
    <row r="238" spans="11:15" x14ac:dyDescent="0.3">
      <c r="K238" t="str">
        <f t="shared" si="19"/>
        <v/>
      </c>
      <c r="L238" t="str">
        <f t="shared" si="15"/>
        <v/>
      </c>
      <c r="M238" t="str">
        <f t="shared" si="16"/>
        <v/>
      </c>
      <c r="N238" t="str">
        <f t="shared" si="17"/>
        <v/>
      </c>
      <c r="O238" t="str">
        <f t="shared" si="18"/>
        <v/>
      </c>
    </row>
    <row r="239" spans="11:15" x14ac:dyDescent="0.3">
      <c r="K239" t="str">
        <f t="shared" si="19"/>
        <v/>
      </c>
      <c r="L239" t="str">
        <f t="shared" si="15"/>
        <v/>
      </c>
      <c r="M239" t="str">
        <f t="shared" si="16"/>
        <v/>
      </c>
      <c r="N239" t="str">
        <f t="shared" si="17"/>
        <v/>
      </c>
      <c r="O239" t="str">
        <f t="shared" si="18"/>
        <v/>
      </c>
    </row>
    <row r="240" spans="11:15" x14ac:dyDescent="0.3">
      <c r="K240" t="str">
        <f t="shared" si="19"/>
        <v/>
      </c>
      <c r="L240" t="str">
        <f t="shared" si="15"/>
        <v/>
      </c>
      <c r="M240" t="str">
        <f t="shared" si="16"/>
        <v/>
      </c>
      <c r="N240" t="str">
        <f t="shared" si="17"/>
        <v/>
      </c>
      <c r="O240" t="str">
        <f t="shared" si="18"/>
        <v/>
      </c>
    </row>
    <row r="241" spans="11:15" x14ac:dyDescent="0.3">
      <c r="K241" t="str">
        <f t="shared" si="19"/>
        <v/>
      </c>
      <c r="L241" t="str">
        <f t="shared" si="15"/>
        <v/>
      </c>
      <c r="M241" t="str">
        <f t="shared" si="16"/>
        <v/>
      </c>
      <c r="N241" t="str">
        <f t="shared" si="17"/>
        <v/>
      </c>
      <c r="O241" t="str">
        <f t="shared" si="18"/>
        <v/>
      </c>
    </row>
    <row r="242" spans="11:15" x14ac:dyDescent="0.3">
      <c r="K242" t="str">
        <f t="shared" si="19"/>
        <v/>
      </c>
      <c r="L242" t="str">
        <f t="shared" si="15"/>
        <v/>
      </c>
      <c r="M242" t="str">
        <f t="shared" si="16"/>
        <v/>
      </c>
      <c r="N242" t="str">
        <f t="shared" si="17"/>
        <v/>
      </c>
      <c r="O242" t="str">
        <f t="shared" si="18"/>
        <v/>
      </c>
    </row>
    <row r="243" spans="11:15" x14ac:dyDescent="0.3">
      <c r="K243" t="str">
        <f t="shared" si="19"/>
        <v/>
      </c>
      <c r="L243" t="str">
        <f t="shared" si="15"/>
        <v/>
      </c>
      <c r="M243" t="str">
        <f t="shared" si="16"/>
        <v/>
      </c>
      <c r="N243" t="str">
        <f t="shared" si="17"/>
        <v/>
      </c>
      <c r="O243" t="str">
        <f t="shared" si="18"/>
        <v/>
      </c>
    </row>
    <row r="244" spans="11:15" x14ac:dyDescent="0.3">
      <c r="K244" t="str">
        <f t="shared" si="19"/>
        <v/>
      </c>
      <c r="L244" t="str">
        <f t="shared" si="15"/>
        <v/>
      </c>
      <c r="M244" t="str">
        <f t="shared" si="16"/>
        <v/>
      </c>
      <c r="N244" t="str">
        <f t="shared" si="17"/>
        <v/>
      </c>
      <c r="O244" t="str">
        <f t="shared" si="18"/>
        <v/>
      </c>
    </row>
    <row r="245" spans="11:15" x14ac:dyDescent="0.3">
      <c r="K245" t="str">
        <f t="shared" si="19"/>
        <v/>
      </c>
      <c r="L245" t="str">
        <f t="shared" si="15"/>
        <v/>
      </c>
      <c r="M245" t="str">
        <f t="shared" si="16"/>
        <v/>
      </c>
      <c r="N245" t="str">
        <f t="shared" si="17"/>
        <v/>
      </c>
      <c r="O245" t="str">
        <f t="shared" si="18"/>
        <v/>
      </c>
    </row>
    <row r="246" spans="11:15" x14ac:dyDescent="0.3">
      <c r="K246" t="str">
        <f t="shared" si="19"/>
        <v/>
      </c>
      <c r="L246" t="str">
        <f t="shared" si="15"/>
        <v/>
      </c>
      <c r="M246" t="str">
        <f t="shared" si="16"/>
        <v/>
      </c>
      <c r="N246" t="str">
        <f t="shared" si="17"/>
        <v/>
      </c>
      <c r="O246" t="str">
        <f t="shared" si="18"/>
        <v/>
      </c>
    </row>
    <row r="247" spans="11:15" x14ac:dyDescent="0.3">
      <c r="K247" t="str">
        <f t="shared" si="19"/>
        <v/>
      </c>
      <c r="L247" t="str">
        <f t="shared" si="15"/>
        <v/>
      </c>
      <c r="M247" t="str">
        <f t="shared" si="16"/>
        <v/>
      </c>
      <c r="N247" t="str">
        <f t="shared" si="17"/>
        <v/>
      </c>
      <c r="O247" t="str">
        <f t="shared" si="18"/>
        <v/>
      </c>
    </row>
    <row r="248" spans="11:15" x14ac:dyDescent="0.3">
      <c r="K248" t="str">
        <f t="shared" si="19"/>
        <v/>
      </c>
      <c r="L248" t="str">
        <f t="shared" si="15"/>
        <v/>
      </c>
      <c r="M248" t="str">
        <f t="shared" si="16"/>
        <v/>
      </c>
      <c r="N248" t="str">
        <f t="shared" si="17"/>
        <v/>
      </c>
      <c r="O248" t="str">
        <f t="shared" si="18"/>
        <v/>
      </c>
    </row>
    <row r="249" spans="11:15" x14ac:dyDescent="0.3">
      <c r="K249" t="str">
        <f t="shared" si="19"/>
        <v/>
      </c>
      <c r="L249" t="str">
        <f t="shared" si="15"/>
        <v/>
      </c>
      <c r="M249" t="str">
        <f t="shared" si="16"/>
        <v/>
      </c>
      <c r="N249" t="str">
        <f t="shared" si="17"/>
        <v/>
      </c>
      <c r="O249" t="str">
        <f t="shared" si="18"/>
        <v/>
      </c>
    </row>
    <row r="250" spans="11:15" x14ac:dyDescent="0.3">
      <c r="K250" t="str">
        <f t="shared" si="19"/>
        <v/>
      </c>
      <c r="L250" t="str">
        <f t="shared" si="15"/>
        <v/>
      </c>
      <c r="M250" t="str">
        <f t="shared" si="16"/>
        <v/>
      </c>
      <c r="N250" t="str">
        <f t="shared" si="17"/>
        <v/>
      </c>
      <c r="O250" t="str">
        <f t="shared" si="18"/>
        <v/>
      </c>
    </row>
    <row r="251" spans="11:15" x14ac:dyDescent="0.3">
      <c r="K251" t="str">
        <f t="shared" si="19"/>
        <v/>
      </c>
      <c r="L251" t="str">
        <f t="shared" si="15"/>
        <v/>
      </c>
      <c r="M251" t="str">
        <f t="shared" si="16"/>
        <v/>
      </c>
      <c r="N251" t="str">
        <f t="shared" si="17"/>
        <v/>
      </c>
      <c r="O251" t="str">
        <f t="shared" si="18"/>
        <v/>
      </c>
    </row>
    <row r="252" spans="11:15" x14ac:dyDescent="0.3">
      <c r="K252" t="str">
        <f t="shared" si="19"/>
        <v/>
      </c>
      <c r="L252" t="str">
        <f t="shared" si="15"/>
        <v/>
      </c>
      <c r="M252" t="str">
        <f t="shared" si="16"/>
        <v/>
      </c>
      <c r="N252" t="str">
        <f t="shared" si="17"/>
        <v/>
      </c>
      <c r="O252" t="str">
        <f t="shared" si="18"/>
        <v/>
      </c>
    </row>
    <row r="253" spans="11:15" x14ac:dyDescent="0.3">
      <c r="K253" t="str">
        <f t="shared" si="19"/>
        <v/>
      </c>
      <c r="L253" t="str">
        <f t="shared" si="15"/>
        <v/>
      </c>
      <c r="M253" t="str">
        <f t="shared" si="16"/>
        <v/>
      </c>
      <c r="N253" t="str">
        <f t="shared" si="17"/>
        <v/>
      </c>
      <c r="O253" t="str">
        <f t="shared" si="18"/>
        <v/>
      </c>
    </row>
    <row r="254" spans="11:15" x14ac:dyDescent="0.3">
      <c r="K254" t="str">
        <f t="shared" si="19"/>
        <v/>
      </c>
      <c r="L254" t="str">
        <f t="shared" si="15"/>
        <v/>
      </c>
      <c r="M254" t="str">
        <f t="shared" si="16"/>
        <v/>
      </c>
      <c r="N254" t="str">
        <f t="shared" si="17"/>
        <v/>
      </c>
      <c r="O254" t="str">
        <f t="shared" si="18"/>
        <v/>
      </c>
    </row>
    <row r="255" spans="11:15" x14ac:dyDescent="0.3">
      <c r="K255" t="str">
        <f t="shared" si="19"/>
        <v/>
      </c>
      <c r="L255" t="str">
        <f t="shared" si="15"/>
        <v/>
      </c>
      <c r="M255" t="str">
        <f t="shared" si="16"/>
        <v/>
      </c>
      <c r="N255" t="str">
        <f t="shared" si="17"/>
        <v/>
      </c>
      <c r="O255" t="str">
        <f t="shared" si="18"/>
        <v/>
      </c>
    </row>
    <row r="256" spans="11:15" x14ac:dyDescent="0.3">
      <c r="K256" t="str">
        <f t="shared" si="19"/>
        <v/>
      </c>
      <c r="L256" t="str">
        <f t="shared" si="15"/>
        <v/>
      </c>
      <c r="M256" t="str">
        <f t="shared" si="16"/>
        <v/>
      </c>
      <c r="N256" t="str">
        <f t="shared" si="17"/>
        <v/>
      </c>
      <c r="O256" t="str">
        <f t="shared" si="18"/>
        <v/>
      </c>
    </row>
    <row r="257" spans="11:15" x14ac:dyDescent="0.3">
      <c r="K257" t="str">
        <f t="shared" si="19"/>
        <v/>
      </c>
      <c r="L257" t="str">
        <f t="shared" ref="L257:L320" si="20">IF(A257="","",IF(ISNUMBER(--LEFT(A257,FIND(" - ",A257&amp;" - ")-1)),LEFT(A257,FIND(" - ",A257&amp;" - ")-1),TRIM(A257)))</f>
        <v/>
      </c>
      <c r="M257" t="str">
        <f t="shared" ref="M257:M320" si="21">IF(OR(K257="",K257=A257,A257=""),"",K257&amp;"|"&amp;L257)</f>
        <v/>
      </c>
      <c r="N257" t="str">
        <f t="shared" ref="N257:N320" si="22">IF(M257="","",IF(ISNUMBER(B257),B257,IFERROR(_xlfn.NUMBERVALUE(B257,".",","),0)))</f>
        <v/>
      </c>
      <c r="O257" t="str">
        <f t="shared" ref="O257:O320" si="23">IF(M257="","",IF(ISNUMBER(C257),C257,IFERROR(_xlfn.NUMBERVALUE(C257,".",","),0)))</f>
        <v/>
      </c>
    </row>
    <row r="258" spans="11:15" x14ac:dyDescent="0.3">
      <c r="K258" t="str">
        <f t="shared" ref="K258:K321" si="24">IF(OR(LEFT(B258,9)="DOANH THU",LEFT(B258,8)="SỐ LƯỢNG"),A258,K257)</f>
        <v/>
      </c>
      <c r="L258" t="str">
        <f t="shared" si="20"/>
        <v/>
      </c>
      <c r="M258" t="str">
        <f t="shared" si="21"/>
        <v/>
      </c>
      <c r="N258" t="str">
        <f t="shared" si="22"/>
        <v/>
      </c>
      <c r="O258" t="str">
        <f t="shared" si="23"/>
        <v/>
      </c>
    </row>
    <row r="259" spans="11:15" x14ac:dyDescent="0.3">
      <c r="K259" t="str">
        <f t="shared" si="24"/>
        <v/>
      </c>
      <c r="L259" t="str">
        <f t="shared" si="20"/>
        <v/>
      </c>
      <c r="M259" t="str">
        <f t="shared" si="21"/>
        <v/>
      </c>
      <c r="N259" t="str">
        <f t="shared" si="22"/>
        <v/>
      </c>
      <c r="O259" t="str">
        <f t="shared" si="23"/>
        <v/>
      </c>
    </row>
    <row r="260" spans="11:15" x14ac:dyDescent="0.3">
      <c r="K260" t="str">
        <f t="shared" si="24"/>
        <v/>
      </c>
      <c r="L260" t="str">
        <f t="shared" si="20"/>
        <v/>
      </c>
      <c r="M260" t="str">
        <f t="shared" si="21"/>
        <v/>
      </c>
      <c r="N260" t="str">
        <f t="shared" si="22"/>
        <v/>
      </c>
      <c r="O260" t="str">
        <f t="shared" si="23"/>
        <v/>
      </c>
    </row>
    <row r="261" spans="11:15" x14ac:dyDescent="0.3">
      <c r="K261" t="str">
        <f t="shared" si="24"/>
        <v/>
      </c>
      <c r="L261" t="str">
        <f t="shared" si="20"/>
        <v/>
      </c>
      <c r="M261" t="str">
        <f t="shared" si="21"/>
        <v/>
      </c>
      <c r="N261" t="str">
        <f t="shared" si="22"/>
        <v/>
      </c>
      <c r="O261" t="str">
        <f t="shared" si="23"/>
        <v/>
      </c>
    </row>
    <row r="262" spans="11:15" x14ac:dyDescent="0.3">
      <c r="K262" t="str">
        <f t="shared" si="24"/>
        <v/>
      </c>
      <c r="L262" t="str">
        <f t="shared" si="20"/>
        <v/>
      </c>
      <c r="M262" t="str">
        <f t="shared" si="21"/>
        <v/>
      </c>
      <c r="N262" t="str">
        <f t="shared" si="22"/>
        <v/>
      </c>
      <c r="O262" t="str">
        <f t="shared" si="23"/>
        <v/>
      </c>
    </row>
    <row r="263" spans="11:15" x14ac:dyDescent="0.3">
      <c r="K263" t="str">
        <f t="shared" si="24"/>
        <v/>
      </c>
      <c r="L263" t="str">
        <f t="shared" si="20"/>
        <v/>
      </c>
      <c r="M263" t="str">
        <f t="shared" si="21"/>
        <v/>
      </c>
      <c r="N263" t="str">
        <f t="shared" si="22"/>
        <v/>
      </c>
      <c r="O263" t="str">
        <f t="shared" si="23"/>
        <v/>
      </c>
    </row>
    <row r="264" spans="11:15" x14ac:dyDescent="0.3">
      <c r="K264" t="str">
        <f t="shared" si="24"/>
        <v/>
      </c>
      <c r="L264" t="str">
        <f t="shared" si="20"/>
        <v/>
      </c>
      <c r="M264" t="str">
        <f t="shared" si="21"/>
        <v/>
      </c>
      <c r="N264" t="str">
        <f t="shared" si="22"/>
        <v/>
      </c>
      <c r="O264" t="str">
        <f t="shared" si="23"/>
        <v/>
      </c>
    </row>
    <row r="265" spans="11:15" x14ac:dyDescent="0.3">
      <c r="K265" t="str">
        <f t="shared" si="24"/>
        <v/>
      </c>
      <c r="L265" t="str">
        <f t="shared" si="20"/>
        <v/>
      </c>
      <c r="M265" t="str">
        <f t="shared" si="21"/>
        <v/>
      </c>
      <c r="N265" t="str">
        <f t="shared" si="22"/>
        <v/>
      </c>
      <c r="O265" t="str">
        <f t="shared" si="23"/>
        <v/>
      </c>
    </row>
    <row r="266" spans="11:15" x14ac:dyDescent="0.3">
      <c r="K266" t="str">
        <f t="shared" si="24"/>
        <v/>
      </c>
      <c r="L266" t="str">
        <f t="shared" si="20"/>
        <v/>
      </c>
      <c r="M266" t="str">
        <f t="shared" si="21"/>
        <v/>
      </c>
      <c r="N266" t="str">
        <f t="shared" si="22"/>
        <v/>
      </c>
      <c r="O266" t="str">
        <f t="shared" si="23"/>
        <v/>
      </c>
    </row>
    <row r="267" spans="11:15" x14ac:dyDescent="0.3">
      <c r="K267" t="str">
        <f t="shared" si="24"/>
        <v/>
      </c>
      <c r="L267" t="str">
        <f t="shared" si="20"/>
        <v/>
      </c>
      <c r="M267" t="str">
        <f t="shared" si="21"/>
        <v/>
      </c>
      <c r="N267" t="str">
        <f t="shared" si="22"/>
        <v/>
      </c>
      <c r="O267" t="str">
        <f t="shared" si="23"/>
        <v/>
      </c>
    </row>
    <row r="268" spans="11:15" x14ac:dyDescent="0.3">
      <c r="K268" t="str">
        <f t="shared" si="24"/>
        <v/>
      </c>
      <c r="L268" t="str">
        <f t="shared" si="20"/>
        <v/>
      </c>
      <c r="M268" t="str">
        <f t="shared" si="21"/>
        <v/>
      </c>
      <c r="N268" t="str">
        <f t="shared" si="22"/>
        <v/>
      </c>
      <c r="O268" t="str">
        <f t="shared" si="23"/>
        <v/>
      </c>
    </row>
    <row r="269" spans="11:15" x14ac:dyDescent="0.3">
      <c r="K269" t="str">
        <f t="shared" si="24"/>
        <v/>
      </c>
      <c r="L269" t="str">
        <f t="shared" si="20"/>
        <v/>
      </c>
      <c r="M269" t="str">
        <f t="shared" si="21"/>
        <v/>
      </c>
      <c r="N269" t="str">
        <f t="shared" si="22"/>
        <v/>
      </c>
      <c r="O269" t="str">
        <f t="shared" si="23"/>
        <v/>
      </c>
    </row>
    <row r="270" spans="11:15" x14ac:dyDescent="0.3">
      <c r="K270" t="str">
        <f t="shared" si="24"/>
        <v/>
      </c>
      <c r="L270" t="str">
        <f t="shared" si="20"/>
        <v/>
      </c>
      <c r="M270" t="str">
        <f t="shared" si="21"/>
        <v/>
      </c>
      <c r="N270" t="str">
        <f t="shared" si="22"/>
        <v/>
      </c>
      <c r="O270" t="str">
        <f t="shared" si="23"/>
        <v/>
      </c>
    </row>
    <row r="271" spans="11:15" x14ac:dyDescent="0.3">
      <c r="K271" t="str">
        <f t="shared" si="24"/>
        <v/>
      </c>
      <c r="L271" t="str">
        <f t="shared" si="20"/>
        <v/>
      </c>
      <c r="M271" t="str">
        <f t="shared" si="21"/>
        <v/>
      </c>
      <c r="N271" t="str">
        <f t="shared" si="22"/>
        <v/>
      </c>
      <c r="O271" t="str">
        <f t="shared" si="23"/>
        <v/>
      </c>
    </row>
    <row r="272" spans="11:15" x14ac:dyDescent="0.3">
      <c r="K272" t="str">
        <f t="shared" si="24"/>
        <v/>
      </c>
      <c r="L272" t="str">
        <f t="shared" si="20"/>
        <v/>
      </c>
      <c r="M272" t="str">
        <f t="shared" si="21"/>
        <v/>
      </c>
      <c r="N272" t="str">
        <f t="shared" si="22"/>
        <v/>
      </c>
      <c r="O272" t="str">
        <f t="shared" si="23"/>
        <v/>
      </c>
    </row>
    <row r="273" spans="11:15" x14ac:dyDescent="0.3">
      <c r="K273" t="str">
        <f t="shared" si="24"/>
        <v/>
      </c>
      <c r="L273" t="str">
        <f t="shared" si="20"/>
        <v/>
      </c>
      <c r="M273" t="str">
        <f t="shared" si="21"/>
        <v/>
      </c>
      <c r="N273" t="str">
        <f t="shared" si="22"/>
        <v/>
      </c>
      <c r="O273" t="str">
        <f t="shared" si="23"/>
        <v/>
      </c>
    </row>
    <row r="274" spans="11:15" x14ac:dyDescent="0.3">
      <c r="K274" t="str">
        <f t="shared" si="24"/>
        <v/>
      </c>
      <c r="L274" t="str">
        <f t="shared" si="20"/>
        <v/>
      </c>
      <c r="M274" t="str">
        <f t="shared" si="21"/>
        <v/>
      </c>
      <c r="N274" t="str">
        <f t="shared" si="22"/>
        <v/>
      </c>
      <c r="O274" t="str">
        <f t="shared" si="23"/>
        <v/>
      </c>
    </row>
    <row r="275" spans="11:15" x14ac:dyDescent="0.3">
      <c r="K275" t="str">
        <f t="shared" si="24"/>
        <v/>
      </c>
      <c r="L275" t="str">
        <f t="shared" si="20"/>
        <v/>
      </c>
      <c r="M275" t="str">
        <f t="shared" si="21"/>
        <v/>
      </c>
      <c r="N275" t="str">
        <f t="shared" si="22"/>
        <v/>
      </c>
      <c r="O275" t="str">
        <f t="shared" si="23"/>
        <v/>
      </c>
    </row>
    <row r="276" spans="11:15" x14ac:dyDescent="0.3">
      <c r="K276" t="str">
        <f t="shared" si="24"/>
        <v/>
      </c>
      <c r="L276" t="str">
        <f t="shared" si="20"/>
        <v/>
      </c>
      <c r="M276" t="str">
        <f t="shared" si="21"/>
        <v/>
      </c>
      <c r="N276" t="str">
        <f t="shared" si="22"/>
        <v/>
      </c>
      <c r="O276" t="str">
        <f t="shared" si="23"/>
        <v/>
      </c>
    </row>
    <row r="277" spans="11:15" x14ac:dyDescent="0.3">
      <c r="K277" t="str">
        <f t="shared" si="24"/>
        <v/>
      </c>
      <c r="L277" t="str">
        <f t="shared" si="20"/>
        <v/>
      </c>
      <c r="M277" t="str">
        <f t="shared" si="21"/>
        <v/>
      </c>
      <c r="N277" t="str">
        <f t="shared" si="22"/>
        <v/>
      </c>
      <c r="O277" t="str">
        <f t="shared" si="23"/>
        <v/>
      </c>
    </row>
    <row r="278" spans="11:15" x14ac:dyDescent="0.3">
      <c r="K278" t="str">
        <f t="shared" si="24"/>
        <v/>
      </c>
      <c r="L278" t="str">
        <f t="shared" si="20"/>
        <v/>
      </c>
      <c r="M278" t="str">
        <f t="shared" si="21"/>
        <v/>
      </c>
      <c r="N278" t="str">
        <f t="shared" si="22"/>
        <v/>
      </c>
      <c r="O278" t="str">
        <f t="shared" si="23"/>
        <v/>
      </c>
    </row>
    <row r="279" spans="11:15" x14ac:dyDescent="0.3">
      <c r="K279" t="str">
        <f t="shared" si="24"/>
        <v/>
      </c>
      <c r="L279" t="str">
        <f t="shared" si="20"/>
        <v/>
      </c>
      <c r="M279" t="str">
        <f t="shared" si="21"/>
        <v/>
      </c>
      <c r="N279" t="str">
        <f t="shared" si="22"/>
        <v/>
      </c>
      <c r="O279" t="str">
        <f t="shared" si="23"/>
        <v/>
      </c>
    </row>
    <row r="280" spans="11:15" x14ac:dyDescent="0.3">
      <c r="K280" t="str">
        <f t="shared" si="24"/>
        <v/>
      </c>
      <c r="L280" t="str">
        <f t="shared" si="20"/>
        <v/>
      </c>
      <c r="M280" t="str">
        <f t="shared" si="21"/>
        <v/>
      </c>
      <c r="N280" t="str">
        <f t="shared" si="22"/>
        <v/>
      </c>
      <c r="O280" t="str">
        <f t="shared" si="23"/>
        <v/>
      </c>
    </row>
    <row r="281" spans="11:15" x14ac:dyDescent="0.3">
      <c r="K281" t="str">
        <f t="shared" si="24"/>
        <v/>
      </c>
      <c r="L281" t="str">
        <f t="shared" si="20"/>
        <v/>
      </c>
      <c r="M281" t="str">
        <f t="shared" si="21"/>
        <v/>
      </c>
      <c r="N281" t="str">
        <f t="shared" si="22"/>
        <v/>
      </c>
      <c r="O281" t="str">
        <f t="shared" si="23"/>
        <v/>
      </c>
    </row>
    <row r="282" spans="11:15" x14ac:dyDescent="0.3">
      <c r="K282" t="str">
        <f t="shared" si="24"/>
        <v/>
      </c>
      <c r="L282" t="str">
        <f t="shared" si="20"/>
        <v/>
      </c>
      <c r="M282" t="str">
        <f t="shared" si="21"/>
        <v/>
      </c>
      <c r="N282" t="str">
        <f t="shared" si="22"/>
        <v/>
      </c>
      <c r="O282" t="str">
        <f t="shared" si="23"/>
        <v/>
      </c>
    </row>
    <row r="283" spans="11:15" x14ac:dyDescent="0.3">
      <c r="K283" t="str">
        <f t="shared" si="24"/>
        <v/>
      </c>
      <c r="L283" t="str">
        <f t="shared" si="20"/>
        <v/>
      </c>
      <c r="M283" t="str">
        <f t="shared" si="21"/>
        <v/>
      </c>
      <c r="N283" t="str">
        <f t="shared" si="22"/>
        <v/>
      </c>
      <c r="O283" t="str">
        <f t="shared" si="23"/>
        <v/>
      </c>
    </row>
    <row r="284" spans="11:15" x14ac:dyDescent="0.3">
      <c r="K284" t="str">
        <f t="shared" si="24"/>
        <v/>
      </c>
      <c r="L284" t="str">
        <f t="shared" si="20"/>
        <v/>
      </c>
      <c r="M284" t="str">
        <f t="shared" si="21"/>
        <v/>
      </c>
      <c r="N284" t="str">
        <f t="shared" si="22"/>
        <v/>
      </c>
      <c r="O284" t="str">
        <f t="shared" si="23"/>
        <v/>
      </c>
    </row>
    <row r="285" spans="11:15" x14ac:dyDescent="0.3">
      <c r="K285" t="str">
        <f t="shared" si="24"/>
        <v/>
      </c>
      <c r="L285" t="str">
        <f t="shared" si="20"/>
        <v/>
      </c>
      <c r="M285" t="str">
        <f t="shared" si="21"/>
        <v/>
      </c>
      <c r="N285" t="str">
        <f t="shared" si="22"/>
        <v/>
      </c>
      <c r="O285" t="str">
        <f t="shared" si="23"/>
        <v/>
      </c>
    </row>
    <row r="286" spans="11:15" x14ac:dyDescent="0.3">
      <c r="K286" t="str">
        <f t="shared" si="24"/>
        <v/>
      </c>
      <c r="L286" t="str">
        <f t="shared" si="20"/>
        <v/>
      </c>
      <c r="M286" t="str">
        <f t="shared" si="21"/>
        <v/>
      </c>
      <c r="N286" t="str">
        <f t="shared" si="22"/>
        <v/>
      </c>
      <c r="O286" t="str">
        <f t="shared" si="23"/>
        <v/>
      </c>
    </row>
    <row r="287" spans="11:15" x14ac:dyDescent="0.3">
      <c r="K287" t="str">
        <f t="shared" si="24"/>
        <v/>
      </c>
      <c r="L287" t="str">
        <f t="shared" si="20"/>
        <v/>
      </c>
      <c r="M287" t="str">
        <f t="shared" si="21"/>
        <v/>
      </c>
      <c r="N287" t="str">
        <f t="shared" si="22"/>
        <v/>
      </c>
      <c r="O287" t="str">
        <f t="shared" si="23"/>
        <v/>
      </c>
    </row>
    <row r="288" spans="11:15" x14ac:dyDescent="0.3">
      <c r="K288" t="str">
        <f t="shared" si="24"/>
        <v/>
      </c>
      <c r="L288" t="str">
        <f t="shared" si="20"/>
        <v/>
      </c>
      <c r="M288" t="str">
        <f t="shared" si="21"/>
        <v/>
      </c>
      <c r="N288" t="str">
        <f t="shared" si="22"/>
        <v/>
      </c>
      <c r="O288" t="str">
        <f t="shared" si="23"/>
        <v/>
      </c>
    </row>
    <row r="289" spans="11:15" x14ac:dyDescent="0.3">
      <c r="K289" t="str">
        <f t="shared" si="24"/>
        <v/>
      </c>
      <c r="L289" t="str">
        <f t="shared" si="20"/>
        <v/>
      </c>
      <c r="M289" t="str">
        <f t="shared" si="21"/>
        <v/>
      </c>
      <c r="N289" t="str">
        <f t="shared" si="22"/>
        <v/>
      </c>
      <c r="O289" t="str">
        <f t="shared" si="23"/>
        <v/>
      </c>
    </row>
    <row r="290" spans="11:15" x14ac:dyDescent="0.3">
      <c r="K290" t="str">
        <f t="shared" si="24"/>
        <v/>
      </c>
      <c r="L290" t="str">
        <f t="shared" si="20"/>
        <v/>
      </c>
      <c r="M290" t="str">
        <f t="shared" si="21"/>
        <v/>
      </c>
      <c r="N290" t="str">
        <f t="shared" si="22"/>
        <v/>
      </c>
      <c r="O290" t="str">
        <f t="shared" si="23"/>
        <v/>
      </c>
    </row>
    <row r="291" spans="11:15" x14ac:dyDescent="0.3">
      <c r="K291" t="str">
        <f t="shared" si="24"/>
        <v/>
      </c>
      <c r="L291" t="str">
        <f t="shared" si="20"/>
        <v/>
      </c>
      <c r="M291" t="str">
        <f t="shared" si="21"/>
        <v/>
      </c>
      <c r="N291" t="str">
        <f t="shared" si="22"/>
        <v/>
      </c>
      <c r="O291" t="str">
        <f t="shared" si="23"/>
        <v/>
      </c>
    </row>
    <row r="292" spans="11:15" x14ac:dyDescent="0.3">
      <c r="K292" t="str">
        <f t="shared" si="24"/>
        <v/>
      </c>
      <c r="L292" t="str">
        <f t="shared" si="20"/>
        <v/>
      </c>
      <c r="M292" t="str">
        <f t="shared" si="21"/>
        <v/>
      </c>
      <c r="N292" t="str">
        <f t="shared" si="22"/>
        <v/>
      </c>
      <c r="O292" t="str">
        <f t="shared" si="23"/>
        <v/>
      </c>
    </row>
    <row r="293" spans="11:15" x14ac:dyDescent="0.3">
      <c r="K293" t="str">
        <f t="shared" si="24"/>
        <v/>
      </c>
      <c r="L293" t="str">
        <f t="shared" si="20"/>
        <v/>
      </c>
      <c r="M293" t="str">
        <f t="shared" si="21"/>
        <v/>
      </c>
      <c r="N293" t="str">
        <f t="shared" si="22"/>
        <v/>
      </c>
      <c r="O293" t="str">
        <f t="shared" si="23"/>
        <v/>
      </c>
    </row>
    <row r="294" spans="11:15" x14ac:dyDescent="0.3">
      <c r="K294" t="str">
        <f t="shared" si="24"/>
        <v/>
      </c>
      <c r="L294" t="str">
        <f t="shared" si="20"/>
        <v/>
      </c>
      <c r="M294" t="str">
        <f t="shared" si="21"/>
        <v/>
      </c>
      <c r="N294" t="str">
        <f t="shared" si="22"/>
        <v/>
      </c>
      <c r="O294" t="str">
        <f t="shared" si="23"/>
        <v/>
      </c>
    </row>
    <row r="295" spans="11:15" x14ac:dyDescent="0.3">
      <c r="K295" t="str">
        <f t="shared" si="24"/>
        <v/>
      </c>
      <c r="L295" t="str">
        <f t="shared" si="20"/>
        <v/>
      </c>
      <c r="M295" t="str">
        <f t="shared" si="21"/>
        <v/>
      </c>
      <c r="N295" t="str">
        <f t="shared" si="22"/>
        <v/>
      </c>
      <c r="O295" t="str">
        <f t="shared" si="23"/>
        <v/>
      </c>
    </row>
    <row r="296" spans="11:15" x14ac:dyDescent="0.3">
      <c r="K296" t="str">
        <f t="shared" si="24"/>
        <v/>
      </c>
      <c r="L296" t="str">
        <f t="shared" si="20"/>
        <v/>
      </c>
      <c r="M296" t="str">
        <f t="shared" si="21"/>
        <v/>
      </c>
      <c r="N296" t="str">
        <f t="shared" si="22"/>
        <v/>
      </c>
      <c r="O296" t="str">
        <f t="shared" si="23"/>
        <v/>
      </c>
    </row>
    <row r="297" spans="11:15" x14ac:dyDescent="0.3">
      <c r="K297" t="str">
        <f t="shared" si="24"/>
        <v/>
      </c>
      <c r="L297" t="str">
        <f t="shared" si="20"/>
        <v/>
      </c>
      <c r="M297" t="str">
        <f t="shared" si="21"/>
        <v/>
      </c>
      <c r="N297" t="str">
        <f t="shared" si="22"/>
        <v/>
      </c>
      <c r="O297" t="str">
        <f t="shared" si="23"/>
        <v/>
      </c>
    </row>
    <row r="298" spans="11:15" x14ac:dyDescent="0.3">
      <c r="K298" t="str">
        <f t="shared" si="24"/>
        <v/>
      </c>
      <c r="L298" t="str">
        <f t="shared" si="20"/>
        <v/>
      </c>
      <c r="M298" t="str">
        <f t="shared" si="21"/>
        <v/>
      </c>
      <c r="N298" t="str">
        <f t="shared" si="22"/>
        <v/>
      </c>
      <c r="O298" t="str">
        <f t="shared" si="23"/>
        <v/>
      </c>
    </row>
    <row r="299" spans="11:15" x14ac:dyDescent="0.3">
      <c r="K299" t="str">
        <f t="shared" si="24"/>
        <v/>
      </c>
      <c r="L299" t="str">
        <f t="shared" si="20"/>
        <v/>
      </c>
      <c r="M299" t="str">
        <f t="shared" si="21"/>
        <v/>
      </c>
      <c r="N299" t="str">
        <f t="shared" si="22"/>
        <v/>
      </c>
      <c r="O299" t="str">
        <f t="shared" si="23"/>
        <v/>
      </c>
    </row>
    <row r="300" spans="11:15" x14ac:dyDescent="0.3">
      <c r="K300" t="str">
        <f t="shared" si="24"/>
        <v/>
      </c>
      <c r="L300" t="str">
        <f t="shared" si="20"/>
        <v/>
      </c>
      <c r="M300" t="str">
        <f t="shared" si="21"/>
        <v/>
      </c>
      <c r="N300" t="str">
        <f t="shared" si="22"/>
        <v/>
      </c>
      <c r="O300" t="str">
        <f t="shared" si="23"/>
        <v/>
      </c>
    </row>
    <row r="301" spans="11:15" x14ac:dyDescent="0.3">
      <c r="K301" t="str">
        <f t="shared" si="24"/>
        <v/>
      </c>
      <c r="L301" t="str">
        <f t="shared" si="20"/>
        <v/>
      </c>
      <c r="M301" t="str">
        <f t="shared" si="21"/>
        <v/>
      </c>
      <c r="N301" t="str">
        <f t="shared" si="22"/>
        <v/>
      </c>
      <c r="O301" t="str">
        <f t="shared" si="23"/>
        <v/>
      </c>
    </row>
    <row r="302" spans="11:15" x14ac:dyDescent="0.3">
      <c r="K302" t="str">
        <f t="shared" si="24"/>
        <v/>
      </c>
      <c r="L302" t="str">
        <f t="shared" si="20"/>
        <v/>
      </c>
      <c r="M302" t="str">
        <f t="shared" si="21"/>
        <v/>
      </c>
      <c r="N302" t="str">
        <f t="shared" si="22"/>
        <v/>
      </c>
      <c r="O302" t="str">
        <f t="shared" si="23"/>
        <v/>
      </c>
    </row>
    <row r="303" spans="11:15" x14ac:dyDescent="0.3">
      <c r="K303" t="str">
        <f t="shared" si="24"/>
        <v/>
      </c>
      <c r="L303" t="str">
        <f t="shared" si="20"/>
        <v/>
      </c>
      <c r="M303" t="str">
        <f t="shared" si="21"/>
        <v/>
      </c>
      <c r="N303" t="str">
        <f t="shared" si="22"/>
        <v/>
      </c>
      <c r="O303" t="str">
        <f t="shared" si="23"/>
        <v/>
      </c>
    </row>
    <row r="304" spans="11:15" x14ac:dyDescent="0.3">
      <c r="K304" t="str">
        <f t="shared" si="24"/>
        <v/>
      </c>
      <c r="L304" t="str">
        <f t="shared" si="20"/>
        <v/>
      </c>
      <c r="M304" t="str">
        <f t="shared" si="21"/>
        <v/>
      </c>
      <c r="N304" t="str">
        <f t="shared" si="22"/>
        <v/>
      </c>
      <c r="O304" t="str">
        <f t="shared" si="23"/>
        <v/>
      </c>
    </row>
    <row r="305" spans="11:15" x14ac:dyDescent="0.3">
      <c r="K305" t="str">
        <f t="shared" si="24"/>
        <v/>
      </c>
      <c r="L305" t="str">
        <f t="shared" si="20"/>
        <v/>
      </c>
      <c r="M305" t="str">
        <f t="shared" si="21"/>
        <v/>
      </c>
      <c r="N305" t="str">
        <f t="shared" si="22"/>
        <v/>
      </c>
      <c r="O305" t="str">
        <f t="shared" si="23"/>
        <v/>
      </c>
    </row>
    <row r="306" spans="11:15" x14ac:dyDescent="0.3">
      <c r="K306" t="str">
        <f t="shared" si="24"/>
        <v/>
      </c>
      <c r="L306" t="str">
        <f t="shared" si="20"/>
        <v/>
      </c>
      <c r="M306" t="str">
        <f t="shared" si="21"/>
        <v/>
      </c>
      <c r="N306" t="str">
        <f t="shared" si="22"/>
        <v/>
      </c>
      <c r="O306" t="str">
        <f t="shared" si="23"/>
        <v/>
      </c>
    </row>
    <row r="307" spans="11:15" x14ac:dyDescent="0.3">
      <c r="K307" t="str">
        <f t="shared" si="24"/>
        <v/>
      </c>
      <c r="L307" t="str">
        <f t="shared" si="20"/>
        <v/>
      </c>
      <c r="M307" t="str">
        <f t="shared" si="21"/>
        <v/>
      </c>
      <c r="N307" t="str">
        <f t="shared" si="22"/>
        <v/>
      </c>
      <c r="O307" t="str">
        <f t="shared" si="23"/>
        <v/>
      </c>
    </row>
    <row r="308" spans="11:15" x14ac:dyDescent="0.3">
      <c r="K308" t="str">
        <f t="shared" si="24"/>
        <v/>
      </c>
      <c r="L308" t="str">
        <f t="shared" si="20"/>
        <v/>
      </c>
      <c r="M308" t="str">
        <f t="shared" si="21"/>
        <v/>
      </c>
      <c r="N308" t="str">
        <f t="shared" si="22"/>
        <v/>
      </c>
      <c r="O308" t="str">
        <f t="shared" si="23"/>
        <v/>
      </c>
    </row>
    <row r="309" spans="11:15" x14ac:dyDescent="0.3">
      <c r="K309" t="str">
        <f t="shared" si="24"/>
        <v/>
      </c>
      <c r="L309" t="str">
        <f t="shared" si="20"/>
        <v/>
      </c>
      <c r="M309" t="str">
        <f t="shared" si="21"/>
        <v/>
      </c>
      <c r="N309" t="str">
        <f t="shared" si="22"/>
        <v/>
      </c>
      <c r="O309" t="str">
        <f t="shared" si="23"/>
        <v/>
      </c>
    </row>
    <row r="310" spans="11:15" x14ac:dyDescent="0.3">
      <c r="K310" t="str">
        <f t="shared" si="24"/>
        <v/>
      </c>
      <c r="L310" t="str">
        <f t="shared" si="20"/>
        <v/>
      </c>
      <c r="M310" t="str">
        <f t="shared" si="21"/>
        <v/>
      </c>
      <c r="N310" t="str">
        <f t="shared" si="22"/>
        <v/>
      </c>
      <c r="O310" t="str">
        <f t="shared" si="23"/>
        <v/>
      </c>
    </row>
    <row r="311" spans="11:15" x14ac:dyDescent="0.3">
      <c r="K311" t="str">
        <f t="shared" si="24"/>
        <v/>
      </c>
      <c r="L311" t="str">
        <f t="shared" si="20"/>
        <v/>
      </c>
      <c r="M311" t="str">
        <f t="shared" si="21"/>
        <v/>
      </c>
      <c r="N311" t="str">
        <f t="shared" si="22"/>
        <v/>
      </c>
      <c r="O311" t="str">
        <f t="shared" si="23"/>
        <v/>
      </c>
    </row>
    <row r="312" spans="11:15" x14ac:dyDescent="0.3">
      <c r="K312" t="str">
        <f t="shared" si="24"/>
        <v/>
      </c>
      <c r="L312" t="str">
        <f t="shared" si="20"/>
        <v/>
      </c>
      <c r="M312" t="str">
        <f t="shared" si="21"/>
        <v/>
      </c>
      <c r="N312" t="str">
        <f t="shared" si="22"/>
        <v/>
      </c>
      <c r="O312" t="str">
        <f t="shared" si="23"/>
        <v/>
      </c>
    </row>
    <row r="313" spans="11:15" x14ac:dyDescent="0.3">
      <c r="K313" t="str">
        <f t="shared" si="24"/>
        <v/>
      </c>
      <c r="L313" t="str">
        <f t="shared" si="20"/>
        <v/>
      </c>
      <c r="M313" t="str">
        <f t="shared" si="21"/>
        <v/>
      </c>
      <c r="N313" t="str">
        <f t="shared" si="22"/>
        <v/>
      </c>
      <c r="O313" t="str">
        <f t="shared" si="23"/>
        <v/>
      </c>
    </row>
    <row r="314" spans="11:15" x14ac:dyDescent="0.3">
      <c r="K314" t="str">
        <f t="shared" si="24"/>
        <v/>
      </c>
      <c r="L314" t="str">
        <f t="shared" si="20"/>
        <v/>
      </c>
      <c r="M314" t="str">
        <f t="shared" si="21"/>
        <v/>
      </c>
      <c r="N314" t="str">
        <f t="shared" si="22"/>
        <v/>
      </c>
      <c r="O314" t="str">
        <f t="shared" si="23"/>
        <v/>
      </c>
    </row>
    <row r="315" spans="11:15" x14ac:dyDescent="0.3">
      <c r="K315" t="str">
        <f t="shared" si="24"/>
        <v/>
      </c>
      <c r="L315" t="str">
        <f t="shared" si="20"/>
        <v/>
      </c>
      <c r="M315" t="str">
        <f t="shared" si="21"/>
        <v/>
      </c>
      <c r="N315" t="str">
        <f t="shared" si="22"/>
        <v/>
      </c>
      <c r="O315" t="str">
        <f t="shared" si="23"/>
        <v/>
      </c>
    </row>
    <row r="316" spans="11:15" x14ac:dyDescent="0.3">
      <c r="K316" t="str">
        <f t="shared" si="24"/>
        <v/>
      </c>
      <c r="L316" t="str">
        <f t="shared" si="20"/>
        <v/>
      </c>
      <c r="M316" t="str">
        <f t="shared" si="21"/>
        <v/>
      </c>
      <c r="N316" t="str">
        <f t="shared" si="22"/>
        <v/>
      </c>
      <c r="O316" t="str">
        <f t="shared" si="23"/>
        <v/>
      </c>
    </row>
    <row r="317" spans="11:15" x14ac:dyDescent="0.3">
      <c r="K317" t="str">
        <f t="shared" si="24"/>
        <v/>
      </c>
      <c r="L317" t="str">
        <f t="shared" si="20"/>
        <v/>
      </c>
      <c r="M317" t="str">
        <f t="shared" si="21"/>
        <v/>
      </c>
      <c r="N317" t="str">
        <f t="shared" si="22"/>
        <v/>
      </c>
      <c r="O317" t="str">
        <f t="shared" si="23"/>
        <v/>
      </c>
    </row>
    <row r="318" spans="11:15" x14ac:dyDescent="0.3">
      <c r="K318" t="str">
        <f t="shared" si="24"/>
        <v/>
      </c>
      <c r="L318" t="str">
        <f t="shared" si="20"/>
        <v/>
      </c>
      <c r="M318" t="str">
        <f t="shared" si="21"/>
        <v/>
      </c>
      <c r="N318" t="str">
        <f t="shared" si="22"/>
        <v/>
      </c>
      <c r="O318" t="str">
        <f t="shared" si="23"/>
        <v/>
      </c>
    </row>
    <row r="319" spans="11:15" x14ac:dyDescent="0.3">
      <c r="K319" t="str">
        <f t="shared" si="24"/>
        <v/>
      </c>
      <c r="L319" t="str">
        <f t="shared" si="20"/>
        <v/>
      </c>
      <c r="M319" t="str">
        <f t="shared" si="21"/>
        <v/>
      </c>
      <c r="N319" t="str">
        <f t="shared" si="22"/>
        <v/>
      </c>
      <c r="O319" t="str">
        <f t="shared" si="23"/>
        <v/>
      </c>
    </row>
    <row r="320" spans="11:15" x14ac:dyDescent="0.3">
      <c r="K320" t="str">
        <f t="shared" si="24"/>
        <v/>
      </c>
      <c r="L320" t="str">
        <f t="shared" si="20"/>
        <v/>
      </c>
      <c r="M320" t="str">
        <f t="shared" si="21"/>
        <v/>
      </c>
      <c r="N320" t="str">
        <f t="shared" si="22"/>
        <v/>
      </c>
      <c r="O320" t="str">
        <f t="shared" si="23"/>
        <v/>
      </c>
    </row>
    <row r="321" spans="11:15" x14ac:dyDescent="0.3">
      <c r="K321" t="str">
        <f t="shared" si="24"/>
        <v/>
      </c>
      <c r="L321" t="str">
        <f t="shared" ref="L321:L384" si="25">IF(A321="","",IF(ISNUMBER(--LEFT(A321,FIND(" - ",A321&amp;" - ")-1)),LEFT(A321,FIND(" - ",A321&amp;" - ")-1),TRIM(A321)))</f>
        <v/>
      </c>
      <c r="M321" t="str">
        <f t="shared" ref="M321:M384" si="26">IF(OR(K321="",K321=A321,A321=""),"",K321&amp;"|"&amp;L321)</f>
        <v/>
      </c>
      <c r="N321" t="str">
        <f t="shared" ref="N321:N384" si="27">IF(M321="","",IF(ISNUMBER(B321),B321,IFERROR(_xlfn.NUMBERVALUE(B321,".",","),0)))</f>
        <v/>
      </c>
      <c r="O321" t="str">
        <f t="shared" ref="O321:O384" si="28">IF(M321="","",IF(ISNUMBER(C321),C321,IFERROR(_xlfn.NUMBERVALUE(C321,".",","),0)))</f>
        <v/>
      </c>
    </row>
    <row r="322" spans="11:15" x14ac:dyDescent="0.3">
      <c r="K322" t="str">
        <f t="shared" ref="K322:K385" si="29">IF(OR(LEFT(B322,9)="DOANH THU",LEFT(B322,8)="SỐ LƯỢNG"),A322,K321)</f>
        <v/>
      </c>
      <c r="L322" t="str">
        <f t="shared" si="25"/>
        <v/>
      </c>
      <c r="M322" t="str">
        <f t="shared" si="26"/>
        <v/>
      </c>
      <c r="N322" t="str">
        <f t="shared" si="27"/>
        <v/>
      </c>
      <c r="O322" t="str">
        <f t="shared" si="28"/>
        <v/>
      </c>
    </row>
    <row r="323" spans="11:15" x14ac:dyDescent="0.3">
      <c r="K323" t="str">
        <f t="shared" si="29"/>
        <v/>
      </c>
      <c r="L323" t="str">
        <f t="shared" si="25"/>
        <v/>
      </c>
      <c r="M323" t="str">
        <f t="shared" si="26"/>
        <v/>
      </c>
      <c r="N323" t="str">
        <f t="shared" si="27"/>
        <v/>
      </c>
      <c r="O323" t="str">
        <f t="shared" si="28"/>
        <v/>
      </c>
    </row>
    <row r="324" spans="11:15" x14ac:dyDescent="0.3">
      <c r="K324" t="str">
        <f t="shared" si="29"/>
        <v/>
      </c>
      <c r="L324" t="str">
        <f t="shared" si="25"/>
        <v/>
      </c>
      <c r="M324" t="str">
        <f t="shared" si="26"/>
        <v/>
      </c>
      <c r="N324" t="str">
        <f t="shared" si="27"/>
        <v/>
      </c>
      <c r="O324" t="str">
        <f t="shared" si="28"/>
        <v/>
      </c>
    </row>
    <row r="325" spans="11:15" x14ac:dyDescent="0.3">
      <c r="K325" t="str">
        <f t="shared" si="29"/>
        <v/>
      </c>
      <c r="L325" t="str">
        <f t="shared" si="25"/>
        <v/>
      </c>
      <c r="M325" t="str">
        <f t="shared" si="26"/>
        <v/>
      </c>
      <c r="N325" t="str">
        <f t="shared" si="27"/>
        <v/>
      </c>
      <c r="O325" t="str">
        <f t="shared" si="28"/>
        <v/>
      </c>
    </row>
    <row r="326" spans="11:15" x14ac:dyDescent="0.3">
      <c r="K326" t="str">
        <f t="shared" si="29"/>
        <v/>
      </c>
      <c r="L326" t="str">
        <f t="shared" si="25"/>
        <v/>
      </c>
      <c r="M326" t="str">
        <f t="shared" si="26"/>
        <v/>
      </c>
      <c r="N326" t="str">
        <f t="shared" si="27"/>
        <v/>
      </c>
      <c r="O326" t="str">
        <f t="shared" si="28"/>
        <v/>
      </c>
    </row>
    <row r="327" spans="11:15" x14ac:dyDescent="0.3">
      <c r="K327" t="str">
        <f t="shared" si="29"/>
        <v/>
      </c>
      <c r="L327" t="str">
        <f t="shared" si="25"/>
        <v/>
      </c>
      <c r="M327" t="str">
        <f t="shared" si="26"/>
        <v/>
      </c>
      <c r="N327" t="str">
        <f t="shared" si="27"/>
        <v/>
      </c>
      <c r="O327" t="str">
        <f t="shared" si="28"/>
        <v/>
      </c>
    </row>
    <row r="328" spans="11:15" x14ac:dyDescent="0.3">
      <c r="K328" t="str">
        <f t="shared" si="29"/>
        <v/>
      </c>
      <c r="L328" t="str">
        <f t="shared" si="25"/>
        <v/>
      </c>
      <c r="M328" t="str">
        <f t="shared" si="26"/>
        <v/>
      </c>
      <c r="N328" t="str">
        <f t="shared" si="27"/>
        <v/>
      </c>
      <c r="O328" t="str">
        <f t="shared" si="28"/>
        <v/>
      </c>
    </row>
    <row r="329" spans="11:15" x14ac:dyDescent="0.3">
      <c r="K329" t="str">
        <f t="shared" si="29"/>
        <v/>
      </c>
      <c r="L329" t="str">
        <f t="shared" si="25"/>
        <v/>
      </c>
      <c r="M329" t="str">
        <f t="shared" si="26"/>
        <v/>
      </c>
      <c r="N329" t="str">
        <f t="shared" si="27"/>
        <v/>
      </c>
      <c r="O329" t="str">
        <f t="shared" si="28"/>
        <v/>
      </c>
    </row>
    <row r="330" spans="11:15" x14ac:dyDescent="0.3">
      <c r="K330" t="str">
        <f t="shared" si="29"/>
        <v/>
      </c>
      <c r="L330" t="str">
        <f t="shared" si="25"/>
        <v/>
      </c>
      <c r="M330" t="str">
        <f t="shared" si="26"/>
        <v/>
      </c>
      <c r="N330" t="str">
        <f t="shared" si="27"/>
        <v/>
      </c>
      <c r="O330" t="str">
        <f t="shared" si="28"/>
        <v/>
      </c>
    </row>
    <row r="331" spans="11:15" x14ac:dyDescent="0.3">
      <c r="K331" t="str">
        <f t="shared" si="29"/>
        <v/>
      </c>
      <c r="L331" t="str">
        <f t="shared" si="25"/>
        <v/>
      </c>
      <c r="M331" t="str">
        <f t="shared" si="26"/>
        <v/>
      </c>
      <c r="N331" t="str">
        <f t="shared" si="27"/>
        <v/>
      </c>
      <c r="O331" t="str">
        <f t="shared" si="28"/>
        <v/>
      </c>
    </row>
    <row r="332" spans="11:15" x14ac:dyDescent="0.3">
      <c r="K332" t="str">
        <f t="shared" si="29"/>
        <v/>
      </c>
      <c r="L332" t="str">
        <f t="shared" si="25"/>
        <v/>
      </c>
      <c r="M332" t="str">
        <f t="shared" si="26"/>
        <v/>
      </c>
      <c r="N332" t="str">
        <f t="shared" si="27"/>
        <v/>
      </c>
      <c r="O332" t="str">
        <f t="shared" si="28"/>
        <v/>
      </c>
    </row>
    <row r="333" spans="11:15" x14ac:dyDescent="0.3">
      <c r="K333" t="str">
        <f t="shared" si="29"/>
        <v/>
      </c>
      <c r="L333" t="str">
        <f t="shared" si="25"/>
        <v/>
      </c>
      <c r="M333" t="str">
        <f t="shared" si="26"/>
        <v/>
      </c>
      <c r="N333" t="str">
        <f t="shared" si="27"/>
        <v/>
      </c>
      <c r="O333" t="str">
        <f t="shared" si="28"/>
        <v/>
      </c>
    </row>
    <row r="334" spans="11:15" x14ac:dyDescent="0.3">
      <c r="K334" t="str">
        <f t="shared" si="29"/>
        <v/>
      </c>
      <c r="L334" t="str">
        <f t="shared" si="25"/>
        <v/>
      </c>
      <c r="M334" t="str">
        <f t="shared" si="26"/>
        <v/>
      </c>
      <c r="N334" t="str">
        <f t="shared" si="27"/>
        <v/>
      </c>
      <c r="O334" t="str">
        <f t="shared" si="28"/>
        <v/>
      </c>
    </row>
    <row r="335" spans="11:15" x14ac:dyDescent="0.3">
      <c r="K335" t="str">
        <f t="shared" si="29"/>
        <v/>
      </c>
      <c r="L335" t="str">
        <f t="shared" si="25"/>
        <v/>
      </c>
      <c r="M335" t="str">
        <f t="shared" si="26"/>
        <v/>
      </c>
      <c r="N335" t="str">
        <f t="shared" si="27"/>
        <v/>
      </c>
      <c r="O335" t="str">
        <f t="shared" si="28"/>
        <v/>
      </c>
    </row>
    <row r="336" spans="11:15" x14ac:dyDescent="0.3">
      <c r="K336" t="str">
        <f t="shared" si="29"/>
        <v/>
      </c>
      <c r="L336" t="str">
        <f t="shared" si="25"/>
        <v/>
      </c>
      <c r="M336" t="str">
        <f t="shared" si="26"/>
        <v/>
      </c>
      <c r="N336" t="str">
        <f t="shared" si="27"/>
        <v/>
      </c>
      <c r="O336" t="str">
        <f t="shared" si="28"/>
        <v/>
      </c>
    </row>
    <row r="337" spans="11:15" x14ac:dyDescent="0.3">
      <c r="K337" t="str">
        <f t="shared" si="29"/>
        <v/>
      </c>
      <c r="L337" t="str">
        <f t="shared" si="25"/>
        <v/>
      </c>
      <c r="M337" t="str">
        <f t="shared" si="26"/>
        <v/>
      </c>
      <c r="N337" t="str">
        <f t="shared" si="27"/>
        <v/>
      </c>
      <c r="O337" t="str">
        <f t="shared" si="28"/>
        <v/>
      </c>
    </row>
    <row r="338" spans="11:15" x14ac:dyDescent="0.3">
      <c r="K338" t="str">
        <f t="shared" si="29"/>
        <v/>
      </c>
      <c r="L338" t="str">
        <f t="shared" si="25"/>
        <v/>
      </c>
      <c r="M338" t="str">
        <f t="shared" si="26"/>
        <v/>
      </c>
      <c r="N338" t="str">
        <f t="shared" si="27"/>
        <v/>
      </c>
      <c r="O338" t="str">
        <f t="shared" si="28"/>
        <v/>
      </c>
    </row>
    <row r="339" spans="11:15" x14ac:dyDescent="0.3">
      <c r="K339" t="str">
        <f t="shared" si="29"/>
        <v/>
      </c>
      <c r="L339" t="str">
        <f t="shared" si="25"/>
        <v/>
      </c>
      <c r="M339" t="str">
        <f t="shared" si="26"/>
        <v/>
      </c>
      <c r="N339" t="str">
        <f t="shared" si="27"/>
        <v/>
      </c>
      <c r="O339" t="str">
        <f t="shared" si="28"/>
        <v/>
      </c>
    </row>
    <row r="340" spans="11:15" x14ac:dyDescent="0.3">
      <c r="K340" t="str">
        <f t="shared" si="29"/>
        <v/>
      </c>
      <c r="L340" t="str">
        <f t="shared" si="25"/>
        <v/>
      </c>
      <c r="M340" t="str">
        <f t="shared" si="26"/>
        <v/>
      </c>
      <c r="N340" t="str">
        <f t="shared" si="27"/>
        <v/>
      </c>
      <c r="O340" t="str">
        <f t="shared" si="28"/>
        <v/>
      </c>
    </row>
    <row r="341" spans="11:15" x14ac:dyDescent="0.3">
      <c r="K341" t="str">
        <f t="shared" si="29"/>
        <v/>
      </c>
      <c r="L341" t="str">
        <f t="shared" si="25"/>
        <v/>
      </c>
      <c r="M341" t="str">
        <f t="shared" si="26"/>
        <v/>
      </c>
      <c r="N341" t="str">
        <f t="shared" si="27"/>
        <v/>
      </c>
      <c r="O341" t="str">
        <f t="shared" si="28"/>
        <v/>
      </c>
    </row>
    <row r="342" spans="11:15" x14ac:dyDescent="0.3">
      <c r="K342" t="str">
        <f t="shared" si="29"/>
        <v/>
      </c>
      <c r="L342" t="str">
        <f t="shared" si="25"/>
        <v/>
      </c>
      <c r="M342" t="str">
        <f t="shared" si="26"/>
        <v/>
      </c>
      <c r="N342" t="str">
        <f t="shared" si="27"/>
        <v/>
      </c>
      <c r="O342" t="str">
        <f t="shared" si="28"/>
        <v/>
      </c>
    </row>
    <row r="343" spans="11:15" x14ac:dyDescent="0.3">
      <c r="K343" t="str">
        <f t="shared" si="29"/>
        <v/>
      </c>
      <c r="L343" t="str">
        <f t="shared" si="25"/>
        <v/>
      </c>
      <c r="M343" t="str">
        <f t="shared" si="26"/>
        <v/>
      </c>
      <c r="N343" t="str">
        <f t="shared" si="27"/>
        <v/>
      </c>
      <c r="O343" t="str">
        <f t="shared" si="28"/>
        <v/>
      </c>
    </row>
    <row r="344" spans="11:15" x14ac:dyDescent="0.3">
      <c r="K344" t="str">
        <f t="shared" si="29"/>
        <v/>
      </c>
      <c r="L344" t="str">
        <f t="shared" si="25"/>
        <v/>
      </c>
      <c r="M344" t="str">
        <f t="shared" si="26"/>
        <v/>
      </c>
      <c r="N344" t="str">
        <f t="shared" si="27"/>
        <v/>
      </c>
      <c r="O344" t="str">
        <f t="shared" si="28"/>
        <v/>
      </c>
    </row>
    <row r="345" spans="11:15" x14ac:dyDescent="0.3">
      <c r="K345" t="str">
        <f t="shared" si="29"/>
        <v/>
      </c>
      <c r="L345" t="str">
        <f t="shared" si="25"/>
        <v/>
      </c>
      <c r="M345" t="str">
        <f t="shared" si="26"/>
        <v/>
      </c>
      <c r="N345" t="str">
        <f t="shared" si="27"/>
        <v/>
      </c>
      <c r="O345" t="str">
        <f t="shared" si="28"/>
        <v/>
      </c>
    </row>
    <row r="346" spans="11:15" x14ac:dyDescent="0.3">
      <c r="K346" t="str">
        <f t="shared" si="29"/>
        <v/>
      </c>
      <c r="L346" t="str">
        <f t="shared" si="25"/>
        <v/>
      </c>
      <c r="M346" t="str">
        <f t="shared" si="26"/>
        <v/>
      </c>
      <c r="N346" t="str">
        <f t="shared" si="27"/>
        <v/>
      </c>
      <c r="O346" t="str">
        <f t="shared" si="28"/>
        <v/>
      </c>
    </row>
    <row r="347" spans="11:15" x14ac:dyDescent="0.3">
      <c r="K347" t="str">
        <f t="shared" si="29"/>
        <v/>
      </c>
      <c r="L347" t="str">
        <f t="shared" si="25"/>
        <v/>
      </c>
      <c r="M347" t="str">
        <f t="shared" si="26"/>
        <v/>
      </c>
      <c r="N347" t="str">
        <f t="shared" si="27"/>
        <v/>
      </c>
      <c r="O347" t="str">
        <f t="shared" si="28"/>
        <v/>
      </c>
    </row>
    <row r="348" spans="11:15" x14ac:dyDescent="0.3">
      <c r="K348" t="str">
        <f t="shared" si="29"/>
        <v/>
      </c>
      <c r="L348" t="str">
        <f t="shared" si="25"/>
        <v/>
      </c>
      <c r="M348" t="str">
        <f t="shared" si="26"/>
        <v/>
      </c>
      <c r="N348" t="str">
        <f t="shared" si="27"/>
        <v/>
      </c>
      <c r="O348" t="str">
        <f t="shared" si="28"/>
        <v/>
      </c>
    </row>
    <row r="349" spans="11:15" x14ac:dyDescent="0.3">
      <c r="K349" t="str">
        <f t="shared" si="29"/>
        <v/>
      </c>
      <c r="L349" t="str">
        <f t="shared" si="25"/>
        <v/>
      </c>
      <c r="M349" t="str">
        <f t="shared" si="26"/>
        <v/>
      </c>
      <c r="N349" t="str">
        <f t="shared" si="27"/>
        <v/>
      </c>
      <c r="O349" t="str">
        <f t="shared" si="28"/>
        <v/>
      </c>
    </row>
    <row r="350" spans="11:15" x14ac:dyDescent="0.3">
      <c r="K350" t="str">
        <f t="shared" si="29"/>
        <v/>
      </c>
      <c r="L350" t="str">
        <f t="shared" si="25"/>
        <v/>
      </c>
      <c r="M350" t="str">
        <f t="shared" si="26"/>
        <v/>
      </c>
      <c r="N350" t="str">
        <f t="shared" si="27"/>
        <v/>
      </c>
      <c r="O350" t="str">
        <f t="shared" si="28"/>
        <v/>
      </c>
    </row>
    <row r="351" spans="11:15" x14ac:dyDescent="0.3">
      <c r="K351" t="str">
        <f t="shared" si="29"/>
        <v/>
      </c>
      <c r="L351" t="str">
        <f t="shared" si="25"/>
        <v/>
      </c>
      <c r="M351" t="str">
        <f t="shared" si="26"/>
        <v/>
      </c>
      <c r="N351" t="str">
        <f t="shared" si="27"/>
        <v/>
      </c>
      <c r="O351" t="str">
        <f t="shared" si="28"/>
        <v/>
      </c>
    </row>
    <row r="352" spans="11:15" x14ac:dyDescent="0.3">
      <c r="K352" t="str">
        <f t="shared" si="29"/>
        <v/>
      </c>
      <c r="L352" t="str">
        <f t="shared" si="25"/>
        <v/>
      </c>
      <c r="M352" t="str">
        <f t="shared" si="26"/>
        <v/>
      </c>
      <c r="N352" t="str">
        <f t="shared" si="27"/>
        <v/>
      </c>
      <c r="O352" t="str">
        <f t="shared" si="28"/>
        <v/>
      </c>
    </row>
    <row r="353" spans="11:15" x14ac:dyDescent="0.3">
      <c r="K353" t="str">
        <f t="shared" si="29"/>
        <v/>
      </c>
      <c r="L353" t="str">
        <f t="shared" si="25"/>
        <v/>
      </c>
      <c r="M353" t="str">
        <f t="shared" si="26"/>
        <v/>
      </c>
      <c r="N353" t="str">
        <f t="shared" si="27"/>
        <v/>
      </c>
      <c r="O353" t="str">
        <f t="shared" si="28"/>
        <v/>
      </c>
    </row>
    <row r="354" spans="11:15" x14ac:dyDescent="0.3">
      <c r="K354" t="str">
        <f t="shared" si="29"/>
        <v/>
      </c>
      <c r="L354" t="str">
        <f t="shared" si="25"/>
        <v/>
      </c>
      <c r="M354" t="str">
        <f t="shared" si="26"/>
        <v/>
      </c>
      <c r="N354" t="str">
        <f t="shared" si="27"/>
        <v/>
      </c>
      <c r="O354" t="str">
        <f t="shared" si="28"/>
        <v/>
      </c>
    </row>
    <row r="355" spans="11:15" x14ac:dyDescent="0.3">
      <c r="K355" t="str">
        <f t="shared" si="29"/>
        <v/>
      </c>
      <c r="L355" t="str">
        <f t="shared" si="25"/>
        <v/>
      </c>
      <c r="M355" t="str">
        <f t="shared" si="26"/>
        <v/>
      </c>
      <c r="N355" t="str">
        <f t="shared" si="27"/>
        <v/>
      </c>
      <c r="O355" t="str">
        <f t="shared" si="28"/>
        <v/>
      </c>
    </row>
    <row r="356" spans="11:15" x14ac:dyDescent="0.3">
      <c r="K356" t="str">
        <f t="shared" si="29"/>
        <v/>
      </c>
      <c r="L356" t="str">
        <f t="shared" si="25"/>
        <v/>
      </c>
      <c r="M356" t="str">
        <f t="shared" si="26"/>
        <v/>
      </c>
      <c r="N356" t="str">
        <f t="shared" si="27"/>
        <v/>
      </c>
      <c r="O356" t="str">
        <f t="shared" si="28"/>
        <v/>
      </c>
    </row>
    <row r="357" spans="11:15" x14ac:dyDescent="0.3">
      <c r="K357" t="str">
        <f t="shared" si="29"/>
        <v/>
      </c>
      <c r="L357" t="str">
        <f t="shared" si="25"/>
        <v/>
      </c>
      <c r="M357" t="str">
        <f t="shared" si="26"/>
        <v/>
      </c>
      <c r="N357" t="str">
        <f t="shared" si="27"/>
        <v/>
      </c>
      <c r="O357" t="str">
        <f t="shared" si="28"/>
        <v/>
      </c>
    </row>
    <row r="358" spans="11:15" x14ac:dyDescent="0.3">
      <c r="K358" t="str">
        <f t="shared" si="29"/>
        <v/>
      </c>
      <c r="L358" t="str">
        <f t="shared" si="25"/>
        <v/>
      </c>
      <c r="M358" t="str">
        <f t="shared" si="26"/>
        <v/>
      </c>
      <c r="N358" t="str">
        <f t="shared" si="27"/>
        <v/>
      </c>
      <c r="O358" t="str">
        <f t="shared" si="28"/>
        <v/>
      </c>
    </row>
    <row r="359" spans="11:15" x14ac:dyDescent="0.3">
      <c r="K359" t="str">
        <f t="shared" si="29"/>
        <v/>
      </c>
      <c r="L359" t="str">
        <f t="shared" si="25"/>
        <v/>
      </c>
      <c r="M359" t="str">
        <f t="shared" si="26"/>
        <v/>
      </c>
      <c r="N359" t="str">
        <f t="shared" si="27"/>
        <v/>
      </c>
      <c r="O359" t="str">
        <f t="shared" si="28"/>
        <v/>
      </c>
    </row>
    <row r="360" spans="11:15" x14ac:dyDescent="0.3">
      <c r="K360" t="str">
        <f t="shared" si="29"/>
        <v/>
      </c>
      <c r="L360" t="str">
        <f t="shared" si="25"/>
        <v/>
      </c>
      <c r="M360" t="str">
        <f t="shared" si="26"/>
        <v/>
      </c>
      <c r="N360" t="str">
        <f t="shared" si="27"/>
        <v/>
      </c>
      <c r="O360" t="str">
        <f t="shared" si="28"/>
        <v/>
      </c>
    </row>
    <row r="361" spans="11:15" x14ac:dyDescent="0.3">
      <c r="K361" t="str">
        <f t="shared" si="29"/>
        <v/>
      </c>
      <c r="L361" t="str">
        <f t="shared" si="25"/>
        <v/>
      </c>
      <c r="M361" t="str">
        <f t="shared" si="26"/>
        <v/>
      </c>
      <c r="N361" t="str">
        <f t="shared" si="27"/>
        <v/>
      </c>
      <c r="O361" t="str">
        <f t="shared" si="28"/>
        <v/>
      </c>
    </row>
    <row r="362" spans="11:15" x14ac:dyDescent="0.3">
      <c r="K362" t="str">
        <f t="shared" si="29"/>
        <v/>
      </c>
      <c r="L362" t="str">
        <f t="shared" si="25"/>
        <v/>
      </c>
      <c r="M362" t="str">
        <f t="shared" si="26"/>
        <v/>
      </c>
      <c r="N362" t="str">
        <f t="shared" si="27"/>
        <v/>
      </c>
      <c r="O362" t="str">
        <f t="shared" si="28"/>
        <v/>
      </c>
    </row>
    <row r="363" spans="11:15" x14ac:dyDescent="0.3">
      <c r="K363" t="str">
        <f t="shared" si="29"/>
        <v/>
      </c>
      <c r="L363" t="str">
        <f t="shared" si="25"/>
        <v/>
      </c>
      <c r="M363" t="str">
        <f t="shared" si="26"/>
        <v/>
      </c>
      <c r="N363" t="str">
        <f t="shared" si="27"/>
        <v/>
      </c>
      <c r="O363" t="str">
        <f t="shared" si="28"/>
        <v/>
      </c>
    </row>
    <row r="364" spans="11:15" x14ac:dyDescent="0.3">
      <c r="K364" t="str">
        <f t="shared" si="29"/>
        <v/>
      </c>
      <c r="L364" t="str">
        <f t="shared" si="25"/>
        <v/>
      </c>
      <c r="M364" t="str">
        <f t="shared" si="26"/>
        <v/>
      </c>
      <c r="N364" t="str">
        <f t="shared" si="27"/>
        <v/>
      </c>
      <c r="O364" t="str">
        <f t="shared" si="28"/>
        <v/>
      </c>
    </row>
    <row r="365" spans="11:15" x14ac:dyDescent="0.3">
      <c r="K365" t="str">
        <f t="shared" si="29"/>
        <v/>
      </c>
      <c r="L365" t="str">
        <f t="shared" si="25"/>
        <v/>
      </c>
      <c r="M365" t="str">
        <f t="shared" si="26"/>
        <v/>
      </c>
      <c r="N365" t="str">
        <f t="shared" si="27"/>
        <v/>
      </c>
      <c r="O365" t="str">
        <f t="shared" si="28"/>
        <v/>
      </c>
    </row>
    <row r="366" spans="11:15" x14ac:dyDescent="0.3">
      <c r="K366" t="str">
        <f t="shared" si="29"/>
        <v/>
      </c>
      <c r="L366" t="str">
        <f t="shared" si="25"/>
        <v/>
      </c>
      <c r="M366" t="str">
        <f t="shared" si="26"/>
        <v/>
      </c>
      <c r="N366" t="str">
        <f t="shared" si="27"/>
        <v/>
      </c>
      <c r="O366" t="str">
        <f t="shared" si="28"/>
        <v/>
      </c>
    </row>
    <row r="367" spans="11:15" x14ac:dyDescent="0.3">
      <c r="K367" t="str">
        <f t="shared" si="29"/>
        <v/>
      </c>
      <c r="L367" t="str">
        <f t="shared" si="25"/>
        <v/>
      </c>
      <c r="M367" t="str">
        <f t="shared" si="26"/>
        <v/>
      </c>
      <c r="N367" t="str">
        <f t="shared" si="27"/>
        <v/>
      </c>
      <c r="O367" t="str">
        <f t="shared" si="28"/>
        <v/>
      </c>
    </row>
    <row r="368" spans="11:15" x14ac:dyDescent="0.3">
      <c r="K368" t="str">
        <f t="shared" si="29"/>
        <v/>
      </c>
      <c r="L368" t="str">
        <f t="shared" si="25"/>
        <v/>
      </c>
      <c r="M368" t="str">
        <f t="shared" si="26"/>
        <v/>
      </c>
      <c r="N368" t="str">
        <f t="shared" si="27"/>
        <v/>
      </c>
      <c r="O368" t="str">
        <f t="shared" si="28"/>
        <v/>
      </c>
    </row>
    <row r="369" spans="11:15" x14ac:dyDescent="0.3">
      <c r="K369" t="str">
        <f t="shared" si="29"/>
        <v/>
      </c>
      <c r="L369" t="str">
        <f t="shared" si="25"/>
        <v/>
      </c>
      <c r="M369" t="str">
        <f t="shared" si="26"/>
        <v/>
      </c>
      <c r="N369" t="str">
        <f t="shared" si="27"/>
        <v/>
      </c>
      <c r="O369" t="str">
        <f t="shared" si="28"/>
        <v/>
      </c>
    </row>
    <row r="370" spans="11:15" x14ac:dyDescent="0.3">
      <c r="K370" t="str">
        <f t="shared" si="29"/>
        <v/>
      </c>
      <c r="L370" t="str">
        <f t="shared" si="25"/>
        <v/>
      </c>
      <c r="M370" t="str">
        <f t="shared" si="26"/>
        <v/>
      </c>
      <c r="N370" t="str">
        <f t="shared" si="27"/>
        <v/>
      </c>
      <c r="O370" t="str">
        <f t="shared" si="28"/>
        <v/>
      </c>
    </row>
    <row r="371" spans="11:15" x14ac:dyDescent="0.3">
      <c r="K371" t="str">
        <f t="shared" si="29"/>
        <v/>
      </c>
      <c r="L371" t="str">
        <f t="shared" si="25"/>
        <v/>
      </c>
      <c r="M371" t="str">
        <f t="shared" si="26"/>
        <v/>
      </c>
      <c r="N371" t="str">
        <f t="shared" si="27"/>
        <v/>
      </c>
      <c r="O371" t="str">
        <f t="shared" si="28"/>
        <v/>
      </c>
    </row>
    <row r="372" spans="11:15" x14ac:dyDescent="0.3">
      <c r="K372" t="str">
        <f t="shared" si="29"/>
        <v/>
      </c>
      <c r="L372" t="str">
        <f t="shared" si="25"/>
        <v/>
      </c>
      <c r="M372" t="str">
        <f t="shared" si="26"/>
        <v/>
      </c>
      <c r="N372" t="str">
        <f t="shared" si="27"/>
        <v/>
      </c>
      <c r="O372" t="str">
        <f t="shared" si="28"/>
        <v/>
      </c>
    </row>
    <row r="373" spans="11:15" x14ac:dyDescent="0.3">
      <c r="K373" t="str">
        <f t="shared" si="29"/>
        <v/>
      </c>
      <c r="L373" t="str">
        <f t="shared" si="25"/>
        <v/>
      </c>
      <c r="M373" t="str">
        <f t="shared" si="26"/>
        <v/>
      </c>
      <c r="N373" t="str">
        <f t="shared" si="27"/>
        <v/>
      </c>
      <c r="O373" t="str">
        <f t="shared" si="28"/>
        <v/>
      </c>
    </row>
    <row r="374" spans="11:15" x14ac:dyDescent="0.3">
      <c r="K374" t="str">
        <f t="shared" si="29"/>
        <v/>
      </c>
      <c r="L374" t="str">
        <f t="shared" si="25"/>
        <v/>
      </c>
      <c r="M374" t="str">
        <f t="shared" si="26"/>
        <v/>
      </c>
      <c r="N374" t="str">
        <f t="shared" si="27"/>
        <v/>
      </c>
      <c r="O374" t="str">
        <f t="shared" si="28"/>
        <v/>
      </c>
    </row>
    <row r="375" spans="11:15" x14ac:dyDescent="0.3">
      <c r="K375" t="str">
        <f t="shared" si="29"/>
        <v/>
      </c>
      <c r="L375" t="str">
        <f t="shared" si="25"/>
        <v/>
      </c>
      <c r="M375" t="str">
        <f t="shared" si="26"/>
        <v/>
      </c>
      <c r="N375" t="str">
        <f t="shared" si="27"/>
        <v/>
      </c>
      <c r="O375" t="str">
        <f t="shared" si="28"/>
        <v/>
      </c>
    </row>
    <row r="376" spans="11:15" x14ac:dyDescent="0.3">
      <c r="K376" t="str">
        <f t="shared" si="29"/>
        <v/>
      </c>
      <c r="L376" t="str">
        <f t="shared" si="25"/>
        <v/>
      </c>
      <c r="M376" t="str">
        <f t="shared" si="26"/>
        <v/>
      </c>
      <c r="N376" t="str">
        <f t="shared" si="27"/>
        <v/>
      </c>
      <c r="O376" t="str">
        <f t="shared" si="28"/>
        <v/>
      </c>
    </row>
    <row r="377" spans="11:15" x14ac:dyDescent="0.3">
      <c r="K377" t="str">
        <f t="shared" si="29"/>
        <v/>
      </c>
      <c r="L377" t="str">
        <f t="shared" si="25"/>
        <v/>
      </c>
      <c r="M377" t="str">
        <f t="shared" si="26"/>
        <v/>
      </c>
      <c r="N377" t="str">
        <f t="shared" si="27"/>
        <v/>
      </c>
      <c r="O377" t="str">
        <f t="shared" si="28"/>
        <v/>
      </c>
    </row>
    <row r="378" spans="11:15" x14ac:dyDescent="0.3">
      <c r="K378" t="str">
        <f t="shared" si="29"/>
        <v/>
      </c>
      <c r="L378" t="str">
        <f t="shared" si="25"/>
        <v/>
      </c>
      <c r="M378" t="str">
        <f t="shared" si="26"/>
        <v/>
      </c>
      <c r="N378" t="str">
        <f t="shared" si="27"/>
        <v/>
      </c>
      <c r="O378" t="str">
        <f t="shared" si="28"/>
        <v/>
      </c>
    </row>
    <row r="379" spans="11:15" x14ac:dyDescent="0.3">
      <c r="K379" t="str">
        <f t="shared" si="29"/>
        <v/>
      </c>
      <c r="L379" t="str">
        <f t="shared" si="25"/>
        <v/>
      </c>
      <c r="M379" t="str">
        <f t="shared" si="26"/>
        <v/>
      </c>
      <c r="N379" t="str">
        <f t="shared" si="27"/>
        <v/>
      </c>
      <c r="O379" t="str">
        <f t="shared" si="28"/>
        <v/>
      </c>
    </row>
    <row r="380" spans="11:15" x14ac:dyDescent="0.3">
      <c r="K380" t="str">
        <f t="shared" si="29"/>
        <v/>
      </c>
      <c r="L380" t="str">
        <f t="shared" si="25"/>
        <v/>
      </c>
      <c r="M380" t="str">
        <f t="shared" si="26"/>
        <v/>
      </c>
      <c r="N380" t="str">
        <f t="shared" si="27"/>
        <v/>
      </c>
      <c r="O380" t="str">
        <f t="shared" si="28"/>
        <v/>
      </c>
    </row>
    <row r="381" spans="11:15" x14ac:dyDescent="0.3">
      <c r="K381" t="str">
        <f t="shared" si="29"/>
        <v/>
      </c>
      <c r="L381" t="str">
        <f t="shared" si="25"/>
        <v/>
      </c>
      <c r="M381" t="str">
        <f t="shared" si="26"/>
        <v/>
      </c>
      <c r="N381" t="str">
        <f t="shared" si="27"/>
        <v/>
      </c>
      <c r="O381" t="str">
        <f t="shared" si="28"/>
        <v/>
      </c>
    </row>
    <row r="382" spans="11:15" x14ac:dyDescent="0.3">
      <c r="K382" t="str">
        <f t="shared" si="29"/>
        <v/>
      </c>
      <c r="L382" t="str">
        <f t="shared" si="25"/>
        <v/>
      </c>
      <c r="M382" t="str">
        <f t="shared" si="26"/>
        <v/>
      </c>
      <c r="N382" t="str">
        <f t="shared" si="27"/>
        <v/>
      </c>
      <c r="O382" t="str">
        <f t="shared" si="28"/>
        <v/>
      </c>
    </row>
    <row r="383" spans="11:15" x14ac:dyDescent="0.3">
      <c r="K383" t="str">
        <f t="shared" si="29"/>
        <v/>
      </c>
      <c r="L383" t="str">
        <f t="shared" si="25"/>
        <v/>
      </c>
      <c r="M383" t="str">
        <f t="shared" si="26"/>
        <v/>
      </c>
      <c r="N383" t="str">
        <f t="shared" si="27"/>
        <v/>
      </c>
      <c r="O383" t="str">
        <f t="shared" si="28"/>
        <v/>
      </c>
    </row>
    <row r="384" spans="11:15" x14ac:dyDescent="0.3">
      <c r="K384" t="str">
        <f t="shared" si="29"/>
        <v/>
      </c>
      <c r="L384" t="str">
        <f t="shared" si="25"/>
        <v/>
      </c>
      <c r="M384" t="str">
        <f t="shared" si="26"/>
        <v/>
      </c>
      <c r="N384" t="str">
        <f t="shared" si="27"/>
        <v/>
      </c>
      <c r="O384" t="str">
        <f t="shared" si="28"/>
        <v/>
      </c>
    </row>
    <row r="385" spans="11:15" x14ac:dyDescent="0.3">
      <c r="K385" t="str">
        <f t="shared" si="29"/>
        <v/>
      </c>
      <c r="L385" t="str">
        <f t="shared" ref="L385:L448" si="30">IF(A385="","",IF(ISNUMBER(--LEFT(A385,FIND(" - ",A385&amp;" - ")-1)),LEFT(A385,FIND(" - ",A385&amp;" - ")-1),TRIM(A385)))</f>
        <v/>
      </c>
      <c r="M385" t="str">
        <f t="shared" ref="M385:M448" si="31">IF(OR(K385="",K385=A385,A385=""),"",K385&amp;"|"&amp;L385)</f>
        <v/>
      </c>
      <c r="N385" t="str">
        <f t="shared" ref="N385:N448" si="32">IF(M385="","",IF(ISNUMBER(B385),B385,IFERROR(_xlfn.NUMBERVALUE(B385,".",","),0)))</f>
        <v/>
      </c>
      <c r="O385" t="str">
        <f t="shared" ref="O385:O448" si="33">IF(M385="","",IF(ISNUMBER(C385),C385,IFERROR(_xlfn.NUMBERVALUE(C385,".",","),0)))</f>
        <v/>
      </c>
    </row>
    <row r="386" spans="11:15" x14ac:dyDescent="0.3">
      <c r="K386" t="str">
        <f t="shared" ref="K386:K449" si="34">IF(OR(LEFT(B386,9)="DOANH THU",LEFT(B386,8)="SỐ LƯỢNG"),A386,K385)</f>
        <v/>
      </c>
      <c r="L386" t="str">
        <f t="shared" si="30"/>
        <v/>
      </c>
      <c r="M386" t="str">
        <f t="shared" si="31"/>
        <v/>
      </c>
      <c r="N386" t="str">
        <f t="shared" si="32"/>
        <v/>
      </c>
      <c r="O386" t="str">
        <f t="shared" si="33"/>
        <v/>
      </c>
    </row>
    <row r="387" spans="11:15" x14ac:dyDescent="0.3">
      <c r="K387" t="str">
        <f t="shared" si="34"/>
        <v/>
      </c>
      <c r="L387" t="str">
        <f t="shared" si="30"/>
        <v/>
      </c>
      <c r="M387" t="str">
        <f t="shared" si="31"/>
        <v/>
      </c>
      <c r="N387" t="str">
        <f t="shared" si="32"/>
        <v/>
      </c>
      <c r="O387" t="str">
        <f t="shared" si="33"/>
        <v/>
      </c>
    </row>
    <row r="388" spans="11:15" x14ac:dyDescent="0.3">
      <c r="K388" t="str">
        <f t="shared" si="34"/>
        <v/>
      </c>
      <c r="L388" t="str">
        <f t="shared" si="30"/>
        <v/>
      </c>
      <c r="M388" t="str">
        <f t="shared" si="31"/>
        <v/>
      </c>
      <c r="N388" t="str">
        <f t="shared" si="32"/>
        <v/>
      </c>
      <c r="O388" t="str">
        <f t="shared" si="33"/>
        <v/>
      </c>
    </row>
    <row r="389" spans="11:15" x14ac:dyDescent="0.3">
      <c r="K389" t="str">
        <f t="shared" si="34"/>
        <v/>
      </c>
      <c r="L389" t="str">
        <f t="shared" si="30"/>
        <v/>
      </c>
      <c r="M389" t="str">
        <f t="shared" si="31"/>
        <v/>
      </c>
      <c r="N389" t="str">
        <f t="shared" si="32"/>
        <v/>
      </c>
      <c r="O389" t="str">
        <f t="shared" si="33"/>
        <v/>
      </c>
    </row>
    <row r="390" spans="11:15" x14ac:dyDescent="0.3">
      <c r="K390" t="str">
        <f t="shared" si="34"/>
        <v/>
      </c>
      <c r="L390" t="str">
        <f t="shared" si="30"/>
        <v/>
      </c>
      <c r="M390" t="str">
        <f t="shared" si="31"/>
        <v/>
      </c>
      <c r="N390" t="str">
        <f t="shared" si="32"/>
        <v/>
      </c>
      <c r="O390" t="str">
        <f t="shared" si="33"/>
        <v/>
      </c>
    </row>
    <row r="391" spans="11:15" x14ac:dyDescent="0.3">
      <c r="K391" t="str">
        <f t="shared" si="34"/>
        <v/>
      </c>
      <c r="L391" t="str">
        <f t="shared" si="30"/>
        <v/>
      </c>
      <c r="M391" t="str">
        <f t="shared" si="31"/>
        <v/>
      </c>
      <c r="N391" t="str">
        <f t="shared" si="32"/>
        <v/>
      </c>
      <c r="O391" t="str">
        <f t="shared" si="33"/>
        <v/>
      </c>
    </row>
    <row r="392" spans="11:15" x14ac:dyDescent="0.3">
      <c r="K392" t="str">
        <f t="shared" si="34"/>
        <v/>
      </c>
      <c r="L392" t="str">
        <f t="shared" si="30"/>
        <v/>
      </c>
      <c r="M392" t="str">
        <f t="shared" si="31"/>
        <v/>
      </c>
      <c r="N392" t="str">
        <f t="shared" si="32"/>
        <v/>
      </c>
      <c r="O392" t="str">
        <f t="shared" si="33"/>
        <v/>
      </c>
    </row>
    <row r="393" spans="11:15" x14ac:dyDescent="0.3">
      <c r="K393" t="str">
        <f t="shared" si="34"/>
        <v/>
      </c>
      <c r="L393" t="str">
        <f t="shared" si="30"/>
        <v/>
      </c>
      <c r="M393" t="str">
        <f t="shared" si="31"/>
        <v/>
      </c>
      <c r="N393" t="str">
        <f t="shared" si="32"/>
        <v/>
      </c>
      <c r="O393" t="str">
        <f t="shared" si="33"/>
        <v/>
      </c>
    </row>
    <row r="394" spans="11:15" x14ac:dyDescent="0.3">
      <c r="K394" t="str">
        <f t="shared" si="34"/>
        <v/>
      </c>
      <c r="L394" t="str">
        <f t="shared" si="30"/>
        <v/>
      </c>
      <c r="M394" t="str">
        <f t="shared" si="31"/>
        <v/>
      </c>
      <c r="N394" t="str">
        <f t="shared" si="32"/>
        <v/>
      </c>
      <c r="O394" t="str">
        <f t="shared" si="33"/>
        <v/>
      </c>
    </row>
    <row r="395" spans="11:15" x14ac:dyDescent="0.3">
      <c r="K395" t="str">
        <f t="shared" si="34"/>
        <v/>
      </c>
      <c r="L395" t="str">
        <f t="shared" si="30"/>
        <v/>
      </c>
      <c r="M395" t="str">
        <f t="shared" si="31"/>
        <v/>
      </c>
      <c r="N395" t="str">
        <f t="shared" si="32"/>
        <v/>
      </c>
      <c r="O395" t="str">
        <f t="shared" si="33"/>
        <v/>
      </c>
    </row>
    <row r="396" spans="11:15" x14ac:dyDescent="0.3">
      <c r="K396" t="str">
        <f t="shared" si="34"/>
        <v/>
      </c>
      <c r="L396" t="str">
        <f t="shared" si="30"/>
        <v/>
      </c>
      <c r="M396" t="str">
        <f t="shared" si="31"/>
        <v/>
      </c>
      <c r="N396" t="str">
        <f t="shared" si="32"/>
        <v/>
      </c>
      <c r="O396" t="str">
        <f t="shared" si="33"/>
        <v/>
      </c>
    </row>
    <row r="397" spans="11:15" x14ac:dyDescent="0.3">
      <c r="K397" t="str">
        <f t="shared" si="34"/>
        <v/>
      </c>
      <c r="L397" t="str">
        <f t="shared" si="30"/>
        <v/>
      </c>
      <c r="M397" t="str">
        <f t="shared" si="31"/>
        <v/>
      </c>
      <c r="N397" t="str">
        <f t="shared" si="32"/>
        <v/>
      </c>
      <c r="O397" t="str">
        <f t="shared" si="33"/>
        <v/>
      </c>
    </row>
    <row r="398" spans="11:15" x14ac:dyDescent="0.3">
      <c r="K398" t="str">
        <f t="shared" si="34"/>
        <v/>
      </c>
      <c r="L398" t="str">
        <f t="shared" si="30"/>
        <v/>
      </c>
      <c r="M398" t="str">
        <f t="shared" si="31"/>
        <v/>
      </c>
      <c r="N398" t="str">
        <f t="shared" si="32"/>
        <v/>
      </c>
      <c r="O398" t="str">
        <f t="shared" si="33"/>
        <v/>
      </c>
    </row>
    <row r="399" spans="11:15" x14ac:dyDescent="0.3">
      <c r="K399" t="str">
        <f t="shared" si="34"/>
        <v/>
      </c>
      <c r="L399" t="str">
        <f t="shared" si="30"/>
        <v/>
      </c>
      <c r="M399" t="str">
        <f t="shared" si="31"/>
        <v/>
      </c>
      <c r="N399" t="str">
        <f t="shared" si="32"/>
        <v/>
      </c>
      <c r="O399" t="str">
        <f t="shared" si="33"/>
        <v/>
      </c>
    </row>
    <row r="400" spans="11:15" x14ac:dyDescent="0.3">
      <c r="K400" t="str">
        <f t="shared" si="34"/>
        <v/>
      </c>
      <c r="L400" t="str">
        <f t="shared" si="30"/>
        <v/>
      </c>
      <c r="M400" t="str">
        <f t="shared" si="31"/>
        <v/>
      </c>
      <c r="N400" t="str">
        <f t="shared" si="32"/>
        <v/>
      </c>
      <c r="O400" t="str">
        <f t="shared" si="33"/>
        <v/>
      </c>
    </row>
    <row r="401" spans="11:15" x14ac:dyDescent="0.3">
      <c r="K401" t="str">
        <f t="shared" si="34"/>
        <v/>
      </c>
      <c r="L401" t="str">
        <f t="shared" si="30"/>
        <v/>
      </c>
      <c r="M401" t="str">
        <f t="shared" si="31"/>
        <v/>
      </c>
      <c r="N401" t="str">
        <f t="shared" si="32"/>
        <v/>
      </c>
      <c r="O401" t="str">
        <f t="shared" si="33"/>
        <v/>
      </c>
    </row>
    <row r="402" spans="11:15" x14ac:dyDescent="0.3">
      <c r="K402" t="str">
        <f t="shared" si="34"/>
        <v/>
      </c>
      <c r="L402" t="str">
        <f t="shared" si="30"/>
        <v/>
      </c>
      <c r="M402" t="str">
        <f t="shared" si="31"/>
        <v/>
      </c>
      <c r="N402" t="str">
        <f t="shared" si="32"/>
        <v/>
      </c>
      <c r="O402" t="str">
        <f t="shared" si="33"/>
        <v/>
      </c>
    </row>
    <row r="403" spans="11:15" x14ac:dyDescent="0.3">
      <c r="K403" t="str">
        <f t="shared" si="34"/>
        <v/>
      </c>
      <c r="L403" t="str">
        <f t="shared" si="30"/>
        <v/>
      </c>
      <c r="M403" t="str">
        <f t="shared" si="31"/>
        <v/>
      </c>
      <c r="N403" t="str">
        <f t="shared" si="32"/>
        <v/>
      </c>
      <c r="O403" t="str">
        <f t="shared" si="33"/>
        <v/>
      </c>
    </row>
    <row r="404" spans="11:15" x14ac:dyDescent="0.3">
      <c r="K404" t="str">
        <f t="shared" si="34"/>
        <v/>
      </c>
      <c r="L404" t="str">
        <f t="shared" si="30"/>
        <v/>
      </c>
      <c r="M404" t="str">
        <f t="shared" si="31"/>
        <v/>
      </c>
      <c r="N404" t="str">
        <f t="shared" si="32"/>
        <v/>
      </c>
      <c r="O404" t="str">
        <f t="shared" si="33"/>
        <v/>
      </c>
    </row>
    <row r="405" spans="11:15" x14ac:dyDescent="0.3">
      <c r="K405" t="str">
        <f t="shared" si="34"/>
        <v/>
      </c>
      <c r="L405" t="str">
        <f t="shared" si="30"/>
        <v/>
      </c>
      <c r="M405" t="str">
        <f t="shared" si="31"/>
        <v/>
      </c>
      <c r="N405" t="str">
        <f t="shared" si="32"/>
        <v/>
      </c>
      <c r="O405" t="str">
        <f t="shared" si="33"/>
        <v/>
      </c>
    </row>
    <row r="406" spans="11:15" x14ac:dyDescent="0.3">
      <c r="K406" t="str">
        <f t="shared" si="34"/>
        <v/>
      </c>
      <c r="L406" t="str">
        <f t="shared" si="30"/>
        <v/>
      </c>
      <c r="M406" t="str">
        <f t="shared" si="31"/>
        <v/>
      </c>
      <c r="N406" t="str">
        <f t="shared" si="32"/>
        <v/>
      </c>
      <c r="O406" t="str">
        <f t="shared" si="33"/>
        <v/>
      </c>
    </row>
    <row r="407" spans="11:15" x14ac:dyDescent="0.3">
      <c r="K407" t="str">
        <f t="shared" si="34"/>
        <v/>
      </c>
      <c r="L407" t="str">
        <f t="shared" si="30"/>
        <v/>
      </c>
      <c r="M407" t="str">
        <f t="shared" si="31"/>
        <v/>
      </c>
      <c r="N407" t="str">
        <f t="shared" si="32"/>
        <v/>
      </c>
      <c r="O407" t="str">
        <f t="shared" si="33"/>
        <v/>
      </c>
    </row>
    <row r="408" spans="11:15" x14ac:dyDescent="0.3">
      <c r="K408" t="str">
        <f t="shared" si="34"/>
        <v/>
      </c>
      <c r="L408" t="str">
        <f t="shared" si="30"/>
        <v/>
      </c>
      <c r="M408" t="str">
        <f t="shared" si="31"/>
        <v/>
      </c>
      <c r="N408" t="str">
        <f t="shared" si="32"/>
        <v/>
      </c>
      <c r="O408" t="str">
        <f t="shared" si="33"/>
        <v/>
      </c>
    </row>
    <row r="409" spans="11:15" x14ac:dyDescent="0.3">
      <c r="K409" t="str">
        <f t="shared" si="34"/>
        <v/>
      </c>
      <c r="L409" t="str">
        <f t="shared" si="30"/>
        <v/>
      </c>
      <c r="M409" t="str">
        <f t="shared" si="31"/>
        <v/>
      </c>
      <c r="N409" t="str">
        <f t="shared" si="32"/>
        <v/>
      </c>
      <c r="O409" t="str">
        <f t="shared" si="33"/>
        <v/>
      </c>
    </row>
    <row r="410" spans="11:15" x14ac:dyDescent="0.3">
      <c r="K410" t="str">
        <f t="shared" si="34"/>
        <v/>
      </c>
      <c r="L410" t="str">
        <f t="shared" si="30"/>
        <v/>
      </c>
      <c r="M410" t="str">
        <f t="shared" si="31"/>
        <v/>
      </c>
      <c r="N410" t="str">
        <f t="shared" si="32"/>
        <v/>
      </c>
      <c r="O410" t="str">
        <f t="shared" si="33"/>
        <v/>
      </c>
    </row>
    <row r="411" spans="11:15" x14ac:dyDescent="0.3">
      <c r="K411" t="str">
        <f t="shared" si="34"/>
        <v/>
      </c>
      <c r="L411" t="str">
        <f t="shared" si="30"/>
        <v/>
      </c>
      <c r="M411" t="str">
        <f t="shared" si="31"/>
        <v/>
      </c>
      <c r="N411" t="str">
        <f t="shared" si="32"/>
        <v/>
      </c>
      <c r="O411" t="str">
        <f t="shared" si="33"/>
        <v/>
      </c>
    </row>
    <row r="412" spans="11:15" x14ac:dyDescent="0.3">
      <c r="K412" t="str">
        <f t="shared" si="34"/>
        <v/>
      </c>
      <c r="L412" t="str">
        <f t="shared" si="30"/>
        <v/>
      </c>
      <c r="M412" t="str">
        <f t="shared" si="31"/>
        <v/>
      </c>
      <c r="N412" t="str">
        <f t="shared" si="32"/>
        <v/>
      </c>
      <c r="O412" t="str">
        <f t="shared" si="33"/>
        <v/>
      </c>
    </row>
    <row r="413" spans="11:15" x14ac:dyDescent="0.3">
      <c r="K413" t="str">
        <f t="shared" si="34"/>
        <v/>
      </c>
      <c r="L413" t="str">
        <f t="shared" si="30"/>
        <v/>
      </c>
      <c r="M413" t="str">
        <f t="shared" si="31"/>
        <v/>
      </c>
      <c r="N413" t="str">
        <f t="shared" si="32"/>
        <v/>
      </c>
      <c r="O413" t="str">
        <f t="shared" si="33"/>
        <v/>
      </c>
    </row>
    <row r="414" spans="11:15" x14ac:dyDescent="0.3">
      <c r="K414" t="str">
        <f t="shared" si="34"/>
        <v/>
      </c>
      <c r="L414" t="str">
        <f t="shared" si="30"/>
        <v/>
      </c>
      <c r="M414" t="str">
        <f t="shared" si="31"/>
        <v/>
      </c>
      <c r="N414" t="str">
        <f t="shared" si="32"/>
        <v/>
      </c>
      <c r="O414" t="str">
        <f t="shared" si="33"/>
        <v/>
      </c>
    </row>
    <row r="415" spans="11:15" x14ac:dyDescent="0.3">
      <c r="K415" t="str">
        <f t="shared" si="34"/>
        <v/>
      </c>
      <c r="L415" t="str">
        <f t="shared" si="30"/>
        <v/>
      </c>
      <c r="M415" t="str">
        <f t="shared" si="31"/>
        <v/>
      </c>
      <c r="N415" t="str">
        <f t="shared" si="32"/>
        <v/>
      </c>
      <c r="O415" t="str">
        <f t="shared" si="33"/>
        <v/>
      </c>
    </row>
    <row r="416" spans="11:15" x14ac:dyDescent="0.3">
      <c r="K416" t="str">
        <f t="shared" si="34"/>
        <v/>
      </c>
      <c r="L416" t="str">
        <f t="shared" si="30"/>
        <v/>
      </c>
      <c r="M416" t="str">
        <f t="shared" si="31"/>
        <v/>
      </c>
      <c r="N416" t="str">
        <f t="shared" si="32"/>
        <v/>
      </c>
      <c r="O416" t="str">
        <f t="shared" si="33"/>
        <v/>
      </c>
    </row>
    <row r="417" spans="11:15" x14ac:dyDescent="0.3">
      <c r="K417" t="str">
        <f t="shared" si="34"/>
        <v/>
      </c>
      <c r="L417" t="str">
        <f t="shared" si="30"/>
        <v/>
      </c>
      <c r="M417" t="str">
        <f t="shared" si="31"/>
        <v/>
      </c>
      <c r="N417" t="str">
        <f t="shared" si="32"/>
        <v/>
      </c>
      <c r="O417" t="str">
        <f t="shared" si="33"/>
        <v/>
      </c>
    </row>
    <row r="418" spans="11:15" x14ac:dyDescent="0.3">
      <c r="K418" t="str">
        <f t="shared" si="34"/>
        <v/>
      </c>
      <c r="L418" t="str">
        <f t="shared" si="30"/>
        <v/>
      </c>
      <c r="M418" t="str">
        <f t="shared" si="31"/>
        <v/>
      </c>
      <c r="N418" t="str">
        <f t="shared" si="32"/>
        <v/>
      </c>
      <c r="O418" t="str">
        <f t="shared" si="33"/>
        <v/>
      </c>
    </row>
    <row r="419" spans="11:15" x14ac:dyDescent="0.3">
      <c r="K419" t="str">
        <f t="shared" si="34"/>
        <v/>
      </c>
      <c r="L419" t="str">
        <f t="shared" si="30"/>
        <v/>
      </c>
      <c r="M419" t="str">
        <f t="shared" si="31"/>
        <v/>
      </c>
      <c r="N419" t="str">
        <f t="shared" si="32"/>
        <v/>
      </c>
      <c r="O419" t="str">
        <f t="shared" si="33"/>
        <v/>
      </c>
    </row>
    <row r="420" spans="11:15" x14ac:dyDescent="0.3">
      <c r="K420" t="str">
        <f t="shared" si="34"/>
        <v/>
      </c>
      <c r="L420" t="str">
        <f t="shared" si="30"/>
        <v/>
      </c>
      <c r="M420" t="str">
        <f t="shared" si="31"/>
        <v/>
      </c>
      <c r="N420" t="str">
        <f t="shared" si="32"/>
        <v/>
      </c>
      <c r="O420" t="str">
        <f t="shared" si="33"/>
        <v/>
      </c>
    </row>
    <row r="421" spans="11:15" x14ac:dyDescent="0.3">
      <c r="K421" t="str">
        <f t="shared" si="34"/>
        <v/>
      </c>
      <c r="L421" t="str">
        <f t="shared" si="30"/>
        <v/>
      </c>
      <c r="M421" t="str">
        <f t="shared" si="31"/>
        <v/>
      </c>
      <c r="N421" t="str">
        <f t="shared" si="32"/>
        <v/>
      </c>
      <c r="O421" t="str">
        <f t="shared" si="33"/>
        <v/>
      </c>
    </row>
    <row r="422" spans="11:15" x14ac:dyDescent="0.3">
      <c r="K422" t="str">
        <f t="shared" si="34"/>
        <v/>
      </c>
      <c r="L422" t="str">
        <f t="shared" si="30"/>
        <v/>
      </c>
      <c r="M422" t="str">
        <f t="shared" si="31"/>
        <v/>
      </c>
      <c r="N422" t="str">
        <f t="shared" si="32"/>
        <v/>
      </c>
      <c r="O422" t="str">
        <f t="shared" si="33"/>
        <v/>
      </c>
    </row>
    <row r="423" spans="11:15" x14ac:dyDescent="0.3">
      <c r="K423" t="str">
        <f t="shared" si="34"/>
        <v/>
      </c>
      <c r="L423" t="str">
        <f t="shared" si="30"/>
        <v/>
      </c>
      <c r="M423" t="str">
        <f t="shared" si="31"/>
        <v/>
      </c>
      <c r="N423" t="str">
        <f t="shared" si="32"/>
        <v/>
      </c>
      <c r="O423" t="str">
        <f t="shared" si="33"/>
        <v/>
      </c>
    </row>
    <row r="424" spans="11:15" x14ac:dyDescent="0.3">
      <c r="K424" t="str">
        <f t="shared" si="34"/>
        <v/>
      </c>
      <c r="L424" t="str">
        <f t="shared" si="30"/>
        <v/>
      </c>
      <c r="M424" t="str">
        <f t="shared" si="31"/>
        <v/>
      </c>
      <c r="N424" t="str">
        <f t="shared" si="32"/>
        <v/>
      </c>
      <c r="O424" t="str">
        <f t="shared" si="33"/>
        <v/>
      </c>
    </row>
    <row r="425" spans="11:15" x14ac:dyDescent="0.3">
      <c r="K425" t="str">
        <f t="shared" si="34"/>
        <v/>
      </c>
      <c r="L425" t="str">
        <f t="shared" si="30"/>
        <v/>
      </c>
      <c r="M425" t="str">
        <f t="shared" si="31"/>
        <v/>
      </c>
      <c r="N425" t="str">
        <f t="shared" si="32"/>
        <v/>
      </c>
      <c r="O425" t="str">
        <f t="shared" si="33"/>
        <v/>
      </c>
    </row>
    <row r="426" spans="11:15" x14ac:dyDescent="0.3">
      <c r="K426" t="str">
        <f t="shared" si="34"/>
        <v/>
      </c>
      <c r="L426" t="str">
        <f t="shared" si="30"/>
        <v/>
      </c>
      <c r="M426" t="str">
        <f t="shared" si="31"/>
        <v/>
      </c>
      <c r="N426" t="str">
        <f t="shared" si="32"/>
        <v/>
      </c>
      <c r="O426" t="str">
        <f t="shared" si="33"/>
        <v/>
      </c>
    </row>
    <row r="427" spans="11:15" x14ac:dyDescent="0.3">
      <c r="K427" t="str">
        <f t="shared" si="34"/>
        <v/>
      </c>
      <c r="L427" t="str">
        <f t="shared" si="30"/>
        <v/>
      </c>
      <c r="M427" t="str">
        <f t="shared" si="31"/>
        <v/>
      </c>
      <c r="N427" t="str">
        <f t="shared" si="32"/>
        <v/>
      </c>
      <c r="O427" t="str">
        <f t="shared" si="33"/>
        <v/>
      </c>
    </row>
    <row r="428" spans="11:15" x14ac:dyDescent="0.3">
      <c r="K428" t="str">
        <f t="shared" si="34"/>
        <v/>
      </c>
      <c r="L428" t="str">
        <f t="shared" si="30"/>
        <v/>
      </c>
      <c r="M428" t="str">
        <f t="shared" si="31"/>
        <v/>
      </c>
      <c r="N428" t="str">
        <f t="shared" si="32"/>
        <v/>
      </c>
      <c r="O428" t="str">
        <f t="shared" si="33"/>
        <v/>
      </c>
    </row>
    <row r="429" spans="11:15" x14ac:dyDescent="0.3">
      <c r="K429" t="str">
        <f t="shared" si="34"/>
        <v/>
      </c>
      <c r="L429" t="str">
        <f t="shared" si="30"/>
        <v/>
      </c>
      <c r="M429" t="str">
        <f t="shared" si="31"/>
        <v/>
      </c>
      <c r="N429" t="str">
        <f t="shared" si="32"/>
        <v/>
      </c>
      <c r="O429" t="str">
        <f t="shared" si="33"/>
        <v/>
      </c>
    </row>
    <row r="430" spans="11:15" x14ac:dyDescent="0.3">
      <c r="K430" t="str">
        <f t="shared" si="34"/>
        <v/>
      </c>
      <c r="L430" t="str">
        <f t="shared" si="30"/>
        <v/>
      </c>
      <c r="M430" t="str">
        <f t="shared" si="31"/>
        <v/>
      </c>
      <c r="N430" t="str">
        <f t="shared" si="32"/>
        <v/>
      </c>
      <c r="O430" t="str">
        <f t="shared" si="33"/>
        <v/>
      </c>
    </row>
    <row r="431" spans="11:15" x14ac:dyDescent="0.3">
      <c r="K431" t="str">
        <f t="shared" si="34"/>
        <v/>
      </c>
      <c r="L431" t="str">
        <f t="shared" si="30"/>
        <v/>
      </c>
      <c r="M431" t="str">
        <f t="shared" si="31"/>
        <v/>
      </c>
      <c r="N431" t="str">
        <f t="shared" si="32"/>
        <v/>
      </c>
      <c r="O431" t="str">
        <f t="shared" si="33"/>
        <v/>
      </c>
    </row>
    <row r="432" spans="11:15" x14ac:dyDescent="0.3">
      <c r="K432" t="str">
        <f t="shared" si="34"/>
        <v/>
      </c>
      <c r="L432" t="str">
        <f t="shared" si="30"/>
        <v/>
      </c>
      <c r="M432" t="str">
        <f t="shared" si="31"/>
        <v/>
      </c>
      <c r="N432" t="str">
        <f t="shared" si="32"/>
        <v/>
      </c>
      <c r="O432" t="str">
        <f t="shared" si="33"/>
        <v/>
      </c>
    </row>
    <row r="433" spans="11:15" x14ac:dyDescent="0.3">
      <c r="K433" t="str">
        <f t="shared" si="34"/>
        <v/>
      </c>
      <c r="L433" t="str">
        <f t="shared" si="30"/>
        <v/>
      </c>
      <c r="M433" t="str">
        <f t="shared" si="31"/>
        <v/>
      </c>
      <c r="N433" t="str">
        <f t="shared" si="32"/>
        <v/>
      </c>
      <c r="O433" t="str">
        <f t="shared" si="33"/>
        <v/>
      </c>
    </row>
    <row r="434" spans="11:15" x14ac:dyDescent="0.3">
      <c r="K434" t="str">
        <f t="shared" si="34"/>
        <v/>
      </c>
      <c r="L434" t="str">
        <f t="shared" si="30"/>
        <v/>
      </c>
      <c r="M434" t="str">
        <f t="shared" si="31"/>
        <v/>
      </c>
      <c r="N434" t="str">
        <f t="shared" si="32"/>
        <v/>
      </c>
      <c r="O434" t="str">
        <f t="shared" si="33"/>
        <v/>
      </c>
    </row>
    <row r="435" spans="11:15" x14ac:dyDescent="0.3">
      <c r="K435" t="str">
        <f t="shared" si="34"/>
        <v/>
      </c>
      <c r="L435" t="str">
        <f t="shared" si="30"/>
        <v/>
      </c>
      <c r="M435" t="str">
        <f t="shared" si="31"/>
        <v/>
      </c>
      <c r="N435" t="str">
        <f t="shared" si="32"/>
        <v/>
      </c>
      <c r="O435" t="str">
        <f t="shared" si="33"/>
        <v/>
      </c>
    </row>
    <row r="436" spans="11:15" x14ac:dyDescent="0.3">
      <c r="K436" t="str">
        <f t="shared" si="34"/>
        <v/>
      </c>
      <c r="L436" t="str">
        <f t="shared" si="30"/>
        <v/>
      </c>
      <c r="M436" t="str">
        <f t="shared" si="31"/>
        <v/>
      </c>
      <c r="N436" t="str">
        <f t="shared" si="32"/>
        <v/>
      </c>
      <c r="O436" t="str">
        <f t="shared" si="33"/>
        <v/>
      </c>
    </row>
    <row r="437" spans="11:15" x14ac:dyDescent="0.3">
      <c r="K437" t="str">
        <f t="shared" si="34"/>
        <v/>
      </c>
      <c r="L437" t="str">
        <f t="shared" si="30"/>
        <v/>
      </c>
      <c r="M437" t="str">
        <f t="shared" si="31"/>
        <v/>
      </c>
      <c r="N437" t="str">
        <f t="shared" si="32"/>
        <v/>
      </c>
      <c r="O437" t="str">
        <f t="shared" si="33"/>
        <v/>
      </c>
    </row>
    <row r="438" spans="11:15" x14ac:dyDescent="0.3">
      <c r="K438" t="str">
        <f t="shared" si="34"/>
        <v/>
      </c>
      <c r="L438" t="str">
        <f t="shared" si="30"/>
        <v/>
      </c>
      <c r="M438" t="str">
        <f t="shared" si="31"/>
        <v/>
      </c>
      <c r="N438" t="str">
        <f t="shared" si="32"/>
        <v/>
      </c>
      <c r="O438" t="str">
        <f t="shared" si="33"/>
        <v/>
      </c>
    </row>
    <row r="439" spans="11:15" x14ac:dyDescent="0.3">
      <c r="K439" t="str">
        <f t="shared" si="34"/>
        <v/>
      </c>
      <c r="L439" t="str">
        <f t="shared" si="30"/>
        <v/>
      </c>
      <c r="M439" t="str">
        <f t="shared" si="31"/>
        <v/>
      </c>
      <c r="N439" t="str">
        <f t="shared" si="32"/>
        <v/>
      </c>
      <c r="O439" t="str">
        <f t="shared" si="33"/>
        <v/>
      </c>
    </row>
    <row r="440" spans="11:15" x14ac:dyDescent="0.3">
      <c r="K440" t="str">
        <f t="shared" si="34"/>
        <v/>
      </c>
      <c r="L440" t="str">
        <f t="shared" si="30"/>
        <v/>
      </c>
      <c r="M440" t="str">
        <f t="shared" si="31"/>
        <v/>
      </c>
      <c r="N440" t="str">
        <f t="shared" si="32"/>
        <v/>
      </c>
      <c r="O440" t="str">
        <f t="shared" si="33"/>
        <v/>
      </c>
    </row>
    <row r="441" spans="11:15" x14ac:dyDescent="0.3">
      <c r="K441" t="str">
        <f t="shared" si="34"/>
        <v/>
      </c>
      <c r="L441" t="str">
        <f t="shared" si="30"/>
        <v/>
      </c>
      <c r="M441" t="str">
        <f t="shared" si="31"/>
        <v/>
      </c>
      <c r="N441" t="str">
        <f t="shared" si="32"/>
        <v/>
      </c>
      <c r="O441" t="str">
        <f t="shared" si="33"/>
        <v/>
      </c>
    </row>
    <row r="442" spans="11:15" x14ac:dyDescent="0.3">
      <c r="K442" t="str">
        <f t="shared" si="34"/>
        <v/>
      </c>
      <c r="L442" t="str">
        <f t="shared" si="30"/>
        <v/>
      </c>
      <c r="M442" t="str">
        <f t="shared" si="31"/>
        <v/>
      </c>
      <c r="N442" t="str">
        <f t="shared" si="32"/>
        <v/>
      </c>
      <c r="O442" t="str">
        <f t="shared" si="33"/>
        <v/>
      </c>
    </row>
    <row r="443" spans="11:15" x14ac:dyDescent="0.3">
      <c r="K443" t="str">
        <f t="shared" si="34"/>
        <v/>
      </c>
      <c r="L443" t="str">
        <f t="shared" si="30"/>
        <v/>
      </c>
      <c r="M443" t="str">
        <f t="shared" si="31"/>
        <v/>
      </c>
      <c r="N443" t="str">
        <f t="shared" si="32"/>
        <v/>
      </c>
      <c r="O443" t="str">
        <f t="shared" si="33"/>
        <v/>
      </c>
    </row>
    <row r="444" spans="11:15" x14ac:dyDescent="0.3">
      <c r="K444" t="str">
        <f t="shared" si="34"/>
        <v/>
      </c>
      <c r="L444" t="str">
        <f t="shared" si="30"/>
        <v/>
      </c>
      <c r="M444" t="str">
        <f t="shared" si="31"/>
        <v/>
      </c>
      <c r="N444" t="str">
        <f t="shared" si="32"/>
        <v/>
      </c>
      <c r="O444" t="str">
        <f t="shared" si="33"/>
        <v/>
      </c>
    </row>
    <row r="445" spans="11:15" x14ac:dyDescent="0.3">
      <c r="K445" t="str">
        <f t="shared" si="34"/>
        <v/>
      </c>
      <c r="L445" t="str">
        <f t="shared" si="30"/>
        <v/>
      </c>
      <c r="M445" t="str">
        <f t="shared" si="31"/>
        <v/>
      </c>
      <c r="N445" t="str">
        <f t="shared" si="32"/>
        <v/>
      </c>
      <c r="O445" t="str">
        <f t="shared" si="33"/>
        <v/>
      </c>
    </row>
    <row r="446" spans="11:15" x14ac:dyDescent="0.3">
      <c r="K446" t="str">
        <f t="shared" si="34"/>
        <v/>
      </c>
      <c r="L446" t="str">
        <f t="shared" si="30"/>
        <v/>
      </c>
      <c r="M446" t="str">
        <f t="shared" si="31"/>
        <v/>
      </c>
      <c r="N446" t="str">
        <f t="shared" si="32"/>
        <v/>
      </c>
      <c r="O446" t="str">
        <f t="shared" si="33"/>
        <v/>
      </c>
    </row>
    <row r="447" spans="11:15" x14ac:dyDescent="0.3">
      <c r="K447" t="str">
        <f t="shared" si="34"/>
        <v/>
      </c>
      <c r="L447" t="str">
        <f t="shared" si="30"/>
        <v/>
      </c>
      <c r="M447" t="str">
        <f t="shared" si="31"/>
        <v/>
      </c>
      <c r="N447" t="str">
        <f t="shared" si="32"/>
        <v/>
      </c>
      <c r="O447" t="str">
        <f t="shared" si="33"/>
        <v/>
      </c>
    </row>
    <row r="448" spans="11:15" x14ac:dyDescent="0.3">
      <c r="K448" t="str">
        <f t="shared" si="34"/>
        <v/>
      </c>
      <c r="L448" t="str">
        <f t="shared" si="30"/>
        <v/>
      </c>
      <c r="M448" t="str">
        <f t="shared" si="31"/>
        <v/>
      </c>
      <c r="N448" t="str">
        <f t="shared" si="32"/>
        <v/>
      </c>
      <c r="O448" t="str">
        <f t="shared" si="33"/>
        <v/>
      </c>
    </row>
    <row r="449" spans="11:15" x14ac:dyDescent="0.3">
      <c r="K449" t="str">
        <f t="shared" si="34"/>
        <v/>
      </c>
      <c r="L449" t="str">
        <f t="shared" ref="L449:L512" si="35">IF(A449="","",IF(ISNUMBER(--LEFT(A449,FIND(" - ",A449&amp;" - ")-1)),LEFT(A449,FIND(" - ",A449&amp;" - ")-1),TRIM(A449)))</f>
        <v/>
      </c>
      <c r="M449" t="str">
        <f t="shared" ref="M449:M512" si="36">IF(OR(K449="",K449=A449,A449=""),"",K449&amp;"|"&amp;L449)</f>
        <v/>
      </c>
      <c r="N449" t="str">
        <f t="shared" ref="N449:N512" si="37">IF(M449="","",IF(ISNUMBER(B449),B449,IFERROR(_xlfn.NUMBERVALUE(B449,".",","),0)))</f>
        <v/>
      </c>
      <c r="O449" t="str">
        <f t="shared" ref="O449:O512" si="38">IF(M449="","",IF(ISNUMBER(C449),C449,IFERROR(_xlfn.NUMBERVALUE(C449,".",","),0)))</f>
        <v/>
      </c>
    </row>
    <row r="450" spans="11:15" x14ac:dyDescent="0.3">
      <c r="K450" t="str">
        <f t="shared" ref="K450:K513" si="39">IF(OR(LEFT(B450,9)="DOANH THU",LEFT(B450,8)="SỐ LƯỢNG"),A450,K449)</f>
        <v/>
      </c>
      <c r="L450" t="str">
        <f t="shared" si="35"/>
        <v/>
      </c>
      <c r="M450" t="str">
        <f t="shared" si="36"/>
        <v/>
      </c>
      <c r="N450" t="str">
        <f t="shared" si="37"/>
        <v/>
      </c>
      <c r="O450" t="str">
        <f t="shared" si="38"/>
        <v/>
      </c>
    </row>
    <row r="451" spans="11:15" x14ac:dyDescent="0.3">
      <c r="K451" t="str">
        <f t="shared" si="39"/>
        <v/>
      </c>
      <c r="L451" t="str">
        <f t="shared" si="35"/>
        <v/>
      </c>
      <c r="M451" t="str">
        <f t="shared" si="36"/>
        <v/>
      </c>
      <c r="N451" t="str">
        <f t="shared" si="37"/>
        <v/>
      </c>
      <c r="O451" t="str">
        <f t="shared" si="38"/>
        <v/>
      </c>
    </row>
    <row r="452" spans="11:15" x14ac:dyDescent="0.3">
      <c r="K452" t="str">
        <f t="shared" si="39"/>
        <v/>
      </c>
      <c r="L452" t="str">
        <f t="shared" si="35"/>
        <v/>
      </c>
      <c r="M452" t="str">
        <f t="shared" si="36"/>
        <v/>
      </c>
      <c r="N452" t="str">
        <f t="shared" si="37"/>
        <v/>
      </c>
      <c r="O452" t="str">
        <f t="shared" si="38"/>
        <v/>
      </c>
    </row>
    <row r="453" spans="11:15" x14ac:dyDescent="0.3">
      <c r="K453" t="str">
        <f t="shared" si="39"/>
        <v/>
      </c>
      <c r="L453" t="str">
        <f t="shared" si="35"/>
        <v/>
      </c>
      <c r="M453" t="str">
        <f t="shared" si="36"/>
        <v/>
      </c>
      <c r="N453" t="str">
        <f t="shared" si="37"/>
        <v/>
      </c>
      <c r="O453" t="str">
        <f t="shared" si="38"/>
        <v/>
      </c>
    </row>
    <row r="454" spans="11:15" x14ac:dyDescent="0.3">
      <c r="K454" t="str">
        <f t="shared" si="39"/>
        <v/>
      </c>
      <c r="L454" t="str">
        <f t="shared" si="35"/>
        <v/>
      </c>
      <c r="M454" t="str">
        <f t="shared" si="36"/>
        <v/>
      </c>
      <c r="N454" t="str">
        <f t="shared" si="37"/>
        <v/>
      </c>
      <c r="O454" t="str">
        <f t="shared" si="38"/>
        <v/>
      </c>
    </row>
    <row r="455" spans="11:15" x14ac:dyDescent="0.3">
      <c r="K455" t="str">
        <f t="shared" si="39"/>
        <v/>
      </c>
      <c r="L455" t="str">
        <f t="shared" si="35"/>
        <v/>
      </c>
      <c r="M455" t="str">
        <f t="shared" si="36"/>
        <v/>
      </c>
      <c r="N455" t="str">
        <f t="shared" si="37"/>
        <v/>
      </c>
      <c r="O455" t="str">
        <f t="shared" si="38"/>
        <v/>
      </c>
    </row>
    <row r="456" spans="11:15" x14ac:dyDescent="0.3">
      <c r="K456" t="str">
        <f t="shared" si="39"/>
        <v/>
      </c>
      <c r="L456" t="str">
        <f t="shared" si="35"/>
        <v/>
      </c>
      <c r="M456" t="str">
        <f t="shared" si="36"/>
        <v/>
      </c>
      <c r="N456" t="str">
        <f t="shared" si="37"/>
        <v/>
      </c>
      <c r="O456" t="str">
        <f t="shared" si="38"/>
        <v/>
      </c>
    </row>
    <row r="457" spans="11:15" x14ac:dyDescent="0.3">
      <c r="K457" t="str">
        <f t="shared" si="39"/>
        <v/>
      </c>
      <c r="L457" t="str">
        <f t="shared" si="35"/>
        <v/>
      </c>
      <c r="M457" t="str">
        <f t="shared" si="36"/>
        <v/>
      </c>
      <c r="N457" t="str">
        <f t="shared" si="37"/>
        <v/>
      </c>
      <c r="O457" t="str">
        <f t="shared" si="38"/>
        <v/>
      </c>
    </row>
    <row r="458" spans="11:15" x14ac:dyDescent="0.3">
      <c r="K458" t="str">
        <f t="shared" si="39"/>
        <v/>
      </c>
      <c r="L458" t="str">
        <f t="shared" si="35"/>
        <v/>
      </c>
      <c r="M458" t="str">
        <f t="shared" si="36"/>
        <v/>
      </c>
      <c r="N458" t="str">
        <f t="shared" si="37"/>
        <v/>
      </c>
      <c r="O458" t="str">
        <f t="shared" si="38"/>
        <v/>
      </c>
    </row>
    <row r="459" spans="11:15" x14ac:dyDescent="0.3">
      <c r="K459" t="str">
        <f t="shared" si="39"/>
        <v/>
      </c>
      <c r="L459" t="str">
        <f t="shared" si="35"/>
        <v/>
      </c>
      <c r="M459" t="str">
        <f t="shared" si="36"/>
        <v/>
      </c>
      <c r="N459" t="str">
        <f t="shared" si="37"/>
        <v/>
      </c>
      <c r="O459" t="str">
        <f t="shared" si="38"/>
        <v/>
      </c>
    </row>
    <row r="460" spans="11:15" x14ac:dyDescent="0.3">
      <c r="K460" t="str">
        <f t="shared" si="39"/>
        <v/>
      </c>
      <c r="L460" t="str">
        <f t="shared" si="35"/>
        <v/>
      </c>
      <c r="M460" t="str">
        <f t="shared" si="36"/>
        <v/>
      </c>
      <c r="N460" t="str">
        <f t="shared" si="37"/>
        <v/>
      </c>
      <c r="O460" t="str">
        <f t="shared" si="38"/>
        <v/>
      </c>
    </row>
    <row r="461" spans="11:15" x14ac:dyDescent="0.3">
      <c r="K461" t="str">
        <f t="shared" si="39"/>
        <v/>
      </c>
      <c r="L461" t="str">
        <f t="shared" si="35"/>
        <v/>
      </c>
      <c r="M461" t="str">
        <f t="shared" si="36"/>
        <v/>
      </c>
      <c r="N461" t="str">
        <f t="shared" si="37"/>
        <v/>
      </c>
      <c r="O461" t="str">
        <f t="shared" si="38"/>
        <v/>
      </c>
    </row>
    <row r="462" spans="11:15" x14ac:dyDescent="0.3">
      <c r="K462" t="str">
        <f t="shared" si="39"/>
        <v/>
      </c>
      <c r="L462" t="str">
        <f t="shared" si="35"/>
        <v/>
      </c>
      <c r="M462" t="str">
        <f t="shared" si="36"/>
        <v/>
      </c>
      <c r="N462" t="str">
        <f t="shared" si="37"/>
        <v/>
      </c>
      <c r="O462" t="str">
        <f t="shared" si="38"/>
        <v/>
      </c>
    </row>
    <row r="463" spans="11:15" x14ac:dyDescent="0.3">
      <c r="K463" t="str">
        <f t="shared" si="39"/>
        <v/>
      </c>
      <c r="L463" t="str">
        <f t="shared" si="35"/>
        <v/>
      </c>
      <c r="M463" t="str">
        <f t="shared" si="36"/>
        <v/>
      </c>
      <c r="N463" t="str">
        <f t="shared" si="37"/>
        <v/>
      </c>
      <c r="O463" t="str">
        <f t="shared" si="38"/>
        <v/>
      </c>
    </row>
    <row r="464" spans="11:15" x14ac:dyDescent="0.3">
      <c r="K464" t="str">
        <f t="shared" si="39"/>
        <v/>
      </c>
      <c r="L464" t="str">
        <f t="shared" si="35"/>
        <v/>
      </c>
      <c r="M464" t="str">
        <f t="shared" si="36"/>
        <v/>
      </c>
      <c r="N464" t="str">
        <f t="shared" si="37"/>
        <v/>
      </c>
      <c r="O464" t="str">
        <f t="shared" si="38"/>
        <v/>
      </c>
    </row>
    <row r="465" spans="11:15" x14ac:dyDescent="0.3">
      <c r="K465" t="str">
        <f t="shared" si="39"/>
        <v/>
      </c>
      <c r="L465" t="str">
        <f t="shared" si="35"/>
        <v/>
      </c>
      <c r="M465" t="str">
        <f t="shared" si="36"/>
        <v/>
      </c>
      <c r="N465" t="str">
        <f t="shared" si="37"/>
        <v/>
      </c>
      <c r="O465" t="str">
        <f t="shared" si="38"/>
        <v/>
      </c>
    </row>
    <row r="466" spans="11:15" x14ac:dyDescent="0.3">
      <c r="K466" t="str">
        <f t="shared" si="39"/>
        <v/>
      </c>
      <c r="L466" t="str">
        <f t="shared" si="35"/>
        <v/>
      </c>
      <c r="M466" t="str">
        <f t="shared" si="36"/>
        <v/>
      </c>
      <c r="N466" t="str">
        <f t="shared" si="37"/>
        <v/>
      </c>
      <c r="O466" t="str">
        <f t="shared" si="38"/>
        <v/>
      </c>
    </row>
    <row r="467" spans="11:15" x14ac:dyDescent="0.3">
      <c r="K467" t="str">
        <f t="shared" si="39"/>
        <v/>
      </c>
      <c r="L467" t="str">
        <f t="shared" si="35"/>
        <v/>
      </c>
      <c r="M467" t="str">
        <f t="shared" si="36"/>
        <v/>
      </c>
      <c r="N467" t="str">
        <f t="shared" si="37"/>
        <v/>
      </c>
      <c r="O467" t="str">
        <f t="shared" si="38"/>
        <v/>
      </c>
    </row>
    <row r="468" spans="11:15" x14ac:dyDescent="0.3">
      <c r="K468" t="str">
        <f t="shared" si="39"/>
        <v/>
      </c>
      <c r="L468" t="str">
        <f t="shared" si="35"/>
        <v/>
      </c>
      <c r="M468" t="str">
        <f t="shared" si="36"/>
        <v/>
      </c>
      <c r="N468" t="str">
        <f t="shared" si="37"/>
        <v/>
      </c>
      <c r="O468" t="str">
        <f t="shared" si="38"/>
        <v/>
      </c>
    </row>
    <row r="469" spans="11:15" x14ac:dyDescent="0.3">
      <c r="K469" t="str">
        <f t="shared" si="39"/>
        <v/>
      </c>
      <c r="L469" t="str">
        <f t="shared" si="35"/>
        <v/>
      </c>
      <c r="M469" t="str">
        <f t="shared" si="36"/>
        <v/>
      </c>
      <c r="N469" t="str">
        <f t="shared" si="37"/>
        <v/>
      </c>
      <c r="O469" t="str">
        <f t="shared" si="38"/>
        <v/>
      </c>
    </row>
    <row r="470" spans="11:15" x14ac:dyDescent="0.3">
      <c r="K470" t="str">
        <f t="shared" si="39"/>
        <v/>
      </c>
      <c r="L470" t="str">
        <f t="shared" si="35"/>
        <v/>
      </c>
      <c r="M470" t="str">
        <f t="shared" si="36"/>
        <v/>
      </c>
      <c r="N470" t="str">
        <f t="shared" si="37"/>
        <v/>
      </c>
      <c r="O470" t="str">
        <f t="shared" si="38"/>
        <v/>
      </c>
    </row>
    <row r="471" spans="11:15" x14ac:dyDescent="0.3">
      <c r="K471" t="str">
        <f t="shared" si="39"/>
        <v/>
      </c>
      <c r="L471" t="str">
        <f t="shared" si="35"/>
        <v/>
      </c>
      <c r="M471" t="str">
        <f t="shared" si="36"/>
        <v/>
      </c>
      <c r="N471" t="str">
        <f t="shared" si="37"/>
        <v/>
      </c>
      <c r="O471" t="str">
        <f t="shared" si="38"/>
        <v/>
      </c>
    </row>
    <row r="472" spans="11:15" x14ac:dyDescent="0.3">
      <c r="K472" t="str">
        <f t="shared" si="39"/>
        <v/>
      </c>
      <c r="L472" t="str">
        <f t="shared" si="35"/>
        <v/>
      </c>
      <c r="M472" t="str">
        <f t="shared" si="36"/>
        <v/>
      </c>
      <c r="N472" t="str">
        <f t="shared" si="37"/>
        <v/>
      </c>
      <c r="O472" t="str">
        <f t="shared" si="38"/>
        <v/>
      </c>
    </row>
    <row r="473" spans="11:15" x14ac:dyDescent="0.3">
      <c r="K473" t="str">
        <f t="shared" si="39"/>
        <v/>
      </c>
      <c r="L473" t="str">
        <f t="shared" si="35"/>
        <v/>
      </c>
      <c r="M473" t="str">
        <f t="shared" si="36"/>
        <v/>
      </c>
      <c r="N473" t="str">
        <f t="shared" si="37"/>
        <v/>
      </c>
      <c r="O473" t="str">
        <f t="shared" si="38"/>
        <v/>
      </c>
    </row>
    <row r="474" spans="11:15" x14ac:dyDescent="0.3">
      <c r="K474" t="str">
        <f t="shared" si="39"/>
        <v/>
      </c>
      <c r="L474" t="str">
        <f t="shared" si="35"/>
        <v/>
      </c>
      <c r="M474" t="str">
        <f t="shared" si="36"/>
        <v/>
      </c>
      <c r="N474" t="str">
        <f t="shared" si="37"/>
        <v/>
      </c>
      <c r="O474" t="str">
        <f t="shared" si="38"/>
        <v/>
      </c>
    </row>
    <row r="475" spans="11:15" x14ac:dyDescent="0.3">
      <c r="K475" t="str">
        <f t="shared" si="39"/>
        <v/>
      </c>
      <c r="L475" t="str">
        <f t="shared" si="35"/>
        <v/>
      </c>
      <c r="M475" t="str">
        <f t="shared" si="36"/>
        <v/>
      </c>
      <c r="N475" t="str">
        <f t="shared" si="37"/>
        <v/>
      </c>
      <c r="O475" t="str">
        <f t="shared" si="38"/>
        <v/>
      </c>
    </row>
    <row r="476" spans="11:15" x14ac:dyDescent="0.3">
      <c r="K476" t="str">
        <f t="shared" si="39"/>
        <v/>
      </c>
      <c r="L476" t="str">
        <f t="shared" si="35"/>
        <v/>
      </c>
      <c r="M476" t="str">
        <f t="shared" si="36"/>
        <v/>
      </c>
      <c r="N476" t="str">
        <f t="shared" si="37"/>
        <v/>
      </c>
      <c r="O476" t="str">
        <f t="shared" si="38"/>
        <v/>
      </c>
    </row>
    <row r="477" spans="11:15" x14ac:dyDescent="0.3">
      <c r="K477" t="str">
        <f t="shared" si="39"/>
        <v/>
      </c>
      <c r="L477" t="str">
        <f t="shared" si="35"/>
        <v/>
      </c>
      <c r="M477" t="str">
        <f t="shared" si="36"/>
        <v/>
      </c>
      <c r="N477" t="str">
        <f t="shared" si="37"/>
        <v/>
      </c>
      <c r="O477" t="str">
        <f t="shared" si="38"/>
        <v/>
      </c>
    </row>
    <row r="478" spans="11:15" x14ac:dyDescent="0.3">
      <c r="K478" t="str">
        <f t="shared" si="39"/>
        <v/>
      </c>
      <c r="L478" t="str">
        <f t="shared" si="35"/>
        <v/>
      </c>
      <c r="M478" t="str">
        <f t="shared" si="36"/>
        <v/>
      </c>
      <c r="N478" t="str">
        <f t="shared" si="37"/>
        <v/>
      </c>
      <c r="O478" t="str">
        <f t="shared" si="38"/>
        <v/>
      </c>
    </row>
    <row r="479" spans="11:15" x14ac:dyDescent="0.3">
      <c r="K479" t="str">
        <f t="shared" si="39"/>
        <v/>
      </c>
      <c r="L479" t="str">
        <f t="shared" si="35"/>
        <v/>
      </c>
      <c r="M479" t="str">
        <f t="shared" si="36"/>
        <v/>
      </c>
      <c r="N479" t="str">
        <f t="shared" si="37"/>
        <v/>
      </c>
      <c r="O479" t="str">
        <f t="shared" si="38"/>
        <v/>
      </c>
    </row>
    <row r="480" spans="11:15" x14ac:dyDescent="0.3">
      <c r="K480" t="str">
        <f t="shared" si="39"/>
        <v/>
      </c>
      <c r="L480" t="str">
        <f t="shared" si="35"/>
        <v/>
      </c>
      <c r="M480" t="str">
        <f t="shared" si="36"/>
        <v/>
      </c>
      <c r="N480" t="str">
        <f t="shared" si="37"/>
        <v/>
      </c>
      <c r="O480" t="str">
        <f t="shared" si="38"/>
        <v/>
      </c>
    </row>
    <row r="481" spans="11:15" x14ac:dyDescent="0.3">
      <c r="K481" t="str">
        <f t="shared" si="39"/>
        <v/>
      </c>
      <c r="L481" t="str">
        <f t="shared" si="35"/>
        <v/>
      </c>
      <c r="M481" t="str">
        <f t="shared" si="36"/>
        <v/>
      </c>
      <c r="N481" t="str">
        <f t="shared" si="37"/>
        <v/>
      </c>
      <c r="O481" t="str">
        <f t="shared" si="38"/>
        <v/>
      </c>
    </row>
    <row r="482" spans="11:15" x14ac:dyDescent="0.3">
      <c r="K482" t="str">
        <f t="shared" si="39"/>
        <v/>
      </c>
      <c r="L482" t="str">
        <f t="shared" si="35"/>
        <v/>
      </c>
      <c r="M482" t="str">
        <f t="shared" si="36"/>
        <v/>
      </c>
      <c r="N482" t="str">
        <f t="shared" si="37"/>
        <v/>
      </c>
      <c r="O482" t="str">
        <f t="shared" si="38"/>
        <v/>
      </c>
    </row>
    <row r="483" spans="11:15" x14ac:dyDescent="0.3">
      <c r="K483" t="str">
        <f t="shared" si="39"/>
        <v/>
      </c>
      <c r="L483" t="str">
        <f t="shared" si="35"/>
        <v/>
      </c>
      <c r="M483" t="str">
        <f t="shared" si="36"/>
        <v/>
      </c>
      <c r="N483" t="str">
        <f t="shared" si="37"/>
        <v/>
      </c>
      <c r="O483" t="str">
        <f t="shared" si="38"/>
        <v/>
      </c>
    </row>
    <row r="484" spans="11:15" x14ac:dyDescent="0.3">
      <c r="K484" t="str">
        <f t="shared" si="39"/>
        <v/>
      </c>
      <c r="L484" t="str">
        <f t="shared" si="35"/>
        <v/>
      </c>
      <c r="M484" t="str">
        <f t="shared" si="36"/>
        <v/>
      </c>
      <c r="N484" t="str">
        <f t="shared" si="37"/>
        <v/>
      </c>
      <c r="O484" t="str">
        <f t="shared" si="38"/>
        <v/>
      </c>
    </row>
    <row r="485" spans="11:15" x14ac:dyDescent="0.3">
      <c r="K485" t="str">
        <f t="shared" si="39"/>
        <v/>
      </c>
      <c r="L485" t="str">
        <f t="shared" si="35"/>
        <v/>
      </c>
      <c r="M485" t="str">
        <f t="shared" si="36"/>
        <v/>
      </c>
      <c r="N485" t="str">
        <f t="shared" si="37"/>
        <v/>
      </c>
      <c r="O485" t="str">
        <f t="shared" si="38"/>
        <v/>
      </c>
    </row>
    <row r="486" spans="11:15" x14ac:dyDescent="0.3">
      <c r="K486" t="str">
        <f t="shared" si="39"/>
        <v/>
      </c>
      <c r="L486" t="str">
        <f t="shared" si="35"/>
        <v/>
      </c>
      <c r="M486" t="str">
        <f t="shared" si="36"/>
        <v/>
      </c>
      <c r="N486" t="str">
        <f t="shared" si="37"/>
        <v/>
      </c>
      <c r="O486" t="str">
        <f t="shared" si="38"/>
        <v/>
      </c>
    </row>
    <row r="487" spans="11:15" x14ac:dyDescent="0.3">
      <c r="K487" t="str">
        <f t="shared" si="39"/>
        <v/>
      </c>
      <c r="L487" t="str">
        <f t="shared" si="35"/>
        <v/>
      </c>
      <c r="M487" t="str">
        <f t="shared" si="36"/>
        <v/>
      </c>
      <c r="N487" t="str">
        <f t="shared" si="37"/>
        <v/>
      </c>
      <c r="O487" t="str">
        <f t="shared" si="38"/>
        <v/>
      </c>
    </row>
    <row r="488" spans="11:15" x14ac:dyDescent="0.3">
      <c r="K488" t="str">
        <f t="shared" si="39"/>
        <v/>
      </c>
      <c r="L488" t="str">
        <f t="shared" si="35"/>
        <v/>
      </c>
      <c r="M488" t="str">
        <f t="shared" si="36"/>
        <v/>
      </c>
      <c r="N488" t="str">
        <f t="shared" si="37"/>
        <v/>
      </c>
      <c r="O488" t="str">
        <f t="shared" si="38"/>
        <v/>
      </c>
    </row>
    <row r="489" spans="11:15" x14ac:dyDescent="0.3">
      <c r="K489" t="str">
        <f t="shared" si="39"/>
        <v/>
      </c>
      <c r="L489" t="str">
        <f t="shared" si="35"/>
        <v/>
      </c>
      <c r="M489" t="str">
        <f t="shared" si="36"/>
        <v/>
      </c>
      <c r="N489" t="str">
        <f t="shared" si="37"/>
        <v/>
      </c>
      <c r="O489" t="str">
        <f t="shared" si="38"/>
        <v/>
      </c>
    </row>
    <row r="490" spans="11:15" x14ac:dyDescent="0.3">
      <c r="K490" t="str">
        <f t="shared" si="39"/>
        <v/>
      </c>
      <c r="L490" t="str">
        <f t="shared" si="35"/>
        <v/>
      </c>
      <c r="M490" t="str">
        <f t="shared" si="36"/>
        <v/>
      </c>
      <c r="N490" t="str">
        <f t="shared" si="37"/>
        <v/>
      </c>
      <c r="O490" t="str">
        <f t="shared" si="38"/>
        <v/>
      </c>
    </row>
    <row r="491" spans="11:15" x14ac:dyDescent="0.3">
      <c r="K491" t="str">
        <f t="shared" si="39"/>
        <v/>
      </c>
      <c r="L491" t="str">
        <f t="shared" si="35"/>
        <v/>
      </c>
      <c r="M491" t="str">
        <f t="shared" si="36"/>
        <v/>
      </c>
      <c r="N491" t="str">
        <f t="shared" si="37"/>
        <v/>
      </c>
      <c r="O491" t="str">
        <f t="shared" si="38"/>
        <v/>
      </c>
    </row>
    <row r="492" spans="11:15" x14ac:dyDescent="0.3">
      <c r="K492" t="str">
        <f t="shared" si="39"/>
        <v/>
      </c>
      <c r="L492" t="str">
        <f t="shared" si="35"/>
        <v/>
      </c>
      <c r="M492" t="str">
        <f t="shared" si="36"/>
        <v/>
      </c>
      <c r="N492" t="str">
        <f t="shared" si="37"/>
        <v/>
      </c>
      <c r="O492" t="str">
        <f t="shared" si="38"/>
        <v/>
      </c>
    </row>
    <row r="493" spans="11:15" x14ac:dyDescent="0.3">
      <c r="K493" t="str">
        <f t="shared" si="39"/>
        <v/>
      </c>
      <c r="L493" t="str">
        <f t="shared" si="35"/>
        <v/>
      </c>
      <c r="M493" t="str">
        <f t="shared" si="36"/>
        <v/>
      </c>
      <c r="N493" t="str">
        <f t="shared" si="37"/>
        <v/>
      </c>
      <c r="O493" t="str">
        <f t="shared" si="38"/>
        <v/>
      </c>
    </row>
    <row r="494" spans="11:15" x14ac:dyDescent="0.3">
      <c r="K494" t="str">
        <f t="shared" si="39"/>
        <v/>
      </c>
      <c r="L494" t="str">
        <f t="shared" si="35"/>
        <v/>
      </c>
      <c r="M494" t="str">
        <f t="shared" si="36"/>
        <v/>
      </c>
      <c r="N494" t="str">
        <f t="shared" si="37"/>
        <v/>
      </c>
      <c r="O494" t="str">
        <f t="shared" si="38"/>
        <v/>
      </c>
    </row>
    <row r="495" spans="11:15" x14ac:dyDescent="0.3">
      <c r="K495" t="str">
        <f t="shared" si="39"/>
        <v/>
      </c>
      <c r="L495" t="str">
        <f t="shared" si="35"/>
        <v/>
      </c>
      <c r="M495" t="str">
        <f t="shared" si="36"/>
        <v/>
      </c>
      <c r="N495" t="str">
        <f t="shared" si="37"/>
        <v/>
      </c>
      <c r="O495" t="str">
        <f t="shared" si="38"/>
        <v/>
      </c>
    </row>
    <row r="496" spans="11:15" x14ac:dyDescent="0.3">
      <c r="K496" t="str">
        <f t="shared" si="39"/>
        <v/>
      </c>
      <c r="L496" t="str">
        <f t="shared" si="35"/>
        <v/>
      </c>
      <c r="M496" t="str">
        <f t="shared" si="36"/>
        <v/>
      </c>
      <c r="N496" t="str">
        <f t="shared" si="37"/>
        <v/>
      </c>
      <c r="O496" t="str">
        <f t="shared" si="38"/>
        <v/>
      </c>
    </row>
    <row r="497" spans="11:15" x14ac:dyDescent="0.3">
      <c r="K497" t="str">
        <f t="shared" si="39"/>
        <v/>
      </c>
      <c r="L497" t="str">
        <f t="shared" si="35"/>
        <v/>
      </c>
      <c r="M497" t="str">
        <f t="shared" si="36"/>
        <v/>
      </c>
      <c r="N497" t="str">
        <f t="shared" si="37"/>
        <v/>
      </c>
      <c r="O497" t="str">
        <f t="shared" si="38"/>
        <v/>
      </c>
    </row>
    <row r="498" spans="11:15" x14ac:dyDescent="0.3">
      <c r="K498" t="str">
        <f t="shared" si="39"/>
        <v/>
      </c>
      <c r="L498" t="str">
        <f t="shared" si="35"/>
        <v/>
      </c>
      <c r="M498" t="str">
        <f t="shared" si="36"/>
        <v/>
      </c>
      <c r="N498" t="str">
        <f t="shared" si="37"/>
        <v/>
      </c>
      <c r="O498" t="str">
        <f t="shared" si="38"/>
        <v/>
      </c>
    </row>
    <row r="499" spans="11:15" x14ac:dyDescent="0.3">
      <c r="K499" t="str">
        <f t="shared" si="39"/>
        <v/>
      </c>
      <c r="L499" t="str">
        <f t="shared" si="35"/>
        <v/>
      </c>
      <c r="M499" t="str">
        <f t="shared" si="36"/>
        <v/>
      </c>
      <c r="N499" t="str">
        <f t="shared" si="37"/>
        <v/>
      </c>
      <c r="O499" t="str">
        <f t="shared" si="38"/>
        <v/>
      </c>
    </row>
    <row r="500" spans="11:15" x14ac:dyDescent="0.3">
      <c r="K500" t="str">
        <f t="shared" si="39"/>
        <v/>
      </c>
      <c r="L500" t="str">
        <f t="shared" si="35"/>
        <v/>
      </c>
      <c r="M500" t="str">
        <f t="shared" si="36"/>
        <v/>
      </c>
      <c r="N500" t="str">
        <f t="shared" si="37"/>
        <v/>
      </c>
      <c r="O500" t="str">
        <f t="shared" si="38"/>
        <v/>
      </c>
    </row>
    <row r="501" spans="11:15" x14ac:dyDescent="0.3">
      <c r="K501" t="str">
        <f t="shared" si="39"/>
        <v/>
      </c>
      <c r="L501" t="str">
        <f t="shared" si="35"/>
        <v/>
      </c>
      <c r="M501" t="str">
        <f t="shared" si="36"/>
        <v/>
      </c>
      <c r="N501" t="str">
        <f t="shared" si="37"/>
        <v/>
      </c>
      <c r="O501" t="str">
        <f t="shared" si="38"/>
        <v/>
      </c>
    </row>
    <row r="502" spans="11:15" x14ac:dyDescent="0.3">
      <c r="K502" t="str">
        <f t="shared" si="39"/>
        <v/>
      </c>
      <c r="L502" t="str">
        <f t="shared" si="35"/>
        <v/>
      </c>
      <c r="M502" t="str">
        <f t="shared" si="36"/>
        <v/>
      </c>
      <c r="N502" t="str">
        <f t="shared" si="37"/>
        <v/>
      </c>
      <c r="O502" t="str">
        <f t="shared" si="38"/>
        <v/>
      </c>
    </row>
    <row r="503" spans="11:15" x14ac:dyDescent="0.3">
      <c r="K503" t="str">
        <f t="shared" si="39"/>
        <v/>
      </c>
      <c r="L503" t="str">
        <f t="shared" si="35"/>
        <v/>
      </c>
      <c r="M503" t="str">
        <f t="shared" si="36"/>
        <v/>
      </c>
      <c r="N503" t="str">
        <f t="shared" si="37"/>
        <v/>
      </c>
      <c r="O503" t="str">
        <f t="shared" si="38"/>
        <v/>
      </c>
    </row>
    <row r="504" spans="11:15" x14ac:dyDescent="0.3">
      <c r="K504" t="str">
        <f t="shared" si="39"/>
        <v/>
      </c>
      <c r="L504" t="str">
        <f t="shared" si="35"/>
        <v/>
      </c>
      <c r="M504" t="str">
        <f t="shared" si="36"/>
        <v/>
      </c>
      <c r="N504" t="str">
        <f t="shared" si="37"/>
        <v/>
      </c>
      <c r="O504" t="str">
        <f t="shared" si="38"/>
        <v/>
      </c>
    </row>
    <row r="505" spans="11:15" x14ac:dyDescent="0.3">
      <c r="K505" t="str">
        <f t="shared" si="39"/>
        <v/>
      </c>
      <c r="L505" t="str">
        <f t="shared" si="35"/>
        <v/>
      </c>
      <c r="M505" t="str">
        <f t="shared" si="36"/>
        <v/>
      </c>
      <c r="N505" t="str">
        <f t="shared" si="37"/>
        <v/>
      </c>
      <c r="O505" t="str">
        <f t="shared" si="38"/>
        <v/>
      </c>
    </row>
    <row r="506" spans="11:15" x14ac:dyDescent="0.3">
      <c r="K506" t="str">
        <f t="shared" si="39"/>
        <v/>
      </c>
      <c r="L506" t="str">
        <f t="shared" si="35"/>
        <v/>
      </c>
      <c r="M506" t="str">
        <f t="shared" si="36"/>
        <v/>
      </c>
      <c r="N506" t="str">
        <f t="shared" si="37"/>
        <v/>
      </c>
      <c r="O506" t="str">
        <f t="shared" si="38"/>
        <v/>
      </c>
    </row>
    <row r="507" spans="11:15" x14ac:dyDescent="0.3">
      <c r="K507" t="str">
        <f t="shared" si="39"/>
        <v/>
      </c>
      <c r="L507" t="str">
        <f t="shared" si="35"/>
        <v/>
      </c>
      <c r="M507" t="str">
        <f t="shared" si="36"/>
        <v/>
      </c>
      <c r="N507" t="str">
        <f t="shared" si="37"/>
        <v/>
      </c>
      <c r="O507" t="str">
        <f t="shared" si="38"/>
        <v/>
      </c>
    </row>
    <row r="508" spans="11:15" x14ac:dyDescent="0.3">
      <c r="K508" t="str">
        <f t="shared" si="39"/>
        <v/>
      </c>
      <c r="L508" t="str">
        <f t="shared" si="35"/>
        <v/>
      </c>
      <c r="M508" t="str">
        <f t="shared" si="36"/>
        <v/>
      </c>
      <c r="N508" t="str">
        <f t="shared" si="37"/>
        <v/>
      </c>
      <c r="O508" t="str">
        <f t="shared" si="38"/>
        <v/>
      </c>
    </row>
    <row r="509" spans="11:15" x14ac:dyDescent="0.3">
      <c r="K509" t="str">
        <f t="shared" si="39"/>
        <v/>
      </c>
      <c r="L509" t="str">
        <f t="shared" si="35"/>
        <v/>
      </c>
      <c r="M509" t="str">
        <f t="shared" si="36"/>
        <v/>
      </c>
      <c r="N509" t="str">
        <f t="shared" si="37"/>
        <v/>
      </c>
      <c r="O509" t="str">
        <f t="shared" si="38"/>
        <v/>
      </c>
    </row>
    <row r="510" spans="11:15" x14ac:dyDescent="0.3">
      <c r="K510" t="str">
        <f t="shared" si="39"/>
        <v/>
      </c>
      <c r="L510" t="str">
        <f t="shared" si="35"/>
        <v/>
      </c>
      <c r="M510" t="str">
        <f t="shared" si="36"/>
        <v/>
      </c>
      <c r="N510" t="str">
        <f t="shared" si="37"/>
        <v/>
      </c>
      <c r="O510" t="str">
        <f t="shared" si="38"/>
        <v/>
      </c>
    </row>
    <row r="511" spans="11:15" x14ac:dyDescent="0.3">
      <c r="K511" t="str">
        <f t="shared" si="39"/>
        <v/>
      </c>
      <c r="L511" t="str">
        <f t="shared" si="35"/>
        <v/>
      </c>
      <c r="M511" t="str">
        <f t="shared" si="36"/>
        <v/>
      </c>
      <c r="N511" t="str">
        <f t="shared" si="37"/>
        <v/>
      </c>
      <c r="O511" t="str">
        <f t="shared" si="38"/>
        <v/>
      </c>
    </row>
    <row r="512" spans="11:15" x14ac:dyDescent="0.3">
      <c r="K512" t="str">
        <f t="shared" si="39"/>
        <v/>
      </c>
      <c r="L512" t="str">
        <f t="shared" si="35"/>
        <v/>
      </c>
      <c r="M512" t="str">
        <f t="shared" si="36"/>
        <v/>
      </c>
      <c r="N512" t="str">
        <f t="shared" si="37"/>
        <v/>
      </c>
      <c r="O512" t="str">
        <f t="shared" si="38"/>
        <v/>
      </c>
    </row>
    <row r="513" spans="11:15" x14ac:dyDescent="0.3">
      <c r="K513" t="str">
        <f t="shared" si="39"/>
        <v/>
      </c>
      <c r="L513" t="str">
        <f t="shared" ref="L513:L576" si="40">IF(A513="","",IF(ISNUMBER(--LEFT(A513,FIND(" - ",A513&amp;" - ")-1)),LEFT(A513,FIND(" - ",A513&amp;" - ")-1),TRIM(A513)))</f>
        <v/>
      </c>
      <c r="M513" t="str">
        <f t="shared" ref="M513:M576" si="41">IF(OR(K513="",K513=A513,A513=""),"",K513&amp;"|"&amp;L513)</f>
        <v/>
      </c>
      <c r="N513" t="str">
        <f t="shared" ref="N513:N576" si="42">IF(M513="","",IF(ISNUMBER(B513),B513,IFERROR(_xlfn.NUMBERVALUE(B513,".",","),0)))</f>
        <v/>
      </c>
      <c r="O513" t="str">
        <f t="shared" ref="O513:O576" si="43">IF(M513="","",IF(ISNUMBER(C513),C513,IFERROR(_xlfn.NUMBERVALUE(C513,".",","),0)))</f>
        <v/>
      </c>
    </row>
    <row r="514" spans="11:15" x14ac:dyDescent="0.3">
      <c r="K514" t="str">
        <f t="shared" ref="K514:K577" si="44">IF(OR(LEFT(B514,9)="DOANH THU",LEFT(B514,8)="SỐ LƯỢNG"),A514,K513)</f>
        <v/>
      </c>
      <c r="L514" t="str">
        <f t="shared" si="40"/>
        <v/>
      </c>
      <c r="M514" t="str">
        <f t="shared" si="41"/>
        <v/>
      </c>
      <c r="N514" t="str">
        <f t="shared" si="42"/>
        <v/>
      </c>
      <c r="O514" t="str">
        <f t="shared" si="43"/>
        <v/>
      </c>
    </row>
    <row r="515" spans="11:15" x14ac:dyDescent="0.3">
      <c r="K515" t="str">
        <f t="shared" si="44"/>
        <v/>
      </c>
      <c r="L515" t="str">
        <f t="shared" si="40"/>
        <v/>
      </c>
      <c r="M515" t="str">
        <f t="shared" si="41"/>
        <v/>
      </c>
      <c r="N515" t="str">
        <f t="shared" si="42"/>
        <v/>
      </c>
      <c r="O515" t="str">
        <f t="shared" si="43"/>
        <v/>
      </c>
    </row>
    <row r="516" spans="11:15" x14ac:dyDescent="0.3">
      <c r="K516" t="str">
        <f t="shared" si="44"/>
        <v/>
      </c>
      <c r="L516" t="str">
        <f t="shared" si="40"/>
        <v/>
      </c>
      <c r="M516" t="str">
        <f t="shared" si="41"/>
        <v/>
      </c>
      <c r="N516" t="str">
        <f t="shared" si="42"/>
        <v/>
      </c>
      <c r="O516" t="str">
        <f t="shared" si="43"/>
        <v/>
      </c>
    </row>
    <row r="517" spans="11:15" x14ac:dyDescent="0.3">
      <c r="K517" t="str">
        <f t="shared" si="44"/>
        <v/>
      </c>
      <c r="L517" t="str">
        <f t="shared" si="40"/>
        <v/>
      </c>
      <c r="M517" t="str">
        <f t="shared" si="41"/>
        <v/>
      </c>
      <c r="N517" t="str">
        <f t="shared" si="42"/>
        <v/>
      </c>
      <c r="O517" t="str">
        <f t="shared" si="43"/>
        <v/>
      </c>
    </row>
    <row r="518" spans="11:15" x14ac:dyDescent="0.3">
      <c r="K518" t="str">
        <f t="shared" si="44"/>
        <v/>
      </c>
      <c r="L518" t="str">
        <f t="shared" si="40"/>
        <v/>
      </c>
      <c r="M518" t="str">
        <f t="shared" si="41"/>
        <v/>
      </c>
      <c r="N518" t="str">
        <f t="shared" si="42"/>
        <v/>
      </c>
      <c r="O518" t="str">
        <f t="shared" si="43"/>
        <v/>
      </c>
    </row>
    <row r="519" spans="11:15" x14ac:dyDescent="0.3">
      <c r="K519" t="str">
        <f t="shared" si="44"/>
        <v/>
      </c>
      <c r="L519" t="str">
        <f t="shared" si="40"/>
        <v/>
      </c>
      <c r="M519" t="str">
        <f t="shared" si="41"/>
        <v/>
      </c>
      <c r="N519" t="str">
        <f t="shared" si="42"/>
        <v/>
      </c>
      <c r="O519" t="str">
        <f t="shared" si="43"/>
        <v/>
      </c>
    </row>
    <row r="520" spans="11:15" x14ac:dyDescent="0.3">
      <c r="K520" t="str">
        <f t="shared" si="44"/>
        <v/>
      </c>
      <c r="L520" t="str">
        <f t="shared" si="40"/>
        <v/>
      </c>
      <c r="M520" t="str">
        <f t="shared" si="41"/>
        <v/>
      </c>
      <c r="N520" t="str">
        <f t="shared" si="42"/>
        <v/>
      </c>
      <c r="O520" t="str">
        <f t="shared" si="43"/>
        <v/>
      </c>
    </row>
    <row r="521" spans="11:15" x14ac:dyDescent="0.3">
      <c r="K521" t="str">
        <f t="shared" si="44"/>
        <v/>
      </c>
      <c r="L521" t="str">
        <f t="shared" si="40"/>
        <v/>
      </c>
      <c r="M521" t="str">
        <f t="shared" si="41"/>
        <v/>
      </c>
      <c r="N521" t="str">
        <f t="shared" si="42"/>
        <v/>
      </c>
      <c r="O521" t="str">
        <f t="shared" si="43"/>
        <v/>
      </c>
    </row>
    <row r="522" spans="11:15" x14ac:dyDescent="0.3">
      <c r="K522" t="str">
        <f t="shared" si="44"/>
        <v/>
      </c>
      <c r="L522" t="str">
        <f t="shared" si="40"/>
        <v/>
      </c>
      <c r="M522" t="str">
        <f t="shared" si="41"/>
        <v/>
      </c>
      <c r="N522" t="str">
        <f t="shared" si="42"/>
        <v/>
      </c>
      <c r="O522" t="str">
        <f t="shared" si="43"/>
        <v/>
      </c>
    </row>
    <row r="523" spans="11:15" x14ac:dyDescent="0.3">
      <c r="K523" t="str">
        <f t="shared" si="44"/>
        <v/>
      </c>
      <c r="L523" t="str">
        <f t="shared" si="40"/>
        <v/>
      </c>
      <c r="M523" t="str">
        <f t="shared" si="41"/>
        <v/>
      </c>
      <c r="N523" t="str">
        <f t="shared" si="42"/>
        <v/>
      </c>
      <c r="O523" t="str">
        <f t="shared" si="43"/>
        <v/>
      </c>
    </row>
    <row r="524" spans="11:15" x14ac:dyDescent="0.3">
      <c r="K524" t="str">
        <f t="shared" si="44"/>
        <v/>
      </c>
      <c r="L524" t="str">
        <f t="shared" si="40"/>
        <v/>
      </c>
      <c r="M524" t="str">
        <f t="shared" si="41"/>
        <v/>
      </c>
      <c r="N524" t="str">
        <f t="shared" si="42"/>
        <v/>
      </c>
      <c r="O524" t="str">
        <f t="shared" si="43"/>
        <v/>
      </c>
    </row>
    <row r="525" spans="11:15" x14ac:dyDescent="0.3">
      <c r="K525" t="str">
        <f t="shared" si="44"/>
        <v/>
      </c>
      <c r="L525" t="str">
        <f t="shared" si="40"/>
        <v/>
      </c>
      <c r="M525" t="str">
        <f t="shared" si="41"/>
        <v/>
      </c>
      <c r="N525" t="str">
        <f t="shared" si="42"/>
        <v/>
      </c>
      <c r="O525" t="str">
        <f t="shared" si="43"/>
        <v/>
      </c>
    </row>
    <row r="526" spans="11:15" x14ac:dyDescent="0.3">
      <c r="K526" t="str">
        <f t="shared" si="44"/>
        <v/>
      </c>
      <c r="L526" t="str">
        <f t="shared" si="40"/>
        <v/>
      </c>
      <c r="M526" t="str">
        <f t="shared" si="41"/>
        <v/>
      </c>
      <c r="N526" t="str">
        <f t="shared" si="42"/>
        <v/>
      </c>
      <c r="O526" t="str">
        <f t="shared" si="43"/>
        <v/>
      </c>
    </row>
    <row r="527" spans="11:15" x14ac:dyDescent="0.3">
      <c r="K527" t="str">
        <f t="shared" si="44"/>
        <v/>
      </c>
      <c r="L527" t="str">
        <f t="shared" si="40"/>
        <v/>
      </c>
      <c r="M527" t="str">
        <f t="shared" si="41"/>
        <v/>
      </c>
      <c r="N527" t="str">
        <f t="shared" si="42"/>
        <v/>
      </c>
      <c r="O527" t="str">
        <f t="shared" si="43"/>
        <v/>
      </c>
    </row>
    <row r="528" spans="11:15" x14ac:dyDescent="0.3">
      <c r="K528" t="str">
        <f t="shared" si="44"/>
        <v/>
      </c>
      <c r="L528" t="str">
        <f t="shared" si="40"/>
        <v/>
      </c>
      <c r="M528" t="str">
        <f t="shared" si="41"/>
        <v/>
      </c>
      <c r="N528" t="str">
        <f t="shared" si="42"/>
        <v/>
      </c>
      <c r="O528" t="str">
        <f t="shared" si="43"/>
        <v/>
      </c>
    </row>
    <row r="529" spans="11:15" x14ac:dyDescent="0.3">
      <c r="K529" t="str">
        <f t="shared" si="44"/>
        <v/>
      </c>
      <c r="L529" t="str">
        <f t="shared" si="40"/>
        <v/>
      </c>
      <c r="M529" t="str">
        <f t="shared" si="41"/>
        <v/>
      </c>
      <c r="N529" t="str">
        <f t="shared" si="42"/>
        <v/>
      </c>
      <c r="O529" t="str">
        <f t="shared" si="43"/>
        <v/>
      </c>
    </row>
    <row r="530" spans="11:15" x14ac:dyDescent="0.3">
      <c r="K530" t="str">
        <f t="shared" si="44"/>
        <v/>
      </c>
      <c r="L530" t="str">
        <f t="shared" si="40"/>
        <v/>
      </c>
      <c r="M530" t="str">
        <f t="shared" si="41"/>
        <v/>
      </c>
      <c r="N530" t="str">
        <f t="shared" si="42"/>
        <v/>
      </c>
      <c r="O530" t="str">
        <f t="shared" si="43"/>
        <v/>
      </c>
    </row>
    <row r="531" spans="11:15" x14ac:dyDescent="0.3">
      <c r="K531" t="str">
        <f t="shared" si="44"/>
        <v/>
      </c>
      <c r="L531" t="str">
        <f t="shared" si="40"/>
        <v/>
      </c>
      <c r="M531" t="str">
        <f t="shared" si="41"/>
        <v/>
      </c>
      <c r="N531" t="str">
        <f t="shared" si="42"/>
        <v/>
      </c>
      <c r="O531" t="str">
        <f t="shared" si="43"/>
        <v/>
      </c>
    </row>
    <row r="532" spans="11:15" x14ac:dyDescent="0.3">
      <c r="K532" t="str">
        <f t="shared" si="44"/>
        <v/>
      </c>
      <c r="L532" t="str">
        <f t="shared" si="40"/>
        <v/>
      </c>
      <c r="M532" t="str">
        <f t="shared" si="41"/>
        <v/>
      </c>
      <c r="N532" t="str">
        <f t="shared" si="42"/>
        <v/>
      </c>
      <c r="O532" t="str">
        <f t="shared" si="43"/>
        <v/>
      </c>
    </row>
    <row r="533" spans="11:15" x14ac:dyDescent="0.3">
      <c r="K533" t="str">
        <f t="shared" si="44"/>
        <v/>
      </c>
      <c r="L533" t="str">
        <f t="shared" si="40"/>
        <v/>
      </c>
      <c r="M533" t="str">
        <f t="shared" si="41"/>
        <v/>
      </c>
      <c r="N533" t="str">
        <f t="shared" si="42"/>
        <v/>
      </c>
      <c r="O533" t="str">
        <f t="shared" si="43"/>
        <v/>
      </c>
    </row>
    <row r="534" spans="11:15" x14ac:dyDescent="0.3">
      <c r="K534" t="str">
        <f t="shared" si="44"/>
        <v/>
      </c>
      <c r="L534" t="str">
        <f t="shared" si="40"/>
        <v/>
      </c>
      <c r="M534" t="str">
        <f t="shared" si="41"/>
        <v/>
      </c>
      <c r="N534" t="str">
        <f t="shared" si="42"/>
        <v/>
      </c>
      <c r="O534" t="str">
        <f t="shared" si="43"/>
        <v/>
      </c>
    </row>
    <row r="535" spans="11:15" x14ac:dyDescent="0.3">
      <c r="K535" t="str">
        <f t="shared" si="44"/>
        <v/>
      </c>
      <c r="L535" t="str">
        <f t="shared" si="40"/>
        <v/>
      </c>
      <c r="M535" t="str">
        <f t="shared" si="41"/>
        <v/>
      </c>
      <c r="N535" t="str">
        <f t="shared" si="42"/>
        <v/>
      </c>
      <c r="O535" t="str">
        <f t="shared" si="43"/>
        <v/>
      </c>
    </row>
    <row r="536" spans="11:15" x14ac:dyDescent="0.3">
      <c r="K536" t="str">
        <f t="shared" si="44"/>
        <v/>
      </c>
      <c r="L536" t="str">
        <f t="shared" si="40"/>
        <v/>
      </c>
      <c r="M536" t="str">
        <f t="shared" si="41"/>
        <v/>
      </c>
      <c r="N536" t="str">
        <f t="shared" si="42"/>
        <v/>
      </c>
      <c r="O536" t="str">
        <f t="shared" si="43"/>
        <v/>
      </c>
    </row>
    <row r="537" spans="11:15" x14ac:dyDescent="0.3">
      <c r="K537" t="str">
        <f t="shared" si="44"/>
        <v/>
      </c>
      <c r="L537" t="str">
        <f t="shared" si="40"/>
        <v/>
      </c>
      <c r="M537" t="str">
        <f t="shared" si="41"/>
        <v/>
      </c>
      <c r="N537" t="str">
        <f t="shared" si="42"/>
        <v/>
      </c>
      <c r="O537" t="str">
        <f t="shared" si="43"/>
        <v/>
      </c>
    </row>
    <row r="538" spans="11:15" x14ac:dyDescent="0.3">
      <c r="K538" t="str">
        <f t="shared" si="44"/>
        <v/>
      </c>
      <c r="L538" t="str">
        <f t="shared" si="40"/>
        <v/>
      </c>
      <c r="M538" t="str">
        <f t="shared" si="41"/>
        <v/>
      </c>
      <c r="N538" t="str">
        <f t="shared" si="42"/>
        <v/>
      </c>
      <c r="O538" t="str">
        <f t="shared" si="43"/>
        <v/>
      </c>
    </row>
    <row r="539" spans="11:15" x14ac:dyDescent="0.3">
      <c r="K539" t="str">
        <f t="shared" si="44"/>
        <v/>
      </c>
      <c r="L539" t="str">
        <f t="shared" si="40"/>
        <v/>
      </c>
      <c r="M539" t="str">
        <f t="shared" si="41"/>
        <v/>
      </c>
      <c r="N539" t="str">
        <f t="shared" si="42"/>
        <v/>
      </c>
      <c r="O539" t="str">
        <f t="shared" si="43"/>
        <v/>
      </c>
    </row>
    <row r="540" spans="11:15" x14ac:dyDescent="0.3">
      <c r="K540" t="str">
        <f t="shared" si="44"/>
        <v/>
      </c>
      <c r="L540" t="str">
        <f t="shared" si="40"/>
        <v/>
      </c>
      <c r="M540" t="str">
        <f t="shared" si="41"/>
        <v/>
      </c>
      <c r="N540" t="str">
        <f t="shared" si="42"/>
        <v/>
      </c>
      <c r="O540" t="str">
        <f t="shared" si="43"/>
        <v/>
      </c>
    </row>
    <row r="541" spans="11:15" x14ac:dyDescent="0.3">
      <c r="K541" t="str">
        <f t="shared" si="44"/>
        <v/>
      </c>
      <c r="L541" t="str">
        <f t="shared" si="40"/>
        <v/>
      </c>
      <c r="M541" t="str">
        <f t="shared" si="41"/>
        <v/>
      </c>
      <c r="N541" t="str">
        <f t="shared" si="42"/>
        <v/>
      </c>
      <c r="O541" t="str">
        <f t="shared" si="43"/>
        <v/>
      </c>
    </row>
    <row r="542" spans="11:15" x14ac:dyDescent="0.3">
      <c r="K542" t="str">
        <f t="shared" si="44"/>
        <v/>
      </c>
      <c r="L542" t="str">
        <f t="shared" si="40"/>
        <v/>
      </c>
      <c r="M542" t="str">
        <f t="shared" si="41"/>
        <v/>
      </c>
      <c r="N542" t="str">
        <f t="shared" si="42"/>
        <v/>
      </c>
      <c r="O542" t="str">
        <f t="shared" si="43"/>
        <v/>
      </c>
    </row>
    <row r="543" spans="11:15" x14ac:dyDescent="0.3">
      <c r="K543" t="str">
        <f t="shared" si="44"/>
        <v/>
      </c>
      <c r="L543" t="str">
        <f t="shared" si="40"/>
        <v/>
      </c>
      <c r="M543" t="str">
        <f t="shared" si="41"/>
        <v/>
      </c>
      <c r="N543" t="str">
        <f t="shared" si="42"/>
        <v/>
      </c>
      <c r="O543" t="str">
        <f t="shared" si="43"/>
        <v/>
      </c>
    </row>
    <row r="544" spans="11:15" x14ac:dyDescent="0.3">
      <c r="K544" t="str">
        <f t="shared" si="44"/>
        <v/>
      </c>
      <c r="L544" t="str">
        <f t="shared" si="40"/>
        <v/>
      </c>
      <c r="M544" t="str">
        <f t="shared" si="41"/>
        <v/>
      </c>
      <c r="N544" t="str">
        <f t="shared" si="42"/>
        <v/>
      </c>
      <c r="O544" t="str">
        <f t="shared" si="43"/>
        <v/>
      </c>
    </row>
    <row r="545" spans="11:15" x14ac:dyDescent="0.3">
      <c r="K545" t="str">
        <f t="shared" si="44"/>
        <v/>
      </c>
      <c r="L545" t="str">
        <f t="shared" si="40"/>
        <v/>
      </c>
      <c r="M545" t="str">
        <f t="shared" si="41"/>
        <v/>
      </c>
      <c r="N545" t="str">
        <f t="shared" si="42"/>
        <v/>
      </c>
      <c r="O545" t="str">
        <f t="shared" si="43"/>
        <v/>
      </c>
    </row>
    <row r="546" spans="11:15" x14ac:dyDescent="0.3">
      <c r="K546" t="str">
        <f t="shared" si="44"/>
        <v/>
      </c>
      <c r="L546" t="str">
        <f t="shared" si="40"/>
        <v/>
      </c>
      <c r="M546" t="str">
        <f t="shared" si="41"/>
        <v/>
      </c>
      <c r="N546" t="str">
        <f t="shared" si="42"/>
        <v/>
      </c>
      <c r="O546" t="str">
        <f t="shared" si="43"/>
        <v/>
      </c>
    </row>
    <row r="547" spans="11:15" x14ac:dyDescent="0.3">
      <c r="K547" t="str">
        <f t="shared" si="44"/>
        <v/>
      </c>
      <c r="L547" t="str">
        <f t="shared" si="40"/>
        <v/>
      </c>
      <c r="M547" t="str">
        <f t="shared" si="41"/>
        <v/>
      </c>
      <c r="N547" t="str">
        <f t="shared" si="42"/>
        <v/>
      </c>
      <c r="O547" t="str">
        <f t="shared" si="43"/>
        <v/>
      </c>
    </row>
    <row r="548" spans="11:15" x14ac:dyDescent="0.3">
      <c r="K548" t="str">
        <f t="shared" si="44"/>
        <v/>
      </c>
      <c r="L548" t="str">
        <f t="shared" si="40"/>
        <v/>
      </c>
      <c r="M548" t="str">
        <f t="shared" si="41"/>
        <v/>
      </c>
      <c r="N548" t="str">
        <f t="shared" si="42"/>
        <v/>
      </c>
      <c r="O548" t="str">
        <f t="shared" si="43"/>
        <v/>
      </c>
    </row>
    <row r="549" spans="11:15" x14ac:dyDescent="0.3">
      <c r="K549" t="str">
        <f t="shared" si="44"/>
        <v/>
      </c>
      <c r="L549" t="str">
        <f t="shared" si="40"/>
        <v/>
      </c>
      <c r="M549" t="str">
        <f t="shared" si="41"/>
        <v/>
      </c>
      <c r="N549" t="str">
        <f t="shared" si="42"/>
        <v/>
      </c>
      <c r="O549" t="str">
        <f t="shared" si="43"/>
        <v/>
      </c>
    </row>
    <row r="550" spans="11:15" x14ac:dyDescent="0.3">
      <c r="K550" t="str">
        <f t="shared" si="44"/>
        <v/>
      </c>
      <c r="L550" t="str">
        <f t="shared" si="40"/>
        <v/>
      </c>
      <c r="M550" t="str">
        <f t="shared" si="41"/>
        <v/>
      </c>
      <c r="N550" t="str">
        <f t="shared" si="42"/>
        <v/>
      </c>
      <c r="O550" t="str">
        <f t="shared" si="43"/>
        <v/>
      </c>
    </row>
    <row r="551" spans="11:15" x14ac:dyDescent="0.3">
      <c r="K551" t="str">
        <f t="shared" si="44"/>
        <v/>
      </c>
      <c r="L551" t="str">
        <f t="shared" si="40"/>
        <v/>
      </c>
      <c r="M551" t="str">
        <f t="shared" si="41"/>
        <v/>
      </c>
      <c r="N551" t="str">
        <f t="shared" si="42"/>
        <v/>
      </c>
      <c r="O551" t="str">
        <f t="shared" si="43"/>
        <v/>
      </c>
    </row>
    <row r="552" spans="11:15" x14ac:dyDescent="0.3">
      <c r="K552" t="str">
        <f t="shared" si="44"/>
        <v/>
      </c>
      <c r="L552" t="str">
        <f t="shared" si="40"/>
        <v/>
      </c>
      <c r="M552" t="str">
        <f t="shared" si="41"/>
        <v/>
      </c>
      <c r="N552" t="str">
        <f t="shared" si="42"/>
        <v/>
      </c>
      <c r="O552" t="str">
        <f t="shared" si="43"/>
        <v/>
      </c>
    </row>
    <row r="553" spans="11:15" x14ac:dyDescent="0.3">
      <c r="K553" t="str">
        <f t="shared" si="44"/>
        <v/>
      </c>
      <c r="L553" t="str">
        <f t="shared" si="40"/>
        <v/>
      </c>
      <c r="M553" t="str">
        <f t="shared" si="41"/>
        <v/>
      </c>
      <c r="N553" t="str">
        <f t="shared" si="42"/>
        <v/>
      </c>
      <c r="O553" t="str">
        <f t="shared" si="43"/>
        <v/>
      </c>
    </row>
    <row r="554" spans="11:15" x14ac:dyDescent="0.3">
      <c r="K554" t="str">
        <f t="shared" si="44"/>
        <v/>
      </c>
      <c r="L554" t="str">
        <f t="shared" si="40"/>
        <v/>
      </c>
      <c r="M554" t="str">
        <f t="shared" si="41"/>
        <v/>
      </c>
      <c r="N554" t="str">
        <f t="shared" si="42"/>
        <v/>
      </c>
      <c r="O554" t="str">
        <f t="shared" si="43"/>
        <v/>
      </c>
    </row>
    <row r="555" spans="11:15" x14ac:dyDescent="0.3">
      <c r="K555" t="str">
        <f t="shared" si="44"/>
        <v/>
      </c>
      <c r="L555" t="str">
        <f t="shared" si="40"/>
        <v/>
      </c>
      <c r="M555" t="str">
        <f t="shared" si="41"/>
        <v/>
      </c>
      <c r="N555" t="str">
        <f t="shared" si="42"/>
        <v/>
      </c>
      <c r="O555" t="str">
        <f t="shared" si="43"/>
        <v/>
      </c>
    </row>
    <row r="556" spans="11:15" x14ac:dyDescent="0.3">
      <c r="K556" t="str">
        <f t="shared" si="44"/>
        <v/>
      </c>
      <c r="L556" t="str">
        <f t="shared" si="40"/>
        <v/>
      </c>
      <c r="M556" t="str">
        <f t="shared" si="41"/>
        <v/>
      </c>
      <c r="N556" t="str">
        <f t="shared" si="42"/>
        <v/>
      </c>
      <c r="O556" t="str">
        <f t="shared" si="43"/>
        <v/>
      </c>
    </row>
    <row r="557" spans="11:15" x14ac:dyDescent="0.3">
      <c r="K557" t="str">
        <f t="shared" si="44"/>
        <v/>
      </c>
      <c r="L557" t="str">
        <f t="shared" si="40"/>
        <v/>
      </c>
      <c r="M557" t="str">
        <f t="shared" si="41"/>
        <v/>
      </c>
      <c r="N557" t="str">
        <f t="shared" si="42"/>
        <v/>
      </c>
      <c r="O557" t="str">
        <f t="shared" si="43"/>
        <v/>
      </c>
    </row>
    <row r="558" spans="11:15" x14ac:dyDescent="0.3">
      <c r="K558" t="str">
        <f t="shared" si="44"/>
        <v/>
      </c>
      <c r="L558" t="str">
        <f t="shared" si="40"/>
        <v/>
      </c>
      <c r="M558" t="str">
        <f t="shared" si="41"/>
        <v/>
      </c>
      <c r="N558" t="str">
        <f t="shared" si="42"/>
        <v/>
      </c>
      <c r="O558" t="str">
        <f t="shared" si="43"/>
        <v/>
      </c>
    </row>
    <row r="559" spans="11:15" x14ac:dyDescent="0.3">
      <c r="K559" t="str">
        <f t="shared" si="44"/>
        <v/>
      </c>
      <c r="L559" t="str">
        <f t="shared" si="40"/>
        <v/>
      </c>
      <c r="M559" t="str">
        <f t="shared" si="41"/>
        <v/>
      </c>
      <c r="N559" t="str">
        <f t="shared" si="42"/>
        <v/>
      </c>
      <c r="O559" t="str">
        <f t="shared" si="43"/>
        <v/>
      </c>
    </row>
    <row r="560" spans="11:15" x14ac:dyDescent="0.3">
      <c r="K560" t="str">
        <f t="shared" si="44"/>
        <v/>
      </c>
      <c r="L560" t="str">
        <f t="shared" si="40"/>
        <v/>
      </c>
      <c r="M560" t="str">
        <f t="shared" si="41"/>
        <v/>
      </c>
      <c r="N560" t="str">
        <f t="shared" si="42"/>
        <v/>
      </c>
      <c r="O560" t="str">
        <f t="shared" si="43"/>
        <v/>
      </c>
    </row>
    <row r="561" spans="11:15" x14ac:dyDescent="0.3">
      <c r="K561" t="str">
        <f t="shared" si="44"/>
        <v/>
      </c>
      <c r="L561" t="str">
        <f t="shared" si="40"/>
        <v/>
      </c>
      <c r="M561" t="str">
        <f t="shared" si="41"/>
        <v/>
      </c>
      <c r="N561" t="str">
        <f t="shared" si="42"/>
        <v/>
      </c>
      <c r="O561" t="str">
        <f t="shared" si="43"/>
        <v/>
      </c>
    </row>
    <row r="562" spans="11:15" x14ac:dyDescent="0.3">
      <c r="K562" t="str">
        <f t="shared" si="44"/>
        <v/>
      </c>
      <c r="L562" t="str">
        <f t="shared" si="40"/>
        <v/>
      </c>
      <c r="M562" t="str">
        <f t="shared" si="41"/>
        <v/>
      </c>
      <c r="N562" t="str">
        <f t="shared" si="42"/>
        <v/>
      </c>
      <c r="O562" t="str">
        <f t="shared" si="43"/>
        <v/>
      </c>
    </row>
    <row r="563" spans="11:15" x14ac:dyDescent="0.3">
      <c r="K563" t="str">
        <f t="shared" si="44"/>
        <v/>
      </c>
      <c r="L563" t="str">
        <f t="shared" si="40"/>
        <v/>
      </c>
      <c r="M563" t="str">
        <f t="shared" si="41"/>
        <v/>
      </c>
      <c r="N563" t="str">
        <f t="shared" si="42"/>
        <v/>
      </c>
      <c r="O563" t="str">
        <f t="shared" si="43"/>
        <v/>
      </c>
    </row>
    <row r="564" spans="11:15" x14ac:dyDescent="0.3">
      <c r="K564" t="str">
        <f t="shared" si="44"/>
        <v/>
      </c>
      <c r="L564" t="str">
        <f t="shared" si="40"/>
        <v/>
      </c>
      <c r="M564" t="str">
        <f t="shared" si="41"/>
        <v/>
      </c>
      <c r="N564" t="str">
        <f t="shared" si="42"/>
        <v/>
      </c>
      <c r="O564" t="str">
        <f t="shared" si="43"/>
        <v/>
      </c>
    </row>
    <row r="565" spans="11:15" x14ac:dyDescent="0.3">
      <c r="K565" t="str">
        <f t="shared" si="44"/>
        <v/>
      </c>
      <c r="L565" t="str">
        <f t="shared" si="40"/>
        <v/>
      </c>
      <c r="M565" t="str">
        <f t="shared" si="41"/>
        <v/>
      </c>
      <c r="N565" t="str">
        <f t="shared" si="42"/>
        <v/>
      </c>
      <c r="O565" t="str">
        <f t="shared" si="43"/>
        <v/>
      </c>
    </row>
    <row r="566" spans="11:15" x14ac:dyDescent="0.3">
      <c r="K566" t="str">
        <f t="shared" si="44"/>
        <v/>
      </c>
      <c r="L566" t="str">
        <f t="shared" si="40"/>
        <v/>
      </c>
      <c r="M566" t="str">
        <f t="shared" si="41"/>
        <v/>
      </c>
      <c r="N566" t="str">
        <f t="shared" si="42"/>
        <v/>
      </c>
      <c r="O566" t="str">
        <f t="shared" si="43"/>
        <v/>
      </c>
    </row>
    <row r="567" spans="11:15" x14ac:dyDescent="0.3">
      <c r="K567" t="str">
        <f t="shared" si="44"/>
        <v/>
      </c>
      <c r="L567" t="str">
        <f t="shared" si="40"/>
        <v/>
      </c>
      <c r="M567" t="str">
        <f t="shared" si="41"/>
        <v/>
      </c>
      <c r="N567" t="str">
        <f t="shared" si="42"/>
        <v/>
      </c>
      <c r="O567" t="str">
        <f t="shared" si="43"/>
        <v/>
      </c>
    </row>
    <row r="568" spans="11:15" x14ac:dyDescent="0.3">
      <c r="K568" t="str">
        <f t="shared" si="44"/>
        <v/>
      </c>
      <c r="L568" t="str">
        <f t="shared" si="40"/>
        <v/>
      </c>
      <c r="M568" t="str">
        <f t="shared" si="41"/>
        <v/>
      </c>
      <c r="N568" t="str">
        <f t="shared" si="42"/>
        <v/>
      </c>
      <c r="O568" t="str">
        <f t="shared" si="43"/>
        <v/>
      </c>
    </row>
    <row r="569" spans="11:15" x14ac:dyDescent="0.3">
      <c r="K569" t="str">
        <f t="shared" si="44"/>
        <v/>
      </c>
      <c r="L569" t="str">
        <f t="shared" si="40"/>
        <v/>
      </c>
      <c r="M569" t="str">
        <f t="shared" si="41"/>
        <v/>
      </c>
      <c r="N569" t="str">
        <f t="shared" si="42"/>
        <v/>
      </c>
      <c r="O569" t="str">
        <f t="shared" si="43"/>
        <v/>
      </c>
    </row>
    <row r="570" spans="11:15" x14ac:dyDescent="0.3">
      <c r="K570" t="str">
        <f t="shared" si="44"/>
        <v/>
      </c>
      <c r="L570" t="str">
        <f t="shared" si="40"/>
        <v/>
      </c>
      <c r="M570" t="str">
        <f t="shared" si="41"/>
        <v/>
      </c>
      <c r="N570" t="str">
        <f t="shared" si="42"/>
        <v/>
      </c>
      <c r="O570" t="str">
        <f t="shared" si="43"/>
        <v/>
      </c>
    </row>
    <row r="571" spans="11:15" x14ac:dyDescent="0.3">
      <c r="K571" t="str">
        <f t="shared" si="44"/>
        <v/>
      </c>
      <c r="L571" t="str">
        <f t="shared" si="40"/>
        <v/>
      </c>
      <c r="M571" t="str">
        <f t="shared" si="41"/>
        <v/>
      </c>
      <c r="N571" t="str">
        <f t="shared" si="42"/>
        <v/>
      </c>
      <c r="O571" t="str">
        <f t="shared" si="43"/>
        <v/>
      </c>
    </row>
    <row r="572" spans="11:15" x14ac:dyDescent="0.3">
      <c r="K572" t="str">
        <f t="shared" si="44"/>
        <v/>
      </c>
      <c r="L572" t="str">
        <f t="shared" si="40"/>
        <v/>
      </c>
      <c r="M572" t="str">
        <f t="shared" si="41"/>
        <v/>
      </c>
      <c r="N572" t="str">
        <f t="shared" si="42"/>
        <v/>
      </c>
      <c r="O572" t="str">
        <f t="shared" si="43"/>
        <v/>
      </c>
    </row>
    <row r="573" spans="11:15" x14ac:dyDescent="0.3">
      <c r="K573" t="str">
        <f t="shared" si="44"/>
        <v/>
      </c>
      <c r="L573" t="str">
        <f t="shared" si="40"/>
        <v/>
      </c>
      <c r="M573" t="str">
        <f t="shared" si="41"/>
        <v/>
      </c>
      <c r="N573" t="str">
        <f t="shared" si="42"/>
        <v/>
      </c>
      <c r="O573" t="str">
        <f t="shared" si="43"/>
        <v/>
      </c>
    </row>
    <row r="574" spans="11:15" x14ac:dyDescent="0.3">
      <c r="K574" t="str">
        <f t="shared" si="44"/>
        <v/>
      </c>
      <c r="L574" t="str">
        <f t="shared" si="40"/>
        <v/>
      </c>
      <c r="M574" t="str">
        <f t="shared" si="41"/>
        <v/>
      </c>
      <c r="N574" t="str">
        <f t="shared" si="42"/>
        <v/>
      </c>
      <c r="O574" t="str">
        <f t="shared" si="43"/>
        <v/>
      </c>
    </row>
    <row r="575" spans="11:15" x14ac:dyDescent="0.3">
      <c r="K575" t="str">
        <f t="shared" si="44"/>
        <v/>
      </c>
      <c r="L575" t="str">
        <f t="shared" si="40"/>
        <v/>
      </c>
      <c r="M575" t="str">
        <f t="shared" si="41"/>
        <v/>
      </c>
      <c r="N575" t="str">
        <f t="shared" si="42"/>
        <v/>
      </c>
      <c r="O575" t="str">
        <f t="shared" si="43"/>
        <v/>
      </c>
    </row>
    <row r="576" spans="11:15" x14ac:dyDescent="0.3">
      <c r="K576" t="str">
        <f t="shared" si="44"/>
        <v/>
      </c>
      <c r="L576" t="str">
        <f t="shared" si="40"/>
        <v/>
      </c>
      <c r="M576" t="str">
        <f t="shared" si="41"/>
        <v/>
      </c>
      <c r="N576" t="str">
        <f t="shared" si="42"/>
        <v/>
      </c>
      <c r="O576" t="str">
        <f t="shared" si="43"/>
        <v/>
      </c>
    </row>
    <row r="577" spans="11:15" x14ac:dyDescent="0.3">
      <c r="K577" t="str">
        <f t="shared" si="44"/>
        <v/>
      </c>
      <c r="L577" t="str">
        <f t="shared" ref="L577:L640" si="45">IF(A577="","",IF(ISNUMBER(--LEFT(A577,FIND(" - ",A577&amp;" - ")-1)),LEFT(A577,FIND(" - ",A577&amp;" - ")-1),TRIM(A577)))</f>
        <v/>
      </c>
      <c r="M577" t="str">
        <f t="shared" ref="M577:M640" si="46">IF(OR(K577="",K577=A577,A577=""),"",K577&amp;"|"&amp;L577)</f>
        <v/>
      </c>
      <c r="N577" t="str">
        <f t="shared" ref="N577:N640" si="47">IF(M577="","",IF(ISNUMBER(B577),B577,IFERROR(_xlfn.NUMBERVALUE(B577,".",","),0)))</f>
        <v/>
      </c>
      <c r="O577" t="str">
        <f t="shared" ref="O577:O640" si="48">IF(M577="","",IF(ISNUMBER(C577),C577,IFERROR(_xlfn.NUMBERVALUE(C577,".",","),0)))</f>
        <v/>
      </c>
    </row>
    <row r="578" spans="11:15" x14ac:dyDescent="0.3">
      <c r="K578" t="str">
        <f t="shared" ref="K578:K641" si="49">IF(OR(LEFT(B578,9)="DOANH THU",LEFT(B578,8)="SỐ LƯỢNG"),A578,K577)</f>
        <v/>
      </c>
      <c r="L578" t="str">
        <f t="shared" si="45"/>
        <v/>
      </c>
      <c r="M578" t="str">
        <f t="shared" si="46"/>
        <v/>
      </c>
      <c r="N578" t="str">
        <f t="shared" si="47"/>
        <v/>
      </c>
      <c r="O578" t="str">
        <f t="shared" si="48"/>
        <v/>
      </c>
    </row>
    <row r="579" spans="11:15" x14ac:dyDescent="0.3">
      <c r="K579" t="str">
        <f t="shared" si="49"/>
        <v/>
      </c>
      <c r="L579" t="str">
        <f t="shared" si="45"/>
        <v/>
      </c>
      <c r="M579" t="str">
        <f t="shared" si="46"/>
        <v/>
      </c>
      <c r="N579" t="str">
        <f t="shared" si="47"/>
        <v/>
      </c>
      <c r="O579" t="str">
        <f t="shared" si="48"/>
        <v/>
      </c>
    </row>
    <row r="580" spans="11:15" x14ac:dyDescent="0.3">
      <c r="K580" t="str">
        <f t="shared" si="49"/>
        <v/>
      </c>
      <c r="L580" t="str">
        <f t="shared" si="45"/>
        <v/>
      </c>
      <c r="M580" t="str">
        <f t="shared" si="46"/>
        <v/>
      </c>
      <c r="N580" t="str">
        <f t="shared" si="47"/>
        <v/>
      </c>
      <c r="O580" t="str">
        <f t="shared" si="48"/>
        <v/>
      </c>
    </row>
    <row r="581" spans="11:15" x14ac:dyDescent="0.3">
      <c r="K581" t="str">
        <f t="shared" si="49"/>
        <v/>
      </c>
      <c r="L581" t="str">
        <f t="shared" si="45"/>
        <v/>
      </c>
      <c r="M581" t="str">
        <f t="shared" si="46"/>
        <v/>
      </c>
      <c r="N581" t="str">
        <f t="shared" si="47"/>
        <v/>
      </c>
      <c r="O581" t="str">
        <f t="shared" si="48"/>
        <v/>
      </c>
    </row>
    <row r="582" spans="11:15" x14ac:dyDescent="0.3">
      <c r="K582" t="str">
        <f t="shared" si="49"/>
        <v/>
      </c>
      <c r="L582" t="str">
        <f t="shared" si="45"/>
        <v/>
      </c>
      <c r="M582" t="str">
        <f t="shared" si="46"/>
        <v/>
      </c>
      <c r="N582" t="str">
        <f t="shared" si="47"/>
        <v/>
      </c>
      <c r="O582" t="str">
        <f t="shared" si="48"/>
        <v/>
      </c>
    </row>
    <row r="583" spans="11:15" x14ac:dyDescent="0.3">
      <c r="K583" t="str">
        <f t="shared" si="49"/>
        <v/>
      </c>
      <c r="L583" t="str">
        <f t="shared" si="45"/>
        <v/>
      </c>
      <c r="M583" t="str">
        <f t="shared" si="46"/>
        <v/>
      </c>
      <c r="N583" t="str">
        <f t="shared" si="47"/>
        <v/>
      </c>
      <c r="O583" t="str">
        <f t="shared" si="48"/>
        <v/>
      </c>
    </row>
    <row r="584" spans="11:15" x14ac:dyDescent="0.3">
      <c r="K584" t="str">
        <f t="shared" si="49"/>
        <v/>
      </c>
      <c r="L584" t="str">
        <f t="shared" si="45"/>
        <v/>
      </c>
      <c r="M584" t="str">
        <f t="shared" si="46"/>
        <v/>
      </c>
      <c r="N584" t="str">
        <f t="shared" si="47"/>
        <v/>
      </c>
      <c r="O584" t="str">
        <f t="shared" si="48"/>
        <v/>
      </c>
    </row>
    <row r="585" spans="11:15" x14ac:dyDescent="0.3">
      <c r="K585" t="str">
        <f t="shared" si="49"/>
        <v/>
      </c>
      <c r="L585" t="str">
        <f t="shared" si="45"/>
        <v/>
      </c>
      <c r="M585" t="str">
        <f t="shared" si="46"/>
        <v/>
      </c>
      <c r="N585" t="str">
        <f t="shared" si="47"/>
        <v/>
      </c>
      <c r="O585" t="str">
        <f t="shared" si="48"/>
        <v/>
      </c>
    </row>
    <row r="586" spans="11:15" x14ac:dyDescent="0.3">
      <c r="K586" t="str">
        <f t="shared" si="49"/>
        <v/>
      </c>
      <c r="L586" t="str">
        <f t="shared" si="45"/>
        <v/>
      </c>
      <c r="M586" t="str">
        <f t="shared" si="46"/>
        <v/>
      </c>
      <c r="N586" t="str">
        <f t="shared" si="47"/>
        <v/>
      </c>
      <c r="O586" t="str">
        <f t="shared" si="48"/>
        <v/>
      </c>
    </row>
    <row r="587" spans="11:15" x14ac:dyDescent="0.3">
      <c r="K587" t="str">
        <f t="shared" si="49"/>
        <v/>
      </c>
      <c r="L587" t="str">
        <f t="shared" si="45"/>
        <v/>
      </c>
      <c r="M587" t="str">
        <f t="shared" si="46"/>
        <v/>
      </c>
      <c r="N587" t="str">
        <f t="shared" si="47"/>
        <v/>
      </c>
      <c r="O587" t="str">
        <f t="shared" si="48"/>
        <v/>
      </c>
    </row>
    <row r="588" spans="11:15" x14ac:dyDescent="0.3">
      <c r="K588" t="str">
        <f t="shared" si="49"/>
        <v/>
      </c>
      <c r="L588" t="str">
        <f t="shared" si="45"/>
        <v/>
      </c>
      <c r="M588" t="str">
        <f t="shared" si="46"/>
        <v/>
      </c>
      <c r="N588" t="str">
        <f t="shared" si="47"/>
        <v/>
      </c>
      <c r="O588" t="str">
        <f t="shared" si="48"/>
        <v/>
      </c>
    </row>
    <row r="589" spans="11:15" x14ac:dyDescent="0.3">
      <c r="K589" t="str">
        <f t="shared" si="49"/>
        <v/>
      </c>
      <c r="L589" t="str">
        <f t="shared" si="45"/>
        <v/>
      </c>
      <c r="M589" t="str">
        <f t="shared" si="46"/>
        <v/>
      </c>
      <c r="N589" t="str">
        <f t="shared" si="47"/>
        <v/>
      </c>
      <c r="O589" t="str">
        <f t="shared" si="48"/>
        <v/>
      </c>
    </row>
    <row r="590" spans="11:15" x14ac:dyDescent="0.3">
      <c r="K590" t="str">
        <f t="shared" si="49"/>
        <v/>
      </c>
      <c r="L590" t="str">
        <f t="shared" si="45"/>
        <v/>
      </c>
      <c r="M590" t="str">
        <f t="shared" si="46"/>
        <v/>
      </c>
      <c r="N590" t="str">
        <f t="shared" si="47"/>
        <v/>
      </c>
      <c r="O590" t="str">
        <f t="shared" si="48"/>
        <v/>
      </c>
    </row>
    <row r="591" spans="11:15" x14ac:dyDescent="0.3">
      <c r="K591" t="str">
        <f t="shared" si="49"/>
        <v/>
      </c>
      <c r="L591" t="str">
        <f t="shared" si="45"/>
        <v/>
      </c>
      <c r="M591" t="str">
        <f t="shared" si="46"/>
        <v/>
      </c>
      <c r="N591" t="str">
        <f t="shared" si="47"/>
        <v/>
      </c>
      <c r="O591" t="str">
        <f t="shared" si="48"/>
        <v/>
      </c>
    </row>
    <row r="592" spans="11:15" x14ac:dyDescent="0.3">
      <c r="K592" t="str">
        <f t="shared" si="49"/>
        <v/>
      </c>
      <c r="L592" t="str">
        <f t="shared" si="45"/>
        <v/>
      </c>
      <c r="M592" t="str">
        <f t="shared" si="46"/>
        <v/>
      </c>
      <c r="N592" t="str">
        <f t="shared" si="47"/>
        <v/>
      </c>
      <c r="O592" t="str">
        <f t="shared" si="48"/>
        <v/>
      </c>
    </row>
    <row r="593" spans="11:15" x14ac:dyDescent="0.3">
      <c r="K593" t="str">
        <f t="shared" si="49"/>
        <v/>
      </c>
      <c r="L593" t="str">
        <f t="shared" si="45"/>
        <v/>
      </c>
      <c r="M593" t="str">
        <f t="shared" si="46"/>
        <v/>
      </c>
      <c r="N593" t="str">
        <f t="shared" si="47"/>
        <v/>
      </c>
      <c r="O593" t="str">
        <f t="shared" si="48"/>
        <v/>
      </c>
    </row>
    <row r="594" spans="11:15" x14ac:dyDescent="0.3">
      <c r="K594" t="str">
        <f t="shared" si="49"/>
        <v/>
      </c>
      <c r="L594" t="str">
        <f t="shared" si="45"/>
        <v/>
      </c>
      <c r="M594" t="str">
        <f t="shared" si="46"/>
        <v/>
      </c>
      <c r="N594" t="str">
        <f t="shared" si="47"/>
        <v/>
      </c>
      <c r="O594" t="str">
        <f t="shared" si="48"/>
        <v/>
      </c>
    </row>
    <row r="595" spans="11:15" x14ac:dyDescent="0.3">
      <c r="K595" t="str">
        <f t="shared" si="49"/>
        <v/>
      </c>
      <c r="L595" t="str">
        <f t="shared" si="45"/>
        <v/>
      </c>
      <c r="M595" t="str">
        <f t="shared" si="46"/>
        <v/>
      </c>
      <c r="N595" t="str">
        <f t="shared" si="47"/>
        <v/>
      </c>
      <c r="O595" t="str">
        <f t="shared" si="48"/>
        <v/>
      </c>
    </row>
    <row r="596" spans="11:15" x14ac:dyDescent="0.3">
      <c r="K596" t="str">
        <f t="shared" si="49"/>
        <v/>
      </c>
      <c r="L596" t="str">
        <f t="shared" si="45"/>
        <v/>
      </c>
      <c r="M596" t="str">
        <f t="shared" si="46"/>
        <v/>
      </c>
      <c r="N596" t="str">
        <f t="shared" si="47"/>
        <v/>
      </c>
      <c r="O596" t="str">
        <f t="shared" si="48"/>
        <v/>
      </c>
    </row>
    <row r="597" spans="11:15" x14ac:dyDescent="0.3">
      <c r="K597" t="str">
        <f t="shared" si="49"/>
        <v/>
      </c>
      <c r="L597" t="str">
        <f t="shared" si="45"/>
        <v/>
      </c>
      <c r="M597" t="str">
        <f t="shared" si="46"/>
        <v/>
      </c>
      <c r="N597" t="str">
        <f t="shared" si="47"/>
        <v/>
      </c>
      <c r="O597" t="str">
        <f t="shared" si="48"/>
        <v/>
      </c>
    </row>
    <row r="598" spans="11:15" x14ac:dyDescent="0.3">
      <c r="K598" t="str">
        <f t="shared" si="49"/>
        <v/>
      </c>
      <c r="L598" t="str">
        <f t="shared" si="45"/>
        <v/>
      </c>
      <c r="M598" t="str">
        <f t="shared" si="46"/>
        <v/>
      </c>
      <c r="N598" t="str">
        <f t="shared" si="47"/>
        <v/>
      </c>
      <c r="O598" t="str">
        <f t="shared" si="48"/>
        <v/>
      </c>
    </row>
    <row r="599" spans="11:15" x14ac:dyDescent="0.3">
      <c r="K599" t="str">
        <f t="shared" si="49"/>
        <v/>
      </c>
      <c r="L599" t="str">
        <f t="shared" si="45"/>
        <v/>
      </c>
      <c r="M599" t="str">
        <f t="shared" si="46"/>
        <v/>
      </c>
      <c r="N599" t="str">
        <f t="shared" si="47"/>
        <v/>
      </c>
      <c r="O599" t="str">
        <f t="shared" si="48"/>
        <v/>
      </c>
    </row>
    <row r="600" spans="11:15" x14ac:dyDescent="0.3">
      <c r="K600" t="str">
        <f t="shared" si="49"/>
        <v/>
      </c>
      <c r="L600" t="str">
        <f t="shared" si="45"/>
        <v/>
      </c>
      <c r="M600" t="str">
        <f t="shared" si="46"/>
        <v/>
      </c>
      <c r="N600" t="str">
        <f t="shared" si="47"/>
        <v/>
      </c>
      <c r="O600" t="str">
        <f t="shared" si="48"/>
        <v/>
      </c>
    </row>
    <row r="601" spans="11:15" x14ac:dyDescent="0.3">
      <c r="K601" t="str">
        <f t="shared" si="49"/>
        <v/>
      </c>
      <c r="L601" t="str">
        <f t="shared" si="45"/>
        <v/>
      </c>
      <c r="M601" t="str">
        <f t="shared" si="46"/>
        <v/>
      </c>
      <c r="N601" t="str">
        <f t="shared" si="47"/>
        <v/>
      </c>
      <c r="O601" t="str">
        <f t="shared" si="48"/>
        <v/>
      </c>
    </row>
    <row r="602" spans="11:15" x14ac:dyDescent="0.3">
      <c r="K602" t="str">
        <f t="shared" si="49"/>
        <v/>
      </c>
      <c r="L602" t="str">
        <f t="shared" si="45"/>
        <v/>
      </c>
      <c r="M602" t="str">
        <f t="shared" si="46"/>
        <v/>
      </c>
      <c r="N602" t="str">
        <f t="shared" si="47"/>
        <v/>
      </c>
      <c r="O602" t="str">
        <f t="shared" si="48"/>
        <v/>
      </c>
    </row>
    <row r="603" spans="11:15" x14ac:dyDescent="0.3">
      <c r="K603" t="str">
        <f t="shared" si="49"/>
        <v/>
      </c>
      <c r="L603" t="str">
        <f t="shared" si="45"/>
        <v/>
      </c>
      <c r="M603" t="str">
        <f t="shared" si="46"/>
        <v/>
      </c>
      <c r="N603" t="str">
        <f t="shared" si="47"/>
        <v/>
      </c>
      <c r="O603" t="str">
        <f t="shared" si="48"/>
        <v/>
      </c>
    </row>
    <row r="604" spans="11:15" x14ac:dyDescent="0.3">
      <c r="K604" t="str">
        <f t="shared" si="49"/>
        <v/>
      </c>
      <c r="L604" t="str">
        <f t="shared" si="45"/>
        <v/>
      </c>
      <c r="M604" t="str">
        <f t="shared" si="46"/>
        <v/>
      </c>
      <c r="N604" t="str">
        <f t="shared" si="47"/>
        <v/>
      </c>
      <c r="O604" t="str">
        <f t="shared" si="48"/>
        <v/>
      </c>
    </row>
    <row r="605" spans="11:15" x14ac:dyDescent="0.3">
      <c r="K605" t="str">
        <f t="shared" si="49"/>
        <v/>
      </c>
      <c r="L605" t="str">
        <f t="shared" si="45"/>
        <v/>
      </c>
      <c r="M605" t="str">
        <f t="shared" si="46"/>
        <v/>
      </c>
      <c r="N605" t="str">
        <f t="shared" si="47"/>
        <v/>
      </c>
      <c r="O605" t="str">
        <f t="shared" si="48"/>
        <v/>
      </c>
    </row>
    <row r="606" spans="11:15" x14ac:dyDescent="0.3">
      <c r="K606" t="str">
        <f t="shared" si="49"/>
        <v/>
      </c>
      <c r="L606" t="str">
        <f t="shared" si="45"/>
        <v/>
      </c>
      <c r="M606" t="str">
        <f t="shared" si="46"/>
        <v/>
      </c>
      <c r="N606" t="str">
        <f t="shared" si="47"/>
        <v/>
      </c>
      <c r="O606" t="str">
        <f t="shared" si="48"/>
        <v/>
      </c>
    </row>
    <row r="607" spans="11:15" x14ac:dyDescent="0.3">
      <c r="K607" t="str">
        <f t="shared" si="49"/>
        <v/>
      </c>
      <c r="L607" t="str">
        <f t="shared" si="45"/>
        <v/>
      </c>
      <c r="M607" t="str">
        <f t="shared" si="46"/>
        <v/>
      </c>
      <c r="N607" t="str">
        <f t="shared" si="47"/>
        <v/>
      </c>
      <c r="O607" t="str">
        <f t="shared" si="48"/>
        <v/>
      </c>
    </row>
    <row r="608" spans="11:15" x14ac:dyDescent="0.3">
      <c r="K608" t="str">
        <f t="shared" si="49"/>
        <v/>
      </c>
      <c r="L608" t="str">
        <f t="shared" si="45"/>
        <v/>
      </c>
      <c r="M608" t="str">
        <f t="shared" si="46"/>
        <v/>
      </c>
      <c r="N608" t="str">
        <f t="shared" si="47"/>
        <v/>
      </c>
      <c r="O608" t="str">
        <f t="shared" si="48"/>
        <v/>
      </c>
    </row>
    <row r="609" spans="11:15" x14ac:dyDescent="0.3">
      <c r="K609" t="str">
        <f t="shared" si="49"/>
        <v/>
      </c>
      <c r="L609" t="str">
        <f t="shared" si="45"/>
        <v/>
      </c>
      <c r="M609" t="str">
        <f t="shared" si="46"/>
        <v/>
      </c>
      <c r="N609" t="str">
        <f t="shared" si="47"/>
        <v/>
      </c>
      <c r="O609" t="str">
        <f t="shared" si="48"/>
        <v/>
      </c>
    </row>
    <row r="610" spans="11:15" x14ac:dyDescent="0.3">
      <c r="K610" t="str">
        <f t="shared" si="49"/>
        <v/>
      </c>
      <c r="L610" t="str">
        <f t="shared" si="45"/>
        <v/>
      </c>
      <c r="M610" t="str">
        <f t="shared" si="46"/>
        <v/>
      </c>
      <c r="N610" t="str">
        <f t="shared" si="47"/>
        <v/>
      </c>
      <c r="O610" t="str">
        <f t="shared" si="48"/>
        <v/>
      </c>
    </row>
    <row r="611" spans="11:15" x14ac:dyDescent="0.3">
      <c r="K611" t="str">
        <f t="shared" si="49"/>
        <v/>
      </c>
      <c r="L611" t="str">
        <f t="shared" si="45"/>
        <v/>
      </c>
      <c r="M611" t="str">
        <f t="shared" si="46"/>
        <v/>
      </c>
      <c r="N611" t="str">
        <f t="shared" si="47"/>
        <v/>
      </c>
      <c r="O611" t="str">
        <f t="shared" si="48"/>
        <v/>
      </c>
    </row>
    <row r="612" spans="11:15" x14ac:dyDescent="0.3">
      <c r="K612" t="str">
        <f t="shared" si="49"/>
        <v/>
      </c>
      <c r="L612" t="str">
        <f t="shared" si="45"/>
        <v/>
      </c>
      <c r="M612" t="str">
        <f t="shared" si="46"/>
        <v/>
      </c>
      <c r="N612" t="str">
        <f t="shared" si="47"/>
        <v/>
      </c>
      <c r="O612" t="str">
        <f t="shared" si="48"/>
        <v/>
      </c>
    </row>
    <row r="613" spans="11:15" x14ac:dyDescent="0.3">
      <c r="K613" t="str">
        <f t="shared" si="49"/>
        <v/>
      </c>
      <c r="L613" t="str">
        <f t="shared" si="45"/>
        <v/>
      </c>
      <c r="M613" t="str">
        <f t="shared" si="46"/>
        <v/>
      </c>
      <c r="N613" t="str">
        <f t="shared" si="47"/>
        <v/>
      </c>
      <c r="O613" t="str">
        <f t="shared" si="48"/>
        <v/>
      </c>
    </row>
    <row r="614" spans="11:15" x14ac:dyDescent="0.3">
      <c r="K614" t="str">
        <f t="shared" si="49"/>
        <v/>
      </c>
      <c r="L614" t="str">
        <f t="shared" si="45"/>
        <v/>
      </c>
      <c r="M614" t="str">
        <f t="shared" si="46"/>
        <v/>
      </c>
      <c r="N614" t="str">
        <f t="shared" si="47"/>
        <v/>
      </c>
      <c r="O614" t="str">
        <f t="shared" si="48"/>
        <v/>
      </c>
    </row>
    <row r="615" spans="11:15" x14ac:dyDescent="0.3">
      <c r="K615" t="str">
        <f t="shared" si="49"/>
        <v/>
      </c>
      <c r="L615" t="str">
        <f t="shared" si="45"/>
        <v/>
      </c>
      <c r="M615" t="str">
        <f t="shared" si="46"/>
        <v/>
      </c>
      <c r="N615" t="str">
        <f t="shared" si="47"/>
        <v/>
      </c>
      <c r="O615" t="str">
        <f t="shared" si="48"/>
        <v/>
      </c>
    </row>
    <row r="616" spans="11:15" x14ac:dyDescent="0.3">
      <c r="K616" t="str">
        <f t="shared" si="49"/>
        <v/>
      </c>
      <c r="L616" t="str">
        <f t="shared" si="45"/>
        <v/>
      </c>
      <c r="M616" t="str">
        <f t="shared" si="46"/>
        <v/>
      </c>
      <c r="N616" t="str">
        <f t="shared" si="47"/>
        <v/>
      </c>
      <c r="O616" t="str">
        <f t="shared" si="48"/>
        <v/>
      </c>
    </row>
    <row r="617" spans="11:15" x14ac:dyDescent="0.3">
      <c r="K617" t="str">
        <f t="shared" si="49"/>
        <v/>
      </c>
      <c r="L617" t="str">
        <f t="shared" si="45"/>
        <v/>
      </c>
      <c r="M617" t="str">
        <f t="shared" si="46"/>
        <v/>
      </c>
      <c r="N617" t="str">
        <f t="shared" si="47"/>
        <v/>
      </c>
      <c r="O617" t="str">
        <f t="shared" si="48"/>
        <v/>
      </c>
    </row>
    <row r="618" spans="11:15" x14ac:dyDescent="0.3">
      <c r="K618" t="str">
        <f t="shared" si="49"/>
        <v/>
      </c>
      <c r="L618" t="str">
        <f t="shared" si="45"/>
        <v/>
      </c>
      <c r="M618" t="str">
        <f t="shared" si="46"/>
        <v/>
      </c>
      <c r="N618" t="str">
        <f t="shared" si="47"/>
        <v/>
      </c>
      <c r="O618" t="str">
        <f t="shared" si="48"/>
        <v/>
      </c>
    </row>
    <row r="619" spans="11:15" x14ac:dyDescent="0.3">
      <c r="K619" t="str">
        <f t="shared" si="49"/>
        <v/>
      </c>
      <c r="L619" t="str">
        <f t="shared" si="45"/>
        <v/>
      </c>
      <c r="M619" t="str">
        <f t="shared" si="46"/>
        <v/>
      </c>
      <c r="N619" t="str">
        <f t="shared" si="47"/>
        <v/>
      </c>
      <c r="O619" t="str">
        <f t="shared" si="48"/>
        <v/>
      </c>
    </row>
    <row r="620" spans="11:15" x14ac:dyDescent="0.3">
      <c r="K620" t="str">
        <f t="shared" si="49"/>
        <v/>
      </c>
      <c r="L620" t="str">
        <f t="shared" si="45"/>
        <v/>
      </c>
      <c r="M620" t="str">
        <f t="shared" si="46"/>
        <v/>
      </c>
      <c r="N620" t="str">
        <f t="shared" si="47"/>
        <v/>
      </c>
      <c r="O620" t="str">
        <f t="shared" si="48"/>
        <v/>
      </c>
    </row>
    <row r="621" spans="11:15" x14ac:dyDescent="0.3">
      <c r="K621" t="str">
        <f t="shared" si="49"/>
        <v/>
      </c>
      <c r="L621" t="str">
        <f t="shared" si="45"/>
        <v/>
      </c>
      <c r="M621" t="str">
        <f t="shared" si="46"/>
        <v/>
      </c>
      <c r="N621" t="str">
        <f t="shared" si="47"/>
        <v/>
      </c>
      <c r="O621" t="str">
        <f t="shared" si="48"/>
        <v/>
      </c>
    </row>
    <row r="622" spans="11:15" x14ac:dyDescent="0.3">
      <c r="K622" t="str">
        <f t="shared" si="49"/>
        <v/>
      </c>
      <c r="L622" t="str">
        <f t="shared" si="45"/>
        <v/>
      </c>
      <c r="M622" t="str">
        <f t="shared" si="46"/>
        <v/>
      </c>
      <c r="N622" t="str">
        <f t="shared" si="47"/>
        <v/>
      </c>
      <c r="O622" t="str">
        <f t="shared" si="48"/>
        <v/>
      </c>
    </row>
    <row r="623" spans="11:15" x14ac:dyDescent="0.3">
      <c r="K623" t="str">
        <f t="shared" si="49"/>
        <v/>
      </c>
      <c r="L623" t="str">
        <f t="shared" si="45"/>
        <v/>
      </c>
      <c r="M623" t="str">
        <f t="shared" si="46"/>
        <v/>
      </c>
      <c r="N623" t="str">
        <f t="shared" si="47"/>
        <v/>
      </c>
      <c r="O623" t="str">
        <f t="shared" si="48"/>
        <v/>
      </c>
    </row>
    <row r="624" spans="11:15" x14ac:dyDescent="0.3">
      <c r="K624" t="str">
        <f t="shared" si="49"/>
        <v/>
      </c>
      <c r="L624" t="str">
        <f t="shared" si="45"/>
        <v/>
      </c>
      <c r="M624" t="str">
        <f t="shared" si="46"/>
        <v/>
      </c>
      <c r="N624" t="str">
        <f t="shared" si="47"/>
        <v/>
      </c>
      <c r="O624" t="str">
        <f t="shared" si="48"/>
        <v/>
      </c>
    </row>
    <row r="625" spans="11:15" x14ac:dyDescent="0.3">
      <c r="K625" t="str">
        <f t="shared" si="49"/>
        <v/>
      </c>
      <c r="L625" t="str">
        <f t="shared" si="45"/>
        <v/>
      </c>
      <c r="M625" t="str">
        <f t="shared" si="46"/>
        <v/>
      </c>
      <c r="N625" t="str">
        <f t="shared" si="47"/>
        <v/>
      </c>
      <c r="O625" t="str">
        <f t="shared" si="48"/>
        <v/>
      </c>
    </row>
    <row r="626" spans="11:15" x14ac:dyDescent="0.3">
      <c r="K626" t="str">
        <f t="shared" si="49"/>
        <v/>
      </c>
      <c r="L626" t="str">
        <f t="shared" si="45"/>
        <v/>
      </c>
      <c r="M626" t="str">
        <f t="shared" si="46"/>
        <v/>
      </c>
      <c r="N626" t="str">
        <f t="shared" si="47"/>
        <v/>
      </c>
      <c r="O626" t="str">
        <f t="shared" si="48"/>
        <v/>
      </c>
    </row>
    <row r="627" spans="11:15" x14ac:dyDescent="0.3">
      <c r="K627" t="str">
        <f t="shared" si="49"/>
        <v/>
      </c>
      <c r="L627" t="str">
        <f t="shared" si="45"/>
        <v/>
      </c>
      <c r="M627" t="str">
        <f t="shared" si="46"/>
        <v/>
      </c>
      <c r="N627" t="str">
        <f t="shared" si="47"/>
        <v/>
      </c>
      <c r="O627" t="str">
        <f t="shared" si="48"/>
        <v/>
      </c>
    </row>
    <row r="628" spans="11:15" x14ac:dyDescent="0.3">
      <c r="K628" t="str">
        <f t="shared" si="49"/>
        <v/>
      </c>
      <c r="L628" t="str">
        <f t="shared" si="45"/>
        <v/>
      </c>
      <c r="M628" t="str">
        <f t="shared" si="46"/>
        <v/>
      </c>
      <c r="N628" t="str">
        <f t="shared" si="47"/>
        <v/>
      </c>
      <c r="O628" t="str">
        <f t="shared" si="48"/>
        <v/>
      </c>
    </row>
    <row r="629" spans="11:15" x14ac:dyDescent="0.3">
      <c r="K629" t="str">
        <f t="shared" si="49"/>
        <v/>
      </c>
      <c r="L629" t="str">
        <f t="shared" si="45"/>
        <v/>
      </c>
      <c r="M629" t="str">
        <f t="shared" si="46"/>
        <v/>
      </c>
      <c r="N629" t="str">
        <f t="shared" si="47"/>
        <v/>
      </c>
      <c r="O629" t="str">
        <f t="shared" si="48"/>
        <v/>
      </c>
    </row>
    <row r="630" spans="11:15" x14ac:dyDescent="0.3">
      <c r="K630" t="str">
        <f t="shared" si="49"/>
        <v/>
      </c>
      <c r="L630" t="str">
        <f t="shared" si="45"/>
        <v/>
      </c>
      <c r="M630" t="str">
        <f t="shared" si="46"/>
        <v/>
      </c>
      <c r="N630" t="str">
        <f t="shared" si="47"/>
        <v/>
      </c>
      <c r="O630" t="str">
        <f t="shared" si="48"/>
        <v/>
      </c>
    </row>
    <row r="631" spans="11:15" x14ac:dyDescent="0.3">
      <c r="K631" t="str">
        <f t="shared" si="49"/>
        <v/>
      </c>
      <c r="L631" t="str">
        <f t="shared" si="45"/>
        <v/>
      </c>
      <c r="M631" t="str">
        <f t="shared" si="46"/>
        <v/>
      </c>
      <c r="N631" t="str">
        <f t="shared" si="47"/>
        <v/>
      </c>
      <c r="O631" t="str">
        <f t="shared" si="48"/>
        <v/>
      </c>
    </row>
    <row r="632" spans="11:15" x14ac:dyDescent="0.3">
      <c r="K632" t="str">
        <f t="shared" si="49"/>
        <v/>
      </c>
      <c r="L632" t="str">
        <f t="shared" si="45"/>
        <v/>
      </c>
      <c r="M632" t="str">
        <f t="shared" si="46"/>
        <v/>
      </c>
      <c r="N632" t="str">
        <f t="shared" si="47"/>
        <v/>
      </c>
      <c r="O632" t="str">
        <f t="shared" si="48"/>
        <v/>
      </c>
    </row>
    <row r="633" spans="11:15" x14ac:dyDescent="0.3">
      <c r="K633" t="str">
        <f t="shared" si="49"/>
        <v/>
      </c>
      <c r="L633" t="str">
        <f t="shared" si="45"/>
        <v/>
      </c>
      <c r="M633" t="str">
        <f t="shared" si="46"/>
        <v/>
      </c>
      <c r="N633" t="str">
        <f t="shared" si="47"/>
        <v/>
      </c>
      <c r="O633" t="str">
        <f t="shared" si="48"/>
        <v/>
      </c>
    </row>
    <row r="634" spans="11:15" x14ac:dyDescent="0.3">
      <c r="K634" t="str">
        <f t="shared" si="49"/>
        <v/>
      </c>
      <c r="L634" t="str">
        <f t="shared" si="45"/>
        <v/>
      </c>
      <c r="M634" t="str">
        <f t="shared" si="46"/>
        <v/>
      </c>
      <c r="N634" t="str">
        <f t="shared" si="47"/>
        <v/>
      </c>
      <c r="O634" t="str">
        <f t="shared" si="48"/>
        <v/>
      </c>
    </row>
    <row r="635" spans="11:15" x14ac:dyDescent="0.3">
      <c r="K635" t="str">
        <f t="shared" si="49"/>
        <v/>
      </c>
      <c r="L635" t="str">
        <f t="shared" si="45"/>
        <v/>
      </c>
      <c r="M635" t="str">
        <f t="shared" si="46"/>
        <v/>
      </c>
      <c r="N635" t="str">
        <f t="shared" si="47"/>
        <v/>
      </c>
      <c r="O635" t="str">
        <f t="shared" si="48"/>
        <v/>
      </c>
    </row>
    <row r="636" spans="11:15" x14ac:dyDescent="0.3">
      <c r="K636" t="str">
        <f t="shared" si="49"/>
        <v/>
      </c>
      <c r="L636" t="str">
        <f t="shared" si="45"/>
        <v/>
      </c>
      <c r="M636" t="str">
        <f t="shared" si="46"/>
        <v/>
      </c>
      <c r="N636" t="str">
        <f t="shared" si="47"/>
        <v/>
      </c>
      <c r="O636" t="str">
        <f t="shared" si="48"/>
        <v/>
      </c>
    </row>
    <row r="637" spans="11:15" x14ac:dyDescent="0.3">
      <c r="K637" t="str">
        <f t="shared" si="49"/>
        <v/>
      </c>
      <c r="L637" t="str">
        <f t="shared" si="45"/>
        <v/>
      </c>
      <c r="M637" t="str">
        <f t="shared" si="46"/>
        <v/>
      </c>
      <c r="N637" t="str">
        <f t="shared" si="47"/>
        <v/>
      </c>
      <c r="O637" t="str">
        <f t="shared" si="48"/>
        <v/>
      </c>
    </row>
    <row r="638" spans="11:15" x14ac:dyDescent="0.3">
      <c r="K638" t="str">
        <f t="shared" si="49"/>
        <v/>
      </c>
      <c r="L638" t="str">
        <f t="shared" si="45"/>
        <v/>
      </c>
      <c r="M638" t="str">
        <f t="shared" si="46"/>
        <v/>
      </c>
      <c r="N638" t="str">
        <f t="shared" si="47"/>
        <v/>
      </c>
      <c r="O638" t="str">
        <f t="shared" si="48"/>
        <v/>
      </c>
    </row>
    <row r="639" spans="11:15" x14ac:dyDescent="0.3">
      <c r="K639" t="str">
        <f t="shared" si="49"/>
        <v/>
      </c>
      <c r="L639" t="str">
        <f t="shared" si="45"/>
        <v/>
      </c>
      <c r="M639" t="str">
        <f t="shared" si="46"/>
        <v/>
      </c>
      <c r="N639" t="str">
        <f t="shared" si="47"/>
        <v/>
      </c>
      <c r="O639" t="str">
        <f t="shared" si="48"/>
        <v/>
      </c>
    </row>
    <row r="640" spans="11:15" x14ac:dyDescent="0.3">
      <c r="K640" t="str">
        <f t="shared" si="49"/>
        <v/>
      </c>
      <c r="L640" t="str">
        <f t="shared" si="45"/>
        <v/>
      </c>
      <c r="M640" t="str">
        <f t="shared" si="46"/>
        <v/>
      </c>
      <c r="N640" t="str">
        <f t="shared" si="47"/>
        <v/>
      </c>
      <c r="O640" t="str">
        <f t="shared" si="48"/>
        <v/>
      </c>
    </row>
    <row r="641" spans="11:15" x14ac:dyDescent="0.3">
      <c r="K641" t="str">
        <f t="shared" si="49"/>
        <v/>
      </c>
      <c r="L641" t="str">
        <f t="shared" ref="L641:L704" si="50">IF(A641="","",IF(ISNUMBER(--LEFT(A641,FIND(" - ",A641&amp;" - ")-1)),LEFT(A641,FIND(" - ",A641&amp;" - ")-1),TRIM(A641)))</f>
        <v/>
      </c>
      <c r="M641" t="str">
        <f t="shared" ref="M641:M704" si="51">IF(OR(K641="",K641=A641,A641=""),"",K641&amp;"|"&amp;L641)</f>
        <v/>
      </c>
      <c r="N641" t="str">
        <f t="shared" ref="N641:N704" si="52">IF(M641="","",IF(ISNUMBER(B641),B641,IFERROR(_xlfn.NUMBERVALUE(B641,".",","),0)))</f>
        <v/>
      </c>
      <c r="O641" t="str">
        <f t="shared" ref="O641:O704" si="53">IF(M641="","",IF(ISNUMBER(C641),C641,IFERROR(_xlfn.NUMBERVALUE(C641,".",","),0)))</f>
        <v/>
      </c>
    </row>
    <row r="642" spans="11:15" x14ac:dyDescent="0.3">
      <c r="K642" t="str">
        <f t="shared" ref="K642:K705" si="54">IF(OR(LEFT(B642,9)="DOANH THU",LEFT(B642,8)="SỐ LƯỢNG"),A642,K641)</f>
        <v/>
      </c>
      <c r="L642" t="str">
        <f t="shared" si="50"/>
        <v/>
      </c>
      <c r="M642" t="str">
        <f t="shared" si="51"/>
        <v/>
      </c>
      <c r="N642" t="str">
        <f t="shared" si="52"/>
        <v/>
      </c>
      <c r="O642" t="str">
        <f t="shared" si="53"/>
        <v/>
      </c>
    </row>
    <row r="643" spans="11:15" x14ac:dyDescent="0.3">
      <c r="K643" t="str">
        <f t="shared" si="54"/>
        <v/>
      </c>
      <c r="L643" t="str">
        <f t="shared" si="50"/>
        <v/>
      </c>
      <c r="M643" t="str">
        <f t="shared" si="51"/>
        <v/>
      </c>
      <c r="N643" t="str">
        <f t="shared" si="52"/>
        <v/>
      </c>
      <c r="O643" t="str">
        <f t="shared" si="53"/>
        <v/>
      </c>
    </row>
    <row r="644" spans="11:15" x14ac:dyDescent="0.3">
      <c r="K644" t="str">
        <f t="shared" si="54"/>
        <v/>
      </c>
      <c r="L644" t="str">
        <f t="shared" si="50"/>
        <v/>
      </c>
      <c r="M644" t="str">
        <f t="shared" si="51"/>
        <v/>
      </c>
      <c r="N644" t="str">
        <f t="shared" si="52"/>
        <v/>
      </c>
      <c r="O644" t="str">
        <f t="shared" si="53"/>
        <v/>
      </c>
    </row>
    <row r="645" spans="11:15" x14ac:dyDescent="0.3">
      <c r="K645" t="str">
        <f t="shared" si="54"/>
        <v/>
      </c>
      <c r="L645" t="str">
        <f t="shared" si="50"/>
        <v/>
      </c>
      <c r="M645" t="str">
        <f t="shared" si="51"/>
        <v/>
      </c>
      <c r="N645" t="str">
        <f t="shared" si="52"/>
        <v/>
      </c>
      <c r="O645" t="str">
        <f t="shared" si="53"/>
        <v/>
      </c>
    </row>
    <row r="646" spans="11:15" x14ac:dyDescent="0.3">
      <c r="K646" t="str">
        <f t="shared" si="54"/>
        <v/>
      </c>
      <c r="L646" t="str">
        <f t="shared" si="50"/>
        <v/>
      </c>
      <c r="M646" t="str">
        <f t="shared" si="51"/>
        <v/>
      </c>
      <c r="N646" t="str">
        <f t="shared" si="52"/>
        <v/>
      </c>
      <c r="O646" t="str">
        <f t="shared" si="53"/>
        <v/>
      </c>
    </row>
    <row r="647" spans="11:15" x14ac:dyDescent="0.3">
      <c r="K647" t="str">
        <f t="shared" si="54"/>
        <v/>
      </c>
      <c r="L647" t="str">
        <f t="shared" si="50"/>
        <v/>
      </c>
      <c r="M647" t="str">
        <f t="shared" si="51"/>
        <v/>
      </c>
      <c r="N647" t="str">
        <f t="shared" si="52"/>
        <v/>
      </c>
      <c r="O647" t="str">
        <f t="shared" si="53"/>
        <v/>
      </c>
    </row>
    <row r="648" spans="11:15" x14ac:dyDescent="0.3">
      <c r="K648" t="str">
        <f t="shared" si="54"/>
        <v/>
      </c>
      <c r="L648" t="str">
        <f t="shared" si="50"/>
        <v/>
      </c>
      <c r="M648" t="str">
        <f t="shared" si="51"/>
        <v/>
      </c>
      <c r="N648" t="str">
        <f t="shared" si="52"/>
        <v/>
      </c>
      <c r="O648" t="str">
        <f t="shared" si="53"/>
        <v/>
      </c>
    </row>
    <row r="649" spans="11:15" x14ac:dyDescent="0.3">
      <c r="K649" t="str">
        <f t="shared" si="54"/>
        <v/>
      </c>
      <c r="L649" t="str">
        <f t="shared" si="50"/>
        <v/>
      </c>
      <c r="M649" t="str">
        <f t="shared" si="51"/>
        <v/>
      </c>
      <c r="N649" t="str">
        <f t="shared" si="52"/>
        <v/>
      </c>
      <c r="O649" t="str">
        <f t="shared" si="53"/>
        <v/>
      </c>
    </row>
    <row r="650" spans="11:15" x14ac:dyDescent="0.3">
      <c r="K650" t="str">
        <f t="shared" si="54"/>
        <v/>
      </c>
      <c r="L650" t="str">
        <f t="shared" si="50"/>
        <v/>
      </c>
      <c r="M650" t="str">
        <f t="shared" si="51"/>
        <v/>
      </c>
      <c r="N650" t="str">
        <f t="shared" si="52"/>
        <v/>
      </c>
      <c r="O650" t="str">
        <f t="shared" si="53"/>
        <v/>
      </c>
    </row>
    <row r="651" spans="11:15" x14ac:dyDescent="0.3">
      <c r="K651" t="str">
        <f t="shared" si="54"/>
        <v/>
      </c>
      <c r="L651" t="str">
        <f t="shared" si="50"/>
        <v/>
      </c>
      <c r="M651" t="str">
        <f t="shared" si="51"/>
        <v/>
      </c>
      <c r="N651" t="str">
        <f t="shared" si="52"/>
        <v/>
      </c>
      <c r="O651" t="str">
        <f t="shared" si="53"/>
        <v/>
      </c>
    </row>
    <row r="652" spans="11:15" x14ac:dyDescent="0.3">
      <c r="K652" t="str">
        <f t="shared" si="54"/>
        <v/>
      </c>
      <c r="L652" t="str">
        <f t="shared" si="50"/>
        <v/>
      </c>
      <c r="M652" t="str">
        <f t="shared" si="51"/>
        <v/>
      </c>
      <c r="N652" t="str">
        <f t="shared" si="52"/>
        <v/>
      </c>
      <c r="O652" t="str">
        <f t="shared" si="53"/>
        <v/>
      </c>
    </row>
    <row r="653" spans="11:15" x14ac:dyDescent="0.3">
      <c r="K653" t="str">
        <f t="shared" si="54"/>
        <v/>
      </c>
      <c r="L653" t="str">
        <f t="shared" si="50"/>
        <v/>
      </c>
      <c r="M653" t="str">
        <f t="shared" si="51"/>
        <v/>
      </c>
      <c r="N653" t="str">
        <f t="shared" si="52"/>
        <v/>
      </c>
      <c r="O653" t="str">
        <f t="shared" si="53"/>
        <v/>
      </c>
    </row>
    <row r="654" spans="11:15" x14ac:dyDescent="0.3">
      <c r="K654" t="str">
        <f t="shared" si="54"/>
        <v/>
      </c>
      <c r="L654" t="str">
        <f t="shared" si="50"/>
        <v/>
      </c>
      <c r="M654" t="str">
        <f t="shared" si="51"/>
        <v/>
      </c>
      <c r="N654" t="str">
        <f t="shared" si="52"/>
        <v/>
      </c>
      <c r="O654" t="str">
        <f t="shared" si="53"/>
        <v/>
      </c>
    </row>
    <row r="655" spans="11:15" x14ac:dyDescent="0.3">
      <c r="K655" t="str">
        <f t="shared" si="54"/>
        <v/>
      </c>
      <c r="L655" t="str">
        <f t="shared" si="50"/>
        <v/>
      </c>
      <c r="M655" t="str">
        <f t="shared" si="51"/>
        <v/>
      </c>
      <c r="N655" t="str">
        <f t="shared" si="52"/>
        <v/>
      </c>
      <c r="O655" t="str">
        <f t="shared" si="53"/>
        <v/>
      </c>
    </row>
    <row r="656" spans="11:15" x14ac:dyDescent="0.3">
      <c r="K656" t="str">
        <f t="shared" si="54"/>
        <v/>
      </c>
      <c r="L656" t="str">
        <f t="shared" si="50"/>
        <v/>
      </c>
      <c r="M656" t="str">
        <f t="shared" si="51"/>
        <v/>
      </c>
      <c r="N656" t="str">
        <f t="shared" si="52"/>
        <v/>
      </c>
      <c r="O656" t="str">
        <f t="shared" si="53"/>
        <v/>
      </c>
    </row>
    <row r="657" spans="11:15" x14ac:dyDescent="0.3">
      <c r="K657" t="str">
        <f t="shared" si="54"/>
        <v/>
      </c>
      <c r="L657" t="str">
        <f t="shared" si="50"/>
        <v/>
      </c>
      <c r="M657" t="str">
        <f t="shared" si="51"/>
        <v/>
      </c>
      <c r="N657" t="str">
        <f t="shared" si="52"/>
        <v/>
      </c>
      <c r="O657" t="str">
        <f t="shared" si="53"/>
        <v/>
      </c>
    </row>
    <row r="658" spans="11:15" x14ac:dyDescent="0.3">
      <c r="K658" t="str">
        <f t="shared" si="54"/>
        <v/>
      </c>
      <c r="L658" t="str">
        <f t="shared" si="50"/>
        <v/>
      </c>
      <c r="M658" t="str">
        <f t="shared" si="51"/>
        <v/>
      </c>
      <c r="N658" t="str">
        <f t="shared" si="52"/>
        <v/>
      </c>
      <c r="O658" t="str">
        <f t="shared" si="53"/>
        <v/>
      </c>
    </row>
    <row r="659" spans="11:15" x14ac:dyDescent="0.3">
      <c r="K659" t="str">
        <f t="shared" si="54"/>
        <v/>
      </c>
      <c r="L659" t="str">
        <f t="shared" si="50"/>
        <v/>
      </c>
      <c r="M659" t="str">
        <f t="shared" si="51"/>
        <v/>
      </c>
      <c r="N659" t="str">
        <f t="shared" si="52"/>
        <v/>
      </c>
      <c r="O659" t="str">
        <f t="shared" si="53"/>
        <v/>
      </c>
    </row>
    <row r="660" spans="11:15" x14ac:dyDescent="0.3">
      <c r="K660" t="str">
        <f t="shared" si="54"/>
        <v/>
      </c>
      <c r="L660" t="str">
        <f t="shared" si="50"/>
        <v/>
      </c>
      <c r="M660" t="str">
        <f t="shared" si="51"/>
        <v/>
      </c>
      <c r="N660" t="str">
        <f t="shared" si="52"/>
        <v/>
      </c>
      <c r="O660" t="str">
        <f t="shared" si="53"/>
        <v/>
      </c>
    </row>
    <row r="661" spans="11:15" x14ac:dyDescent="0.3">
      <c r="K661" t="str">
        <f t="shared" si="54"/>
        <v/>
      </c>
      <c r="L661" t="str">
        <f t="shared" si="50"/>
        <v/>
      </c>
      <c r="M661" t="str">
        <f t="shared" si="51"/>
        <v/>
      </c>
      <c r="N661" t="str">
        <f t="shared" si="52"/>
        <v/>
      </c>
      <c r="O661" t="str">
        <f t="shared" si="53"/>
        <v/>
      </c>
    </row>
    <row r="662" spans="11:15" x14ac:dyDescent="0.3">
      <c r="K662" t="str">
        <f t="shared" si="54"/>
        <v/>
      </c>
      <c r="L662" t="str">
        <f t="shared" si="50"/>
        <v/>
      </c>
      <c r="M662" t="str">
        <f t="shared" si="51"/>
        <v/>
      </c>
      <c r="N662" t="str">
        <f t="shared" si="52"/>
        <v/>
      </c>
      <c r="O662" t="str">
        <f t="shared" si="53"/>
        <v/>
      </c>
    </row>
    <row r="663" spans="11:15" x14ac:dyDescent="0.3">
      <c r="K663" t="str">
        <f t="shared" si="54"/>
        <v/>
      </c>
      <c r="L663" t="str">
        <f t="shared" si="50"/>
        <v/>
      </c>
      <c r="M663" t="str">
        <f t="shared" si="51"/>
        <v/>
      </c>
      <c r="N663" t="str">
        <f t="shared" si="52"/>
        <v/>
      </c>
      <c r="O663" t="str">
        <f t="shared" si="53"/>
        <v/>
      </c>
    </row>
    <row r="664" spans="11:15" x14ac:dyDescent="0.3">
      <c r="K664" t="str">
        <f t="shared" si="54"/>
        <v/>
      </c>
      <c r="L664" t="str">
        <f t="shared" si="50"/>
        <v/>
      </c>
      <c r="M664" t="str">
        <f t="shared" si="51"/>
        <v/>
      </c>
      <c r="N664" t="str">
        <f t="shared" si="52"/>
        <v/>
      </c>
      <c r="O664" t="str">
        <f t="shared" si="53"/>
        <v/>
      </c>
    </row>
    <row r="665" spans="11:15" x14ac:dyDescent="0.3">
      <c r="K665" t="str">
        <f t="shared" si="54"/>
        <v/>
      </c>
      <c r="L665" t="str">
        <f t="shared" si="50"/>
        <v/>
      </c>
      <c r="M665" t="str">
        <f t="shared" si="51"/>
        <v/>
      </c>
      <c r="N665" t="str">
        <f t="shared" si="52"/>
        <v/>
      </c>
      <c r="O665" t="str">
        <f t="shared" si="53"/>
        <v/>
      </c>
    </row>
    <row r="666" spans="11:15" x14ac:dyDescent="0.3">
      <c r="K666" t="str">
        <f t="shared" si="54"/>
        <v/>
      </c>
      <c r="L666" t="str">
        <f t="shared" si="50"/>
        <v/>
      </c>
      <c r="M666" t="str">
        <f t="shared" si="51"/>
        <v/>
      </c>
      <c r="N666" t="str">
        <f t="shared" si="52"/>
        <v/>
      </c>
      <c r="O666" t="str">
        <f t="shared" si="53"/>
        <v/>
      </c>
    </row>
    <row r="667" spans="11:15" x14ac:dyDescent="0.3">
      <c r="K667" t="str">
        <f t="shared" si="54"/>
        <v/>
      </c>
      <c r="L667" t="str">
        <f t="shared" si="50"/>
        <v/>
      </c>
      <c r="M667" t="str">
        <f t="shared" si="51"/>
        <v/>
      </c>
      <c r="N667" t="str">
        <f t="shared" si="52"/>
        <v/>
      </c>
      <c r="O667" t="str">
        <f t="shared" si="53"/>
        <v/>
      </c>
    </row>
    <row r="668" spans="11:15" x14ac:dyDescent="0.3">
      <c r="K668" t="str">
        <f t="shared" si="54"/>
        <v/>
      </c>
      <c r="L668" t="str">
        <f t="shared" si="50"/>
        <v/>
      </c>
      <c r="M668" t="str">
        <f t="shared" si="51"/>
        <v/>
      </c>
      <c r="N668" t="str">
        <f t="shared" si="52"/>
        <v/>
      </c>
      <c r="O668" t="str">
        <f t="shared" si="53"/>
        <v/>
      </c>
    </row>
    <row r="669" spans="11:15" x14ac:dyDescent="0.3">
      <c r="K669" t="str">
        <f t="shared" si="54"/>
        <v/>
      </c>
      <c r="L669" t="str">
        <f t="shared" si="50"/>
        <v/>
      </c>
      <c r="M669" t="str">
        <f t="shared" si="51"/>
        <v/>
      </c>
      <c r="N669" t="str">
        <f t="shared" si="52"/>
        <v/>
      </c>
      <c r="O669" t="str">
        <f t="shared" si="53"/>
        <v/>
      </c>
    </row>
    <row r="670" spans="11:15" x14ac:dyDescent="0.3">
      <c r="K670" t="str">
        <f t="shared" si="54"/>
        <v/>
      </c>
      <c r="L670" t="str">
        <f t="shared" si="50"/>
        <v/>
      </c>
      <c r="M670" t="str">
        <f t="shared" si="51"/>
        <v/>
      </c>
      <c r="N670" t="str">
        <f t="shared" si="52"/>
        <v/>
      </c>
      <c r="O670" t="str">
        <f t="shared" si="53"/>
        <v/>
      </c>
    </row>
    <row r="671" spans="11:15" x14ac:dyDescent="0.3">
      <c r="K671" t="str">
        <f t="shared" si="54"/>
        <v/>
      </c>
      <c r="L671" t="str">
        <f t="shared" si="50"/>
        <v/>
      </c>
      <c r="M671" t="str">
        <f t="shared" si="51"/>
        <v/>
      </c>
      <c r="N671" t="str">
        <f t="shared" si="52"/>
        <v/>
      </c>
      <c r="O671" t="str">
        <f t="shared" si="53"/>
        <v/>
      </c>
    </row>
    <row r="672" spans="11:15" x14ac:dyDescent="0.3">
      <c r="K672" t="str">
        <f t="shared" si="54"/>
        <v/>
      </c>
      <c r="L672" t="str">
        <f t="shared" si="50"/>
        <v/>
      </c>
      <c r="M672" t="str">
        <f t="shared" si="51"/>
        <v/>
      </c>
      <c r="N672" t="str">
        <f t="shared" si="52"/>
        <v/>
      </c>
      <c r="O672" t="str">
        <f t="shared" si="53"/>
        <v/>
      </c>
    </row>
    <row r="673" spans="11:15" x14ac:dyDescent="0.3">
      <c r="K673" t="str">
        <f t="shared" si="54"/>
        <v/>
      </c>
      <c r="L673" t="str">
        <f t="shared" si="50"/>
        <v/>
      </c>
      <c r="M673" t="str">
        <f t="shared" si="51"/>
        <v/>
      </c>
      <c r="N673" t="str">
        <f t="shared" si="52"/>
        <v/>
      </c>
      <c r="O673" t="str">
        <f t="shared" si="53"/>
        <v/>
      </c>
    </row>
    <row r="674" spans="11:15" x14ac:dyDescent="0.3">
      <c r="K674" t="str">
        <f t="shared" si="54"/>
        <v/>
      </c>
      <c r="L674" t="str">
        <f t="shared" si="50"/>
        <v/>
      </c>
      <c r="M674" t="str">
        <f t="shared" si="51"/>
        <v/>
      </c>
      <c r="N674" t="str">
        <f t="shared" si="52"/>
        <v/>
      </c>
      <c r="O674" t="str">
        <f t="shared" si="53"/>
        <v/>
      </c>
    </row>
    <row r="675" spans="11:15" x14ac:dyDescent="0.3">
      <c r="K675" t="str">
        <f t="shared" si="54"/>
        <v/>
      </c>
      <c r="L675" t="str">
        <f t="shared" si="50"/>
        <v/>
      </c>
      <c r="M675" t="str">
        <f t="shared" si="51"/>
        <v/>
      </c>
      <c r="N675" t="str">
        <f t="shared" si="52"/>
        <v/>
      </c>
      <c r="O675" t="str">
        <f t="shared" si="53"/>
        <v/>
      </c>
    </row>
    <row r="676" spans="11:15" x14ac:dyDescent="0.3">
      <c r="K676" t="str">
        <f t="shared" si="54"/>
        <v/>
      </c>
      <c r="L676" t="str">
        <f t="shared" si="50"/>
        <v/>
      </c>
      <c r="M676" t="str">
        <f t="shared" si="51"/>
        <v/>
      </c>
      <c r="N676" t="str">
        <f t="shared" si="52"/>
        <v/>
      </c>
      <c r="O676" t="str">
        <f t="shared" si="53"/>
        <v/>
      </c>
    </row>
    <row r="677" spans="11:15" x14ac:dyDescent="0.3">
      <c r="K677" t="str">
        <f t="shared" si="54"/>
        <v/>
      </c>
      <c r="L677" t="str">
        <f t="shared" si="50"/>
        <v/>
      </c>
      <c r="M677" t="str">
        <f t="shared" si="51"/>
        <v/>
      </c>
      <c r="N677" t="str">
        <f t="shared" si="52"/>
        <v/>
      </c>
      <c r="O677" t="str">
        <f t="shared" si="53"/>
        <v/>
      </c>
    </row>
    <row r="678" spans="11:15" x14ac:dyDescent="0.3">
      <c r="K678" t="str">
        <f t="shared" si="54"/>
        <v/>
      </c>
      <c r="L678" t="str">
        <f t="shared" si="50"/>
        <v/>
      </c>
      <c r="M678" t="str">
        <f t="shared" si="51"/>
        <v/>
      </c>
      <c r="N678" t="str">
        <f t="shared" si="52"/>
        <v/>
      </c>
      <c r="O678" t="str">
        <f t="shared" si="53"/>
        <v/>
      </c>
    </row>
    <row r="679" spans="11:15" x14ac:dyDescent="0.3">
      <c r="K679" t="str">
        <f t="shared" si="54"/>
        <v/>
      </c>
      <c r="L679" t="str">
        <f t="shared" si="50"/>
        <v/>
      </c>
      <c r="M679" t="str">
        <f t="shared" si="51"/>
        <v/>
      </c>
      <c r="N679" t="str">
        <f t="shared" si="52"/>
        <v/>
      </c>
      <c r="O679" t="str">
        <f t="shared" si="53"/>
        <v/>
      </c>
    </row>
    <row r="680" spans="11:15" x14ac:dyDescent="0.3">
      <c r="K680" t="str">
        <f t="shared" si="54"/>
        <v/>
      </c>
      <c r="L680" t="str">
        <f t="shared" si="50"/>
        <v/>
      </c>
      <c r="M680" t="str">
        <f t="shared" si="51"/>
        <v/>
      </c>
      <c r="N680" t="str">
        <f t="shared" si="52"/>
        <v/>
      </c>
      <c r="O680" t="str">
        <f t="shared" si="53"/>
        <v/>
      </c>
    </row>
    <row r="681" spans="11:15" x14ac:dyDescent="0.3">
      <c r="K681" t="str">
        <f t="shared" si="54"/>
        <v/>
      </c>
      <c r="L681" t="str">
        <f t="shared" si="50"/>
        <v/>
      </c>
      <c r="M681" t="str">
        <f t="shared" si="51"/>
        <v/>
      </c>
      <c r="N681" t="str">
        <f t="shared" si="52"/>
        <v/>
      </c>
      <c r="O681" t="str">
        <f t="shared" si="53"/>
        <v/>
      </c>
    </row>
    <row r="682" spans="11:15" x14ac:dyDescent="0.3">
      <c r="K682" t="str">
        <f t="shared" si="54"/>
        <v/>
      </c>
      <c r="L682" t="str">
        <f t="shared" si="50"/>
        <v/>
      </c>
      <c r="M682" t="str">
        <f t="shared" si="51"/>
        <v/>
      </c>
      <c r="N682" t="str">
        <f t="shared" si="52"/>
        <v/>
      </c>
      <c r="O682" t="str">
        <f t="shared" si="53"/>
        <v/>
      </c>
    </row>
    <row r="683" spans="11:15" x14ac:dyDescent="0.3">
      <c r="K683" t="str">
        <f t="shared" si="54"/>
        <v/>
      </c>
      <c r="L683" t="str">
        <f t="shared" si="50"/>
        <v/>
      </c>
      <c r="M683" t="str">
        <f t="shared" si="51"/>
        <v/>
      </c>
      <c r="N683" t="str">
        <f t="shared" si="52"/>
        <v/>
      </c>
      <c r="O683" t="str">
        <f t="shared" si="53"/>
        <v/>
      </c>
    </row>
    <row r="684" spans="11:15" x14ac:dyDescent="0.3">
      <c r="K684" t="str">
        <f t="shared" si="54"/>
        <v/>
      </c>
      <c r="L684" t="str">
        <f t="shared" si="50"/>
        <v/>
      </c>
      <c r="M684" t="str">
        <f t="shared" si="51"/>
        <v/>
      </c>
      <c r="N684" t="str">
        <f t="shared" si="52"/>
        <v/>
      </c>
      <c r="O684" t="str">
        <f t="shared" si="53"/>
        <v/>
      </c>
    </row>
    <row r="685" spans="11:15" x14ac:dyDescent="0.3">
      <c r="K685" t="str">
        <f t="shared" si="54"/>
        <v/>
      </c>
      <c r="L685" t="str">
        <f t="shared" si="50"/>
        <v/>
      </c>
      <c r="M685" t="str">
        <f t="shared" si="51"/>
        <v/>
      </c>
      <c r="N685" t="str">
        <f t="shared" si="52"/>
        <v/>
      </c>
      <c r="O685" t="str">
        <f t="shared" si="53"/>
        <v/>
      </c>
    </row>
    <row r="686" spans="11:15" x14ac:dyDescent="0.3">
      <c r="K686" t="str">
        <f t="shared" si="54"/>
        <v/>
      </c>
      <c r="L686" t="str">
        <f t="shared" si="50"/>
        <v/>
      </c>
      <c r="M686" t="str">
        <f t="shared" si="51"/>
        <v/>
      </c>
      <c r="N686" t="str">
        <f t="shared" si="52"/>
        <v/>
      </c>
      <c r="O686" t="str">
        <f t="shared" si="53"/>
        <v/>
      </c>
    </row>
    <row r="687" spans="11:15" x14ac:dyDescent="0.3">
      <c r="K687" t="str">
        <f t="shared" si="54"/>
        <v/>
      </c>
      <c r="L687" t="str">
        <f t="shared" si="50"/>
        <v/>
      </c>
      <c r="M687" t="str">
        <f t="shared" si="51"/>
        <v/>
      </c>
      <c r="N687" t="str">
        <f t="shared" si="52"/>
        <v/>
      </c>
      <c r="O687" t="str">
        <f t="shared" si="53"/>
        <v/>
      </c>
    </row>
    <row r="688" spans="11:15" x14ac:dyDescent="0.3">
      <c r="K688" t="str">
        <f t="shared" si="54"/>
        <v/>
      </c>
      <c r="L688" t="str">
        <f t="shared" si="50"/>
        <v/>
      </c>
      <c r="M688" t="str">
        <f t="shared" si="51"/>
        <v/>
      </c>
      <c r="N688" t="str">
        <f t="shared" si="52"/>
        <v/>
      </c>
      <c r="O688" t="str">
        <f t="shared" si="53"/>
        <v/>
      </c>
    </row>
    <row r="689" spans="11:15" x14ac:dyDescent="0.3">
      <c r="K689" t="str">
        <f t="shared" si="54"/>
        <v/>
      </c>
      <c r="L689" t="str">
        <f t="shared" si="50"/>
        <v/>
      </c>
      <c r="M689" t="str">
        <f t="shared" si="51"/>
        <v/>
      </c>
      <c r="N689" t="str">
        <f t="shared" si="52"/>
        <v/>
      </c>
      <c r="O689" t="str">
        <f t="shared" si="53"/>
        <v/>
      </c>
    </row>
    <row r="690" spans="11:15" x14ac:dyDescent="0.3">
      <c r="K690" t="str">
        <f t="shared" si="54"/>
        <v/>
      </c>
      <c r="L690" t="str">
        <f t="shared" si="50"/>
        <v/>
      </c>
      <c r="M690" t="str">
        <f t="shared" si="51"/>
        <v/>
      </c>
      <c r="N690" t="str">
        <f t="shared" si="52"/>
        <v/>
      </c>
      <c r="O690" t="str">
        <f t="shared" si="53"/>
        <v/>
      </c>
    </row>
    <row r="691" spans="11:15" x14ac:dyDescent="0.3">
      <c r="K691" t="str">
        <f t="shared" si="54"/>
        <v/>
      </c>
      <c r="L691" t="str">
        <f t="shared" si="50"/>
        <v/>
      </c>
      <c r="M691" t="str">
        <f t="shared" si="51"/>
        <v/>
      </c>
      <c r="N691" t="str">
        <f t="shared" si="52"/>
        <v/>
      </c>
      <c r="O691" t="str">
        <f t="shared" si="53"/>
        <v/>
      </c>
    </row>
    <row r="692" spans="11:15" x14ac:dyDescent="0.3">
      <c r="K692" t="str">
        <f t="shared" si="54"/>
        <v/>
      </c>
      <c r="L692" t="str">
        <f t="shared" si="50"/>
        <v/>
      </c>
      <c r="M692" t="str">
        <f t="shared" si="51"/>
        <v/>
      </c>
      <c r="N692" t="str">
        <f t="shared" si="52"/>
        <v/>
      </c>
      <c r="O692" t="str">
        <f t="shared" si="53"/>
        <v/>
      </c>
    </row>
    <row r="693" spans="11:15" x14ac:dyDescent="0.3">
      <c r="K693" t="str">
        <f t="shared" si="54"/>
        <v/>
      </c>
      <c r="L693" t="str">
        <f t="shared" si="50"/>
        <v/>
      </c>
      <c r="M693" t="str">
        <f t="shared" si="51"/>
        <v/>
      </c>
      <c r="N693" t="str">
        <f t="shared" si="52"/>
        <v/>
      </c>
      <c r="O693" t="str">
        <f t="shared" si="53"/>
        <v/>
      </c>
    </row>
    <row r="694" spans="11:15" x14ac:dyDescent="0.3">
      <c r="K694" t="str">
        <f t="shared" si="54"/>
        <v/>
      </c>
      <c r="L694" t="str">
        <f t="shared" si="50"/>
        <v/>
      </c>
      <c r="M694" t="str">
        <f t="shared" si="51"/>
        <v/>
      </c>
      <c r="N694" t="str">
        <f t="shared" si="52"/>
        <v/>
      </c>
      <c r="O694" t="str">
        <f t="shared" si="53"/>
        <v/>
      </c>
    </row>
    <row r="695" spans="11:15" x14ac:dyDescent="0.3">
      <c r="K695" t="str">
        <f t="shared" si="54"/>
        <v/>
      </c>
      <c r="L695" t="str">
        <f t="shared" si="50"/>
        <v/>
      </c>
      <c r="M695" t="str">
        <f t="shared" si="51"/>
        <v/>
      </c>
      <c r="N695" t="str">
        <f t="shared" si="52"/>
        <v/>
      </c>
      <c r="O695" t="str">
        <f t="shared" si="53"/>
        <v/>
      </c>
    </row>
    <row r="696" spans="11:15" x14ac:dyDescent="0.3">
      <c r="K696" t="str">
        <f t="shared" si="54"/>
        <v/>
      </c>
      <c r="L696" t="str">
        <f t="shared" si="50"/>
        <v/>
      </c>
      <c r="M696" t="str">
        <f t="shared" si="51"/>
        <v/>
      </c>
      <c r="N696" t="str">
        <f t="shared" si="52"/>
        <v/>
      </c>
      <c r="O696" t="str">
        <f t="shared" si="53"/>
        <v/>
      </c>
    </row>
    <row r="697" spans="11:15" x14ac:dyDescent="0.3">
      <c r="K697" t="str">
        <f t="shared" si="54"/>
        <v/>
      </c>
      <c r="L697" t="str">
        <f t="shared" si="50"/>
        <v/>
      </c>
      <c r="M697" t="str">
        <f t="shared" si="51"/>
        <v/>
      </c>
      <c r="N697" t="str">
        <f t="shared" si="52"/>
        <v/>
      </c>
      <c r="O697" t="str">
        <f t="shared" si="53"/>
        <v/>
      </c>
    </row>
    <row r="698" spans="11:15" x14ac:dyDescent="0.3">
      <c r="K698" t="str">
        <f t="shared" si="54"/>
        <v/>
      </c>
      <c r="L698" t="str">
        <f t="shared" si="50"/>
        <v/>
      </c>
      <c r="M698" t="str">
        <f t="shared" si="51"/>
        <v/>
      </c>
      <c r="N698" t="str">
        <f t="shared" si="52"/>
        <v/>
      </c>
      <c r="O698" t="str">
        <f t="shared" si="53"/>
        <v/>
      </c>
    </row>
    <row r="699" spans="11:15" x14ac:dyDescent="0.3">
      <c r="K699" t="str">
        <f t="shared" si="54"/>
        <v/>
      </c>
      <c r="L699" t="str">
        <f t="shared" si="50"/>
        <v/>
      </c>
      <c r="M699" t="str">
        <f t="shared" si="51"/>
        <v/>
      </c>
      <c r="N699" t="str">
        <f t="shared" si="52"/>
        <v/>
      </c>
      <c r="O699" t="str">
        <f t="shared" si="53"/>
        <v/>
      </c>
    </row>
    <row r="700" spans="11:15" x14ac:dyDescent="0.3">
      <c r="K700" t="str">
        <f t="shared" si="54"/>
        <v/>
      </c>
      <c r="L700" t="str">
        <f t="shared" si="50"/>
        <v/>
      </c>
      <c r="M700" t="str">
        <f t="shared" si="51"/>
        <v/>
      </c>
      <c r="N700" t="str">
        <f t="shared" si="52"/>
        <v/>
      </c>
      <c r="O700" t="str">
        <f t="shared" si="53"/>
        <v/>
      </c>
    </row>
    <row r="701" spans="11:15" x14ac:dyDescent="0.3">
      <c r="K701" t="str">
        <f t="shared" si="54"/>
        <v/>
      </c>
      <c r="L701" t="str">
        <f t="shared" si="50"/>
        <v/>
      </c>
      <c r="M701" t="str">
        <f t="shared" si="51"/>
        <v/>
      </c>
      <c r="N701" t="str">
        <f t="shared" si="52"/>
        <v/>
      </c>
      <c r="O701" t="str">
        <f t="shared" si="53"/>
        <v/>
      </c>
    </row>
    <row r="702" spans="11:15" x14ac:dyDescent="0.3">
      <c r="K702" t="str">
        <f t="shared" si="54"/>
        <v/>
      </c>
      <c r="L702" t="str">
        <f t="shared" si="50"/>
        <v/>
      </c>
      <c r="M702" t="str">
        <f t="shared" si="51"/>
        <v/>
      </c>
      <c r="N702" t="str">
        <f t="shared" si="52"/>
        <v/>
      </c>
      <c r="O702" t="str">
        <f t="shared" si="53"/>
        <v/>
      </c>
    </row>
    <row r="703" spans="11:15" x14ac:dyDescent="0.3">
      <c r="K703" t="str">
        <f t="shared" si="54"/>
        <v/>
      </c>
      <c r="L703" t="str">
        <f t="shared" si="50"/>
        <v/>
      </c>
      <c r="M703" t="str">
        <f t="shared" si="51"/>
        <v/>
      </c>
      <c r="N703" t="str">
        <f t="shared" si="52"/>
        <v/>
      </c>
      <c r="O703" t="str">
        <f t="shared" si="53"/>
        <v/>
      </c>
    </row>
    <row r="704" spans="11:15" x14ac:dyDescent="0.3">
      <c r="K704" t="str">
        <f t="shared" si="54"/>
        <v/>
      </c>
      <c r="L704" t="str">
        <f t="shared" si="50"/>
        <v/>
      </c>
      <c r="M704" t="str">
        <f t="shared" si="51"/>
        <v/>
      </c>
      <c r="N704" t="str">
        <f t="shared" si="52"/>
        <v/>
      </c>
      <c r="O704" t="str">
        <f t="shared" si="53"/>
        <v/>
      </c>
    </row>
    <row r="705" spans="11:15" x14ac:dyDescent="0.3">
      <c r="K705" t="str">
        <f t="shared" si="54"/>
        <v/>
      </c>
      <c r="L705" t="str">
        <f t="shared" ref="L705:L768" si="55">IF(A705="","",IF(ISNUMBER(--LEFT(A705,FIND(" - ",A705&amp;" - ")-1)),LEFT(A705,FIND(" - ",A705&amp;" - ")-1),TRIM(A705)))</f>
        <v/>
      </c>
      <c r="M705" t="str">
        <f t="shared" ref="M705:M768" si="56">IF(OR(K705="",K705=A705,A705=""),"",K705&amp;"|"&amp;L705)</f>
        <v/>
      </c>
      <c r="N705" t="str">
        <f t="shared" ref="N705:N768" si="57">IF(M705="","",IF(ISNUMBER(B705),B705,IFERROR(_xlfn.NUMBERVALUE(B705,".",","),0)))</f>
        <v/>
      </c>
      <c r="O705" t="str">
        <f t="shared" ref="O705:O768" si="58">IF(M705="","",IF(ISNUMBER(C705),C705,IFERROR(_xlfn.NUMBERVALUE(C705,".",","),0)))</f>
        <v/>
      </c>
    </row>
    <row r="706" spans="11:15" x14ac:dyDescent="0.3">
      <c r="K706" t="str">
        <f t="shared" ref="K706:K769" si="59">IF(OR(LEFT(B706,9)="DOANH THU",LEFT(B706,8)="SỐ LƯỢNG"),A706,K705)</f>
        <v/>
      </c>
      <c r="L706" t="str">
        <f t="shared" si="55"/>
        <v/>
      </c>
      <c r="M706" t="str">
        <f t="shared" si="56"/>
        <v/>
      </c>
      <c r="N706" t="str">
        <f t="shared" si="57"/>
        <v/>
      </c>
      <c r="O706" t="str">
        <f t="shared" si="58"/>
        <v/>
      </c>
    </row>
    <row r="707" spans="11:15" x14ac:dyDescent="0.3">
      <c r="K707" t="str">
        <f t="shared" si="59"/>
        <v/>
      </c>
      <c r="L707" t="str">
        <f t="shared" si="55"/>
        <v/>
      </c>
      <c r="M707" t="str">
        <f t="shared" si="56"/>
        <v/>
      </c>
      <c r="N707" t="str">
        <f t="shared" si="57"/>
        <v/>
      </c>
      <c r="O707" t="str">
        <f t="shared" si="58"/>
        <v/>
      </c>
    </row>
    <row r="708" spans="11:15" x14ac:dyDescent="0.3">
      <c r="K708" t="str">
        <f t="shared" si="59"/>
        <v/>
      </c>
      <c r="L708" t="str">
        <f t="shared" si="55"/>
        <v/>
      </c>
      <c r="M708" t="str">
        <f t="shared" si="56"/>
        <v/>
      </c>
      <c r="N708" t="str">
        <f t="shared" si="57"/>
        <v/>
      </c>
      <c r="O708" t="str">
        <f t="shared" si="58"/>
        <v/>
      </c>
    </row>
    <row r="709" spans="11:15" x14ac:dyDescent="0.3">
      <c r="K709" t="str">
        <f t="shared" si="59"/>
        <v/>
      </c>
      <c r="L709" t="str">
        <f t="shared" si="55"/>
        <v/>
      </c>
      <c r="M709" t="str">
        <f t="shared" si="56"/>
        <v/>
      </c>
      <c r="N709" t="str">
        <f t="shared" si="57"/>
        <v/>
      </c>
      <c r="O709" t="str">
        <f t="shared" si="58"/>
        <v/>
      </c>
    </row>
    <row r="710" spans="11:15" x14ac:dyDescent="0.3">
      <c r="K710" t="str">
        <f t="shared" si="59"/>
        <v/>
      </c>
      <c r="L710" t="str">
        <f t="shared" si="55"/>
        <v/>
      </c>
      <c r="M710" t="str">
        <f t="shared" si="56"/>
        <v/>
      </c>
      <c r="N710" t="str">
        <f t="shared" si="57"/>
        <v/>
      </c>
      <c r="O710" t="str">
        <f t="shared" si="58"/>
        <v/>
      </c>
    </row>
    <row r="711" spans="11:15" x14ac:dyDescent="0.3">
      <c r="K711" t="str">
        <f t="shared" si="59"/>
        <v/>
      </c>
      <c r="L711" t="str">
        <f t="shared" si="55"/>
        <v/>
      </c>
      <c r="M711" t="str">
        <f t="shared" si="56"/>
        <v/>
      </c>
      <c r="N711" t="str">
        <f t="shared" si="57"/>
        <v/>
      </c>
      <c r="O711" t="str">
        <f t="shared" si="58"/>
        <v/>
      </c>
    </row>
    <row r="712" spans="11:15" x14ac:dyDescent="0.3">
      <c r="K712" t="str">
        <f t="shared" si="59"/>
        <v/>
      </c>
      <c r="L712" t="str">
        <f t="shared" si="55"/>
        <v/>
      </c>
      <c r="M712" t="str">
        <f t="shared" si="56"/>
        <v/>
      </c>
      <c r="N712" t="str">
        <f t="shared" si="57"/>
        <v/>
      </c>
      <c r="O712" t="str">
        <f t="shared" si="58"/>
        <v/>
      </c>
    </row>
    <row r="713" spans="11:15" x14ac:dyDescent="0.3">
      <c r="K713" t="str">
        <f t="shared" si="59"/>
        <v/>
      </c>
      <c r="L713" t="str">
        <f t="shared" si="55"/>
        <v/>
      </c>
      <c r="M713" t="str">
        <f t="shared" si="56"/>
        <v/>
      </c>
      <c r="N713" t="str">
        <f t="shared" si="57"/>
        <v/>
      </c>
      <c r="O713" t="str">
        <f t="shared" si="58"/>
        <v/>
      </c>
    </row>
    <row r="714" spans="11:15" x14ac:dyDescent="0.3">
      <c r="K714" t="str">
        <f t="shared" si="59"/>
        <v/>
      </c>
      <c r="L714" t="str">
        <f t="shared" si="55"/>
        <v/>
      </c>
      <c r="M714" t="str">
        <f t="shared" si="56"/>
        <v/>
      </c>
      <c r="N714" t="str">
        <f t="shared" si="57"/>
        <v/>
      </c>
      <c r="O714" t="str">
        <f t="shared" si="58"/>
        <v/>
      </c>
    </row>
    <row r="715" spans="11:15" x14ac:dyDescent="0.3">
      <c r="K715" t="str">
        <f t="shared" si="59"/>
        <v/>
      </c>
      <c r="L715" t="str">
        <f t="shared" si="55"/>
        <v/>
      </c>
      <c r="M715" t="str">
        <f t="shared" si="56"/>
        <v/>
      </c>
      <c r="N715" t="str">
        <f t="shared" si="57"/>
        <v/>
      </c>
      <c r="O715" t="str">
        <f t="shared" si="58"/>
        <v/>
      </c>
    </row>
    <row r="716" spans="11:15" x14ac:dyDescent="0.3">
      <c r="K716" t="str">
        <f t="shared" si="59"/>
        <v/>
      </c>
      <c r="L716" t="str">
        <f t="shared" si="55"/>
        <v/>
      </c>
      <c r="M716" t="str">
        <f t="shared" si="56"/>
        <v/>
      </c>
      <c r="N716" t="str">
        <f t="shared" si="57"/>
        <v/>
      </c>
      <c r="O716" t="str">
        <f t="shared" si="58"/>
        <v/>
      </c>
    </row>
    <row r="717" spans="11:15" x14ac:dyDescent="0.3">
      <c r="K717" t="str">
        <f t="shared" si="59"/>
        <v/>
      </c>
      <c r="L717" t="str">
        <f t="shared" si="55"/>
        <v/>
      </c>
      <c r="M717" t="str">
        <f t="shared" si="56"/>
        <v/>
      </c>
      <c r="N717" t="str">
        <f t="shared" si="57"/>
        <v/>
      </c>
      <c r="O717" t="str">
        <f t="shared" si="58"/>
        <v/>
      </c>
    </row>
    <row r="718" spans="11:15" x14ac:dyDescent="0.3">
      <c r="K718" t="str">
        <f t="shared" si="59"/>
        <v/>
      </c>
      <c r="L718" t="str">
        <f t="shared" si="55"/>
        <v/>
      </c>
      <c r="M718" t="str">
        <f t="shared" si="56"/>
        <v/>
      </c>
      <c r="N718" t="str">
        <f t="shared" si="57"/>
        <v/>
      </c>
      <c r="O718" t="str">
        <f t="shared" si="58"/>
        <v/>
      </c>
    </row>
    <row r="719" spans="11:15" x14ac:dyDescent="0.3">
      <c r="K719" t="str">
        <f t="shared" si="59"/>
        <v/>
      </c>
      <c r="L719" t="str">
        <f t="shared" si="55"/>
        <v/>
      </c>
      <c r="M719" t="str">
        <f t="shared" si="56"/>
        <v/>
      </c>
      <c r="N719" t="str">
        <f t="shared" si="57"/>
        <v/>
      </c>
      <c r="O719" t="str">
        <f t="shared" si="58"/>
        <v/>
      </c>
    </row>
    <row r="720" spans="11:15" x14ac:dyDescent="0.3">
      <c r="K720" t="str">
        <f t="shared" si="59"/>
        <v/>
      </c>
      <c r="L720" t="str">
        <f t="shared" si="55"/>
        <v/>
      </c>
      <c r="M720" t="str">
        <f t="shared" si="56"/>
        <v/>
      </c>
      <c r="N720" t="str">
        <f t="shared" si="57"/>
        <v/>
      </c>
      <c r="O720" t="str">
        <f t="shared" si="58"/>
        <v/>
      </c>
    </row>
    <row r="721" spans="11:15" x14ac:dyDescent="0.3">
      <c r="K721" t="str">
        <f t="shared" si="59"/>
        <v/>
      </c>
      <c r="L721" t="str">
        <f t="shared" si="55"/>
        <v/>
      </c>
      <c r="M721" t="str">
        <f t="shared" si="56"/>
        <v/>
      </c>
      <c r="N721" t="str">
        <f t="shared" si="57"/>
        <v/>
      </c>
      <c r="O721" t="str">
        <f t="shared" si="58"/>
        <v/>
      </c>
    </row>
    <row r="722" spans="11:15" x14ac:dyDescent="0.3">
      <c r="K722" t="str">
        <f t="shared" si="59"/>
        <v/>
      </c>
      <c r="L722" t="str">
        <f t="shared" si="55"/>
        <v/>
      </c>
      <c r="M722" t="str">
        <f t="shared" si="56"/>
        <v/>
      </c>
      <c r="N722" t="str">
        <f t="shared" si="57"/>
        <v/>
      </c>
      <c r="O722" t="str">
        <f t="shared" si="58"/>
        <v/>
      </c>
    </row>
    <row r="723" spans="11:15" x14ac:dyDescent="0.3">
      <c r="K723" t="str">
        <f t="shared" si="59"/>
        <v/>
      </c>
      <c r="L723" t="str">
        <f t="shared" si="55"/>
        <v/>
      </c>
      <c r="M723" t="str">
        <f t="shared" si="56"/>
        <v/>
      </c>
      <c r="N723" t="str">
        <f t="shared" si="57"/>
        <v/>
      </c>
      <c r="O723" t="str">
        <f t="shared" si="58"/>
        <v/>
      </c>
    </row>
    <row r="724" spans="11:15" x14ac:dyDescent="0.3">
      <c r="K724" t="str">
        <f t="shared" si="59"/>
        <v/>
      </c>
      <c r="L724" t="str">
        <f t="shared" si="55"/>
        <v/>
      </c>
      <c r="M724" t="str">
        <f t="shared" si="56"/>
        <v/>
      </c>
      <c r="N724" t="str">
        <f t="shared" si="57"/>
        <v/>
      </c>
      <c r="O724" t="str">
        <f t="shared" si="58"/>
        <v/>
      </c>
    </row>
    <row r="725" spans="11:15" x14ac:dyDescent="0.3">
      <c r="K725" t="str">
        <f t="shared" si="59"/>
        <v/>
      </c>
      <c r="L725" t="str">
        <f t="shared" si="55"/>
        <v/>
      </c>
      <c r="M725" t="str">
        <f t="shared" si="56"/>
        <v/>
      </c>
      <c r="N725" t="str">
        <f t="shared" si="57"/>
        <v/>
      </c>
      <c r="O725" t="str">
        <f t="shared" si="58"/>
        <v/>
      </c>
    </row>
    <row r="726" spans="11:15" x14ac:dyDescent="0.3">
      <c r="K726" t="str">
        <f t="shared" si="59"/>
        <v/>
      </c>
      <c r="L726" t="str">
        <f t="shared" si="55"/>
        <v/>
      </c>
      <c r="M726" t="str">
        <f t="shared" si="56"/>
        <v/>
      </c>
      <c r="N726" t="str">
        <f t="shared" si="57"/>
        <v/>
      </c>
      <c r="O726" t="str">
        <f t="shared" si="58"/>
        <v/>
      </c>
    </row>
    <row r="727" spans="11:15" x14ac:dyDescent="0.3">
      <c r="K727" t="str">
        <f t="shared" si="59"/>
        <v/>
      </c>
      <c r="L727" t="str">
        <f t="shared" si="55"/>
        <v/>
      </c>
      <c r="M727" t="str">
        <f t="shared" si="56"/>
        <v/>
      </c>
      <c r="N727" t="str">
        <f t="shared" si="57"/>
        <v/>
      </c>
      <c r="O727" t="str">
        <f t="shared" si="58"/>
        <v/>
      </c>
    </row>
    <row r="728" spans="11:15" x14ac:dyDescent="0.3">
      <c r="K728" t="str">
        <f t="shared" si="59"/>
        <v/>
      </c>
      <c r="L728" t="str">
        <f t="shared" si="55"/>
        <v/>
      </c>
      <c r="M728" t="str">
        <f t="shared" si="56"/>
        <v/>
      </c>
      <c r="N728" t="str">
        <f t="shared" si="57"/>
        <v/>
      </c>
      <c r="O728" t="str">
        <f t="shared" si="58"/>
        <v/>
      </c>
    </row>
    <row r="729" spans="11:15" x14ac:dyDescent="0.3">
      <c r="K729" t="str">
        <f t="shared" si="59"/>
        <v/>
      </c>
      <c r="L729" t="str">
        <f t="shared" si="55"/>
        <v/>
      </c>
      <c r="M729" t="str">
        <f t="shared" si="56"/>
        <v/>
      </c>
      <c r="N729" t="str">
        <f t="shared" si="57"/>
        <v/>
      </c>
      <c r="O729" t="str">
        <f t="shared" si="58"/>
        <v/>
      </c>
    </row>
    <row r="730" spans="11:15" x14ac:dyDescent="0.3">
      <c r="K730" t="str">
        <f t="shared" si="59"/>
        <v/>
      </c>
      <c r="L730" t="str">
        <f t="shared" si="55"/>
        <v/>
      </c>
      <c r="M730" t="str">
        <f t="shared" si="56"/>
        <v/>
      </c>
      <c r="N730" t="str">
        <f t="shared" si="57"/>
        <v/>
      </c>
      <c r="O730" t="str">
        <f t="shared" si="58"/>
        <v/>
      </c>
    </row>
    <row r="731" spans="11:15" x14ac:dyDescent="0.3">
      <c r="K731" t="str">
        <f t="shared" si="59"/>
        <v/>
      </c>
      <c r="L731" t="str">
        <f t="shared" si="55"/>
        <v/>
      </c>
      <c r="M731" t="str">
        <f t="shared" si="56"/>
        <v/>
      </c>
      <c r="N731" t="str">
        <f t="shared" si="57"/>
        <v/>
      </c>
      <c r="O731" t="str">
        <f t="shared" si="58"/>
        <v/>
      </c>
    </row>
    <row r="732" spans="11:15" x14ac:dyDescent="0.3">
      <c r="K732" t="str">
        <f t="shared" si="59"/>
        <v/>
      </c>
      <c r="L732" t="str">
        <f t="shared" si="55"/>
        <v/>
      </c>
      <c r="M732" t="str">
        <f t="shared" si="56"/>
        <v/>
      </c>
      <c r="N732" t="str">
        <f t="shared" si="57"/>
        <v/>
      </c>
      <c r="O732" t="str">
        <f t="shared" si="58"/>
        <v/>
      </c>
    </row>
    <row r="733" spans="11:15" x14ac:dyDescent="0.3">
      <c r="K733" t="str">
        <f t="shared" si="59"/>
        <v/>
      </c>
      <c r="L733" t="str">
        <f t="shared" si="55"/>
        <v/>
      </c>
      <c r="M733" t="str">
        <f t="shared" si="56"/>
        <v/>
      </c>
      <c r="N733" t="str">
        <f t="shared" si="57"/>
        <v/>
      </c>
      <c r="O733" t="str">
        <f t="shared" si="58"/>
        <v/>
      </c>
    </row>
    <row r="734" spans="11:15" x14ac:dyDescent="0.3">
      <c r="K734" t="str">
        <f t="shared" si="59"/>
        <v/>
      </c>
      <c r="L734" t="str">
        <f t="shared" si="55"/>
        <v/>
      </c>
      <c r="M734" t="str">
        <f t="shared" si="56"/>
        <v/>
      </c>
      <c r="N734" t="str">
        <f t="shared" si="57"/>
        <v/>
      </c>
      <c r="O734" t="str">
        <f t="shared" si="58"/>
        <v/>
      </c>
    </row>
    <row r="735" spans="11:15" x14ac:dyDescent="0.3">
      <c r="K735" t="str">
        <f t="shared" si="59"/>
        <v/>
      </c>
      <c r="L735" t="str">
        <f t="shared" si="55"/>
        <v/>
      </c>
      <c r="M735" t="str">
        <f t="shared" si="56"/>
        <v/>
      </c>
      <c r="N735" t="str">
        <f t="shared" si="57"/>
        <v/>
      </c>
      <c r="O735" t="str">
        <f t="shared" si="58"/>
        <v/>
      </c>
    </row>
    <row r="736" spans="11:15" x14ac:dyDescent="0.3">
      <c r="K736" t="str">
        <f t="shared" si="59"/>
        <v/>
      </c>
      <c r="L736" t="str">
        <f t="shared" si="55"/>
        <v/>
      </c>
      <c r="M736" t="str">
        <f t="shared" si="56"/>
        <v/>
      </c>
      <c r="N736" t="str">
        <f t="shared" si="57"/>
        <v/>
      </c>
      <c r="O736" t="str">
        <f t="shared" si="58"/>
        <v/>
      </c>
    </row>
    <row r="737" spans="11:15" x14ac:dyDescent="0.3">
      <c r="K737" t="str">
        <f t="shared" si="59"/>
        <v/>
      </c>
      <c r="L737" t="str">
        <f t="shared" si="55"/>
        <v/>
      </c>
      <c r="M737" t="str">
        <f t="shared" si="56"/>
        <v/>
      </c>
      <c r="N737" t="str">
        <f t="shared" si="57"/>
        <v/>
      </c>
      <c r="O737" t="str">
        <f t="shared" si="58"/>
        <v/>
      </c>
    </row>
    <row r="738" spans="11:15" x14ac:dyDescent="0.3">
      <c r="K738" t="str">
        <f t="shared" si="59"/>
        <v/>
      </c>
      <c r="L738" t="str">
        <f t="shared" si="55"/>
        <v/>
      </c>
      <c r="M738" t="str">
        <f t="shared" si="56"/>
        <v/>
      </c>
      <c r="N738" t="str">
        <f t="shared" si="57"/>
        <v/>
      </c>
      <c r="O738" t="str">
        <f t="shared" si="58"/>
        <v/>
      </c>
    </row>
    <row r="739" spans="11:15" x14ac:dyDescent="0.3">
      <c r="K739" t="str">
        <f t="shared" si="59"/>
        <v/>
      </c>
      <c r="L739" t="str">
        <f t="shared" si="55"/>
        <v/>
      </c>
      <c r="M739" t="str">
        <f t="shared" si="56"/>
        <v/>
      </c>
      <c r="N739" t="str">
        <f t="shared" si="57"/>
        <v/>
      </c>
      <c r="O739" t="str">
        <f t="shared" si="58"/>
        <v/>
      </c>
    </row>
    <row r="740" spans="11:15" x14ac:dyDescent="0.3">
      <c r="K740" t="str">
        <f t="shared" si="59"/>
        <v/>
      </c>
      <c r="L740" t="str">
        <f t="shared" si="55"/>
        <v/>
      </c>
      <c r="M740" t="str">
        <f t="shared" si="56"/>
        <v/>
      </c>
      <c r="N740" t="str">
        <f t="shared" si="57"/>
        <v/>
      </c>
      <c r="O740" t="str">
        <f t="shared" si="58"/>
        <v/>
      </c>
    </row>
    <row r="741" spans="11:15" x14ac:dyDescent="0.3">
      <c r="K741" t="str">
        <f t="shared" si="59"/>
        <v/>
      </c>
      <c r="L741" t="str">
        <f t="shared" si="55"/>
        <v/>
      </c>
      <c r="M741" t="str">
        <f t="shared" si="56"/>
        <v/>
      </c>
      <c r="N741" t="str">
        <f t="shared" si="57"/>
        <v/>
      </c>
      <c r="O741" t="str">
        <f t="shared" si="58"/>
        <v/>
      </c>
    </row>
    <row r="742" spans="11:15" x14ac:dyDescent="0.3">
      <c r="K742" t="str">
        <f t="shared" si="59"/>
        <v/>
      </c>
      <c r="L742" t="str">
        <f t="shared" si="55"/>
        <v/>
      </c>
      <c r="M742" t="str">
        <f t="shared" si="56"/>
        <v/>
      </c>
      <c r="N742" t="str">
        <f t="shared" si="57"/>
        <v/>
      </c>
      <c r="O742" t="str">
        <f t="shared" si="58"/>
        <v/>
      </c>
    </row>
    <row r="743" spans="11:15" x14ac:dyDescent="0.3">
      <c r="K743" t="str">
        <f t="shared" si="59"/>
        <v/>
      </c>
      <c r="L743" t="str">
        <f t="shared" si="55"/>
        <v/>
      </c>
      <c r="M743" t="str">
        <f t="shared" si="56"/>
        <v/>
      </c>
      <c r="N743" t="str">
        <f t="shared" si="57"/>
        <v/>
      </c>
      <c r="O743" t="str">
        <f t="shared" si="58"/>
        <v/>
      </c>
    </row>
    <row r="744" spans="11:15" x14ac:dyDescent="0.3">
      <c r="K744" t="str">
        <f t="shared" si="59"/>
        <v/>
      </c>
      <c r="L744" t="str">
        <f t="shared" si="55"/>
        <v/>
      </c>
      <c r="M744" t="str">
        <f t="shared" si="56"/>
        <v/>
      </c>
      <c r="N744" t="str">
        <f t="shared" si="57"/>
        <v/>
      </c>
      <c r="O744" t="str">
        <f t="shared" si="58"/>
        <v/>
      </c>
    </row>
    <row r="745" spans="11:15" x14ac:dyDescent="0.3">
      <c r="K745" t="str">
        <f t="shared" si="59"/>
        <v/>
      </c>
      <c r="L745" t="str">
        <f t="shared" si="55"/>
        <v/>
      </c>
      <c r="M745" t="str">
        <f t="shared" si="56"/>
        <v/>
      </c>
      <c r="N745" t="str">
        <f t="shared" si="57"/>
        <v/>
      </c>
      <c r="O745" t="str">
        <f t="shared" si="58"/>
        <v/>
      </c>
    </row>
    <row r="746" spans="11:15" x14ac:dyDescent="0.3">
      <c r="K746" t="str">
        <f t="shared" si="59"/>
        <v/>
      </c>
      <c r="L746" t="str">
        <f t="shared" si="55"/>
        <v/>
      </c>
      <c r="M746" t="str">
        <f t="shared" si="56"/>
        <v/>
      </c>
      <c r="N746" t="str">
        <f t="shared" si="57"/>
        <v/>
      </c>
      <c r="O746" t="str">
        <f t="shared" si="58"/>
        <v/>
      </c>
    </row>
    <row r="747" spans="11:15" x14ac:dyDescent="0.3">
      <c r="K747" t="str">
        <f t="shared" si="59"/>
        <v/>
      </c>
      <c r="L747" t="str">
        <f t="shared" si="55"/>
        <v/>
      </c>
      <c r="M747" t="str">
        <f t="shared" si="56"/>
        <v/>
      </c>
      <c r="N747" t="str">
        <f t="shared" si="57"/>
        <v/>
      </c>
      <c r="O747" t="str">
        <f t="shared" si="58"/>
        <v/>
      </c>
    </row>
    <row r="748" spans="11:15" x14ac:dyDescent="0.3">
      <c r="K748" t="str">
        <f t="shared" si="59"/>
        <v/>
      </c>
      <c r="L748" t="str">
        <f t="shared" si="55"/>
        <v/>
      </c>
      <c r="M748" t="str">
        <f t="shared" si="56"/>
        <v/>
      </c>
      <c r="N748" t="str">
        <f t="shared" si="57"/>
        <v/>
      </c>
      <c r="O748" t="str">
        <f t="shared" si="58"/>
        <v/>
      </c>
    </row>
    <row r="749" spans="11:15" x14ac:dyDescent="0.3">
      <c r="K749" t="str">
        <f t="shared" si="59"/>
        <v/>
      </c>
      <c r="L749" t="str">
        <f t="shared" si="55"/>
        <v/>
      </c>
      <c r="M749" t="str">
        <f t="shared" si="56"/>
        <v/>
      </c>
      <c r="N749" t="str">
        <f t="shared" si="57"/>
        <v/>
      </c>
      <c r="O749" t="str">
        <f t="shared" si="58"/>
        <v/>
      </c>
    </row>
    <row r="750" spans="11:15" x14ac:dyDescent="0.3">
      <c r="K750" t="str">
        <f t="shared" si="59"/>
        <v/>
      </c>
      <c r="L750" t="str">
        <f t="shared" si="55"/>
        <v/>
      </c>
      <c r="M750" t="str">
        <f t="shared" si="56"/>
        <v/>
      </c>
      <c r="N750" t="str">
        <f t="shared" si="57"/>
        <v/>
      </c>
      <c r="O750" t="str">
        <f t="shared" si="58"/>
        <v/>
      </c>
    </row>
    <row r="751" spans="11:15" x14ac:dyDescent="0.3">
      <c r="K751" t="str">
        <f t="shared" si="59"/>
        <v/>
      </c>
      <c r="L751" t="str">
        <f t="shared" si="55"/>
        <v/>
      </c>
      <c r="M751" t="str">
        <f t="shared" si="56"/>
        <v/>
      </c>
      <c r="N751" t="str">
        <f t="shared" si="57"/>
        <v/>
      </c>
      <c r="O751" t="str">
        <f t="shared" si="58"/>
        <v/>
      </c>
    </row>
    <row r="752" spans="11:15" x14ac:dyDescent="0.3">
      <c r="K752" t="str">
        <f t="shared" si="59"/>
        <v/>
      </c>
      <c r="L752" t="str">
        <f t="shared" si="55"/>
        <v/>
      </c>
      <c r="M752" t="str">
        <f t="shared" si="56"/>
        <v/>
      </c>
      <c r="N752" t="str">
        <f t="shared" si="57"/>
        <v/>
      </c>
      <c r="O752" t="str">
        <f t="shared" si="58"/>
        <v/>
      </c>
    </row>
    <row r="753" spans="11:15" x14ac:dyDescent="0.3">
      <c r="K753" t="str">
        <f t="shared" si="59"/>
        <v/>
      </c>
      <c r="L753" t="str">
        <f t="shared" si="55"/>
        <v/>
      </c>
      <c r="M753" t="str">
        <f t="shared" si="56"/>
        <v/>
      </c>
      <c r="N753" t="str">
        <f t="shared" si="57"/>
        <v/>
      </c>
      <c r="O753" t="str">
        <f t="shared" si="58"/>
        <v/>
      </c>
    </row>
    <row r="754" spans="11:15" x14ac:dyDescent="0.3">
      <c r="K754" t="str">
        <f t="shared" si="59"/>
        <v/>
      </c>
      <c r="L754" t="str">
        <f t="shared" si="55"/>
        <v/>
      </c>
      <c r="M754" t="str">
        <f t="shared" si="56"/>
        <v/>
      </c>
      <c r="N754" t="str">
        <f t="shared" si="57"/>
        <v/>
      </c>
      <c r="O754" t="str">
        <f t="shared" si="58"/>
        <v/>
      </c>
    </row>
    <row r="755" spans="11:15" x14ac:dyDescent="0.3">
      <c r="K755" t="str">
        <f t="shared" si="59"/>
        <v/>
      </c>
      <c r="L755" t="str">
        <f t="shared" si="55"/>
        <v/>
      </c>
      <c r="M755" t="str">
        <f t="shared" si="56"/>
        <v/>
      </c>
      <c r="N755" t="str">
        <f t="shared" si="57"/>
        <v/>
      </c>
      <c r="O755" t="str">
        <f t="shared" si="58"/>
        <v/>
      </c>
    </row>
    <row r="756" spans="11:15" x14ac:dyDescent="0.3">
      <c r="K756" t="str">
        <f t="shared" si="59"/>
        <v/>
      </c>
      <c r="L756" t="str">
        <f t="shared" si="55"/>
        <v/>
      </c>
      <c r="M756" t="str">
        <f t="shared" si="56"/>
        <v/>
      </c>
      <c r="N756" t="str">
        <f t="shared" si="57"/>
        <v/>
      </c>
      <c r="O756" t="str">
        <f t="shared" si="58"/>
        <v/>
      </c>
    </row>
    <row r="757" spans="11:15" x14ac:dyDescent="0.3">
      <c r="K757" t="str">
        <f t="shared" si="59"/>
        <v/>
      </c>
      <c r="L757" t="str">
        <f t="shared" si="55"/>
        <v/>
      </c>
      <c r="M757" t="str">
        <f t="shared" si="56"/>
        <v/>
      </c>
      <c r="N757" t="str">
        <f t="shared" si="57"/>
        <v/>
      </c>
      <c r="O757" t="str">
        <f t="shared" si="58"/>
        <v/>
      </c>
    </row>
    <row r="758" spans="11:15" x14ac:dyDescent="0.3">
      <c r="K758" t="str">
        <f t="shared" si="59"/>
        <v/>
      </c>
      <c r="L758" t="str">
        <f t="shared" si="55"/>
        <v/>
      </c>
      <c r="M758" t="str">
        <f t="shared" si="56"/>
        <v/>
      </c>
      <c r="N758" t="str">
        <f t="shared" si="57"/>
        <v/>
      </c>
      <c r="O758" t="str">
        <f t="shared" si="58"/>
        <v/>
      </c>
    </row>
    <row r="759" spans="11:15" x14ac:dyDescent="0.3">
      <c r="K759" t="str">
        <f t="shared" si="59"/>
        <v/>
      </c>
      <c r="L759" t="str">
        <f t="shared" si="55"/>
        <v/>
      </c>
      <c r="M759" t="str">
        <f t="shared" si="56"/>
        <v/>
      </c>
      <c r="N759" t="str">
        <f t="shared" si="57"/>
        <v/>
      </c>
      <c r="O759" t="str">
        <f t="shared" si="58"/>
        <v/>
      </c>
    </row>
    <row r="760" spans="11:15" x14ac:dyDescent="0.3">
      <c r="K760" t="str">
        <f t="shared" si="59"/>
        <v/>
      </c>
      <c r="L760" t="str">
        <f t="shared" si="55"/>
        <v/>
      </c>
      <c r="M760" t="str">
        <f t="shared" si="56"/>
        <v/>
      </c>
      <c r="N760" t="str">
        <f t="shared" si="57"/>
        <v/>
      </c>
      <c r="O760" t="str">
        <f t="shared" si="58"/>
        <v/>
      </c>
    </row>
    <row r="761" spans="11:15" x14ac:dyDescent="0.3">
      <c r="K761" t="str">
        <f t="shared" si="59"/>
        <v/>
      </c>
      <c r="L761" t="str">
        <f t="shared" si="55"/>
        <v/>
      </c>
      <c r="M761" t="str">
        <f t="shared" si="56"/>
        <v/>
      </c>
      <c r="N761" t="str">
        <f t="shared" si="57"/>
        <v/>
      </c>
      <c r="O761" t="str">
        <f t="shared" si="58"/>
        <v/>
      </c>
    </row>
    <row r="762" spans="11:15" x14ac:dyDescent="0.3">
      <c r="K762" t="str">
        <f t="shared" si="59"/>
        <v/>
      </c>
      <c r="L762" t="str">
        <f t="shared" si="55"/>
        <v/>
      </c>
      <c r="M762" t="str">
        <f t="shared" si="56"/>
        <v/>
      </c>
      <c r="N762" t="str">
        <f t="shared" si="57"/>
        <v/>
      </c>
      <c r="O762" t="str">
        <f t="shared" si="58"/>
        <v/>
      </c>
    </row>
    <row r="763" spans="11:15" x14ac:dyDescent="0.3">
      <c r="K763" t="str">
        <f t="shared" si="59"/>
        <v/>
      </c>
      <c r="L763" t="str">
        <f t="shared" si="55"/>
        <v/>
      </c>
      <c r="M763" t="str">
        <f t="shared" si="56"/>
        <v/>
      </c>
      <c r="N763" t="str">
        <f t="shared" si="57"/>
        <v/>
      </c>
      <c r="O763" t="str">
        <f t="shared" si="58"/>
        <v/>
      </c>
    </row>
    <row r="764" spans="11:15" x14ac:dyDescent="0.3">
      <c r="K764" t="str">
        <f t="shared" si="59"/>
        <v/>
      </c>
      <c r="L764" t="str">
        <f t="shared" si="55"/>
        <v/>
      </c>
      <c r="M764" t="str">
        <f t="shared" si="56"/>
        <v/>
      </c>
      <c r="N764" t="str">
        <f t="shared" si="57"/>
        <v/>
      </c>
      <c r="O764" t="str">
        <f t="shared" si="58"/>
        <v/>
      </c>
    </row>
    <row r="765" spans="11:15" x14ac:dyDescent="0.3">
      <c r="K765" t="str">
        <f t="shared" si="59"/>
        <v/>
      </c>
      <c r="L765" t="str">
        <f t="shared" si="55"/>
        <v/>
      </c>
      <c r="M765" t="str">
        <f t="shared" si="56"/>
        <v/>
      </c>
      <c r="N765" t="str">
        <f t="shared" si="57"/>
        <v/>
      </c>
      <c r="O765" t="str">
        <f t="shared" si="58"/>
        <v/>
      </c>
    </row>
    <row r="766" spans="11:15" x14ac:dyDescent="0.3">
      <c r="K766" t="str">
        <f t="shared" si="59"/>
        <v/>
      </c>
      <c r="L766" t="str">
        <f t="shared" si="55"/>
        <v/>
      </c>
      <c r="M766" t="str">
        <f t="shared" si="56"/>
        <v/>
      </c>
      <c r="N766" t="str">
        <f t="shared" si="57"/>
        <v/>
      </c>
      <c r="O766" t="str">
        <f t="shared" si="58"/>
        <v/>
      </c>
    </row>
    <row r="767" spans="11:15" x14ac:dyDescent="0.3">
      <c r="K767" t="str">
        <f t="shared" si="59"/>
        <v/>
      </c>
      <c r="L767" t="str">
        <f t="shared" si="55"/>
        <v/>
      </c>
      <c r="M767" t="str">
        <f t="shared" si="56"/>
        <v/>
      </c>
      <c r="N767" t="str">
        <f t="shared" si="57"/>
        <v/>
      </c>
      <c r="O767" t="str">
        <f t="shared" si="58"/>
        <v/>
      </c>
    </row>
    <row r="768" spans="11:15" x14ac:dyDescent="0.3">
      <c r="K768" t="str">
        <f t="shared" si="59"/>
        <v/>
      </c>
      <c r="L768" t="str">
        <f t="shared" si="55"/>
        <v/>
      </c>
      <c r="M768" t="str">
        <f t="shared" si="56"/>
        <v/>
      </c>
      <c r="N768" t="str">
        <f t="shared" si="57"/>
        <v/>
      </c>
      <c r="O768" t="str">
        <f t="shared" si="58"/>
        <v/>
      </c>
    </row>
    <row r="769" spans="11:15" x14ac:dyDescent="0.3">
      <c r="K769" t="str">
        <f t="shared" si="59"/>
        <v/>
      </c>
      <c r="L769" t="str">
        <f t="shared" ref="L769:L832" si="60">IF(A769="","",IF(ISNUMBER(--LEFT(A769,FIND(" - ",A769&amp;" - ")-1)),LEFT(A769,FIND(" - ",A769&amp;" - ")-1),TRIM(A769)))</f>
        <v/>
      </c>
      <c r="M769" t="str">
        <f t="shared" ref="M769:M832" si="61">IF(OR(K769="",K769=A769,A769=""),"",K769&amp;"|"&amp;L769)</f>
        <v/>
      </c>
      <c r="N769" t="str">
        <f t="shared" ref="N769:N832" si="62">IF(M769="","",IF(ISNUMBER(B769),B769,IFERROR(_xlfn.NUMBERVALUE(B769,".",","),0)))</f>
        <v/>
      </c>
      <c r="O769" t="str">
        <f t="shared" ref="O769:O832" si="63">IF(M769="","",IF(ISNUMBER(C769),C769,IFERROR(_xlfn.NUMBERVALUE(C769,".",","),0)))</f>
        <v/>
      </c>
    </row>
    <row r="770" spans="11:15" x14ac:dyDescent="0.3">
      <c r="K770" t="str">
        <f t="shared" ref="K770:K833" si="64">IF(OR(LEFT(B770,9)="DOANH THU",LEFT(B770,8)="SỐ LƯỢNG"),A770,K769)</f>
        <v/>
      </c>
      <c r="L770" t="str">
        <f t="shared" si="60"/>
        <v/>
      </c>
      <c r="M770" t="str">
        <f t="shared" si="61"/>
        <v/>
      </c>
      <c r="N770" t="str">
        <f t="shared" si="62"/>
        <v/>
      </c>
      <c r="O770" t="str">
        <f t="shared" si="63"/>
        <v/>
      </c>
    </row>
    <row r="771" spans="11:15" x14ac:dyDescent="0.3">
      <c r="K771" t="str">
        <f t="shared" si="64"/>
        <v/>
      </c>
      <c r="L771" t="str">
        <f t="shared" si="60"/>
        <v/>
      </c>
      <c r="M771" t="str">
        <f t="shared" si="61"/>
        <v/>
      </c>
      <c r="N771" t="str">
        <f t="shared" si="62"/>
        <v/>
      </c>
      <c r="O771" t="str">
        <f t="shared" si="63"/>
        <v/>
      </c>
    </row>
    <row r="772" spans="11:15" x14ac:dyDescent="0.3">
      <c r="K772" t="str">
        <f t="shared" si="64"/>
        <v/>
      </c>
      <c r="L772" t="str">
        <f t="shared" si="60"/>
        <v/>
      </c>
      <c r="M772" t="str">
        <f t="shared" si="61"/>
        <v/>
      </c>
      <c r="N772" t="str">
        <f t="shared" si="62"/>
        <v/>
      </c>
      <c r="O772" t="str">
        <f t="shared" si="63"/>
        <v/>
      </c>
    </row>
    <row r="773" spans="11:15" x14ac:dyDescent="0.3">
      <c r="K773" t="str">
        <f t="shared" si="64"/>
        <v/>
      </c>
      <c r="L773" t="str">
        <f t="shared" si="60"/>
        <v/>
      </c>
      <c r="M773" t="str">
        <f t="shared" si="61"/>
        <v/>
      </c>
      <c r="N773" t="str">
        <f t="shared" si="62"/>
        <v/>
      </c>
      <c r="O773" t="str">
        <f t="shared" si="63"/>
        <v/>
      </c>
    </row>
    <row r="774" spans="11:15" x14ac:dyDescent="0.3">
      <c r="K774" t="str">
        <f t="shared" si="64"/>
        <v/>
      </c>
      <c r="L774" t="str">
        <f t="shared" si="60"/>
        <v/>
      </c>
      <c r="M774" t="str">
        <f t="shared" si="61"/>
        <v/>
      </c>
      <c r="N774" t="str">
        <f t="shared" si="62"/>
        <v/>
      </c>
      <c r="O774" t="str">
        <f t="shared" si="63"/>
        <v/>
      </c>
    </row>
    <row r="775" spans="11:15" x14ac:dyDescent="0.3">
      <c r="K775" t="str">
        <f t="shared" si="64"/>
        <v/>
      </c>
      <c r="L775" t="str">
        <f t="shared" si="60"/>
        <v/>
      </c>
      <c r="M775" t="str">
        <f t="shared" si="61"/>
        <v/>
      </c>
      <c r="N775" t="str">
        <f t="shared" si="62"/>
        <v/>
      </c>
      <c r="O775" t="str">
        <f t="shared" si="63"/>
        <v/>
      </c>
    </row>
    <row r="776" spans="11:15" x14ac:dyDescent="0.3">
      <c r="K776" t="str">
        <f t="shared" si="64"/>
        <v/>
      </c>
      <c r="L776" t="str">
        <f t="shared" si="60"/>
        <v/>
      </c>
      <c r="M776" t="str">
        <f t="shared" si="61"/>
        <v/>
      </c>
      <c r="N776" t="str">
        <f t="shared" si="62"/>
        <v/>
      </c>
      <c r="O776" t="str">
        <f t="shared" si="63"/>
        <v/>
      </c>
    </row>
    <row r="777" spans="11:15" x14ac:dyDescent="0.3">
      <c r="K777" t="str">
        <f t="shared" si="64"/>
        <v/>
      </c>
      <c r="L777" t="str">
        <f t="shared" si="60"/>
        <v/>
      </c>
      <c r="M777" t="str">
        <f t="shared" si="61"/>
        <v/>
      </c>
      <c r="N777" t="str">
        <f t="shared" si="62"/>
        <v/>
      </c>
      <c r="O777" t="str">
        <f t="shared" si="63"/>
        <v/>
      </c>
    </row>
    <row r="778" spans="11:15" x14ac:dyDescent="0.3">
      <c r="K778" t="str">
        <f t="shared" si="64"/>
        <v/>
      </c>
      <c r="L778" t="str">
        <f t="shared" si="60"/>
        <v/>
      </c>
      <c r="M778" t="str">
        <f t="shared" si="61"/>
        <v/>
      </c>
      <c r="N778" t="str">
        <f t="shared" si="62"/>
        <v/>
      </c>
      <c r="O778" t="str">
        <f t="shared" si="63"/>
        <v/>
      </c>
    </row>
    <row r="779" spans="11:15" x14ac:dyDescent="0.3">
      <c r="K779" t="str">
        <f t="shared" si="64"/>
        <v/>
      </c>
      <c r="L779" t="str">
        <f t="shared" si="60"/>
        <v/>
      </c>
      <c r="M779" t="str">
        <f t="shared" si="61"/>
        <v/>
      </c>
      <c r="N779" t="str">
        <f t="shared" si="62"/>
        <v/>
      </c>
      <c r="O779" t="str">
        <f t="shared" si="63"/>
        <v/>
      </c>
    </row>
    <row r="780" spans="11:15" x14ac:dyDescent="0.3">
      <c r="K780" t="str">
        <f t="shared" si="64"/>
        <v/>
      </c>
      <c r="L780" t="str">
        <f t="shared" si="60"/>
        <v/>
      </c>
      <c r="M780" t="str">
        <f t="shared" si="61"/>
        <v/>
      </c>
      <c r="N780" t="str">
        <f t="shared" si="62"/>
        <v/>
      </c>
      <c r="O780" t="str">
        <f t="shared" si="63"/>
        <v/>
      </c>
    </row>
    <row r="781" spans="11:15" x14ac:dyDescent="0.3">
      <c r="K781" t="str">
        <f t="shared" si="64"/>
        <v/>
      </c>
      <c r="L781" t="str">
        <f t="shared" si="60"/>
        <v/>
      </c>
      <c r="M781" t="str">
        <f t="shared" si="61"/>
        <v/>
      </c>
      <c r="N781" t="str">
        <f t="shared" si="62"/>
        <v/>
      </c>
      <c r="O781" t="str">
        <f t="shared" si="63"/>
        <v/>
      </c>
    </row>
    <row r="782" spans="11:15" x14ac:dyDescent="0.3">
      <c r="K782" t="str">
        <f t="shared" si="64"/>
        <v/>
      </c>
      <c r="L782" t="str">
        <f t="shared" si="60"/>
        <v/>
      </c>
      <c r="M782" t="str">
        <f t="shared" si="61"/>
        <v/>
      </c>
      <c r="N782" t="str">
        <f t="shared" si="62"/>
        <v/>
      </c>
      <c r="O782" t="str">
        <f t="shared" si="63"/>
        <v/>
      </c>
    </row>
    <row r="783" spans="11:15" x14ac:dyDescent="0.3">
      <c r="K783" t="str">
        <f t="shared" si="64"/>
        <v/>
      </c>
      <c r="L783" t="str">
        <f t="shared" si="60"/>
        <v/>
      </c>
      <c r="M783" t="str">
        <f t="shared" si="61"/>
        <v/>
      </c>
      <c r="N783" t="str">
        <f t="shared" si="62"/>
        <v/>
      </c>
      <c r="O783" t="str">
        <f t="shared" si="63"/>
        <v/>
      </c>
    </row>
    <row r="784" spans="11:15" x14ac:dyDescent="0.3">
      <c r="K784" t="str">
        <f t="shared" si="64"/>
        <v/>
      </c>
      <c r="L784" t="str">
        <f t="shared" si="60"/>
        <v/>
      </c>
      <c r="M784" t="str">
        <f t="shared" si="61"/>
        <v/>
      </c>
      <c r="N784" t="str">
        <f t="shared" si="62"/>
        <v/>
      </c>
      <c r="O784" t="str">
        <f t="shared" si="63"/>
        <v/>
      </c>
    </row>
    <row r="785" spans="11:15" x14ac:dyDescent="0.3">
      <c r="K785" t="str">
        <f t="shared" si="64"/>
        <v/>
      </c>
      <c r="L785" t="str">
        <f t="shared" si="60"/>
        <v/>
      </c>
      <c r="M785" t="str">
        <f t="shared" si="61"/>
        <v/>
      </c>
      <c r="N785" t="str">
        <f t="shared" si="62"/>
        <v/>
      </c>
      <c r="O785" t="str">
        <f t="shared" si="63"/>
        <v/>
      </c>
    </row>
    <row r="786" spans="11:15" x14ac:dyDescent="0.3">
      <c r="K786" t="str">
        <f t="shared" si="64"/>
        <v/>
      </c>
      <c r="L786" t="str">
        <f t="shared" si="60"/>
        <v/>
      </c>
      <c r="M786" t="str">
        <f t="shared" si="61"/>
        <v/>
      </c>
      <c r="N786" t="str">
        <f t="shared" si="62"/>
        <v/>
      </c>
      <c r="O786" t="str">
        <f t="shared" si="63"/>
        <v/>
      </c>
    </row>
    <row r="787" spans="11:15" x14ac:dyDescent="0.3">
      <c r="K787" t="str">
        <f t="shared" si="64"/>
        <v/>
      </c>
      <c r="L787" t="str">
        <f t="shared" si="60"/>
        <v/>
      </c>
      <c r="M787" t="str">
        <f t="shared" si="61"/>
        <v/>
      </c>
      <c r="N787" t="str">
        <f t="shared" si="62"/>
        <v/>
      </c>
      <c r="O787" t="str">
        <f t="shared" si="63"/>
        <v/>
      </c>
    </row>
    <row r="788" spans="11:15" x14ac:dyDescent="0.3">
      <c r="K788" t="str">
        <f t="shared" si="64"/>
        <v/>
      </c>
      <c r="L788" t="str">
        <f t="shared" si="60"/>
        <v/>
      </c>
      <c r="M788" t="str">
        <f t="shared" si="61"/>
        <v/>
      </c>
      <c r="N788" t="str">
        <f t="shared" si="62"/>
        <v/>
      </c>
      <c r="O788" t="str">
        <f t="shared" si="63"/>
        <v/>
      </c>
    </row>
    <row r="789" spans="11:15" x14ac:dyDescent="0.3">
      <c r="K789" t="str">
        <f t="shared" si="64"/>
        <v/>
      </c>
      <c r="L789" t="str">
        <f t="shared" si="60"/>
        <v/>
      </c>
      <c r="M789" t="str">
        <f t="shared" si="61"/>
        <v/>
      </c>
      <c r="N789" t="str">
        <f t="shared" si="62"/>
        <v/>
      </c>
      <c r="O789" t="str">
        <f t="shared" si="63"/>
        <v/>
      </c>
    </row>
    <row r="790" spans="11:15" x14ac:dyDescent="0.3">
      <c r="K790" t="str">
        <f t="shared" si="64"/>
        <v/>
      </c>
      <c r="L790" t="str">
        <f t="shared" si="60"/>
        <v/>
      </c>
      <c r="M790" t="str">
        <f t="shared" si="61"/>
        <v/>
      </c>
      <c r="N790" t="str">
        <f t="shared" si="62"/>
        <v/>
      </c>
      <c r="O790" t="str">
        <f t="shared" si="63"/>
        <v/>
      </c>
    </row>
    <row r="791" spans="11:15" x14ac:dyDescent="0.3">
      <c r="K791" t="str">
        <f t="shared" si="64"/>
        <v/>
      </c>
      <c r="L791" t="str">
        <f t="shared" si="60"/>
        <v/>
      </c>
      <c r="M791" t="str">
        <f t="shared" si="61"/>
        <v/>
      </c>
      <c r="N791" t="str">
        <f t="shared" si="62"/>
        <v/>
      </c>
      <c r="O791" t="str">
        <f t="shared" si="63"/>
        <v/>
      </c>
    </row>
    <row r="792" spans="11:15" x14ac:dyDescent="0.3">
      <c r="K792" t="str">
        <f t="shared" si="64"/>
        <v/>
      </c>
      <c r="L792" t="str">
        <f t="shared" si="60"/>
        <v/>
      </c>
      <c r="M792" t="str">
        <f t="shared" si="61"/>
        <v/>
      </c>
      <c r="N792" t="str">
        <f t="shared" si="62"/>
        <v/>
      </c>
      <c r="O792" t="str">
        <f t="shared" si="63"/>
        <v/>
      </c>
    </row>
    <row r="793" spans="11:15" x14ac:dyDescent="0.3">
      <c r="K793" t="str">
        <f t="shared" si="64"/>
        <v/>
      </c>
      <c r="L793" t="str">
        <f t="shared" si="60"/>
        <v/>
      </c>
      <c r="M793" t="str">
        <f t="shared" si="61"/>
        <v/>
      </c>
      <c r="N793" t="str">
        <f t="shared" si="62"/>
        <v/>
      </c>
      <c r="O793" t="str">
        <f t="shared" si="63"/>
        <v/>
      </c>
    </row>
    <row r="794" spans="11:15" x14ac:dyDescent="0.3">
      <c r="K794" t="str">
        <f t="shared" si="64"/>
        <v/>
      </c>
      <c r="L794" t="str">
        <f t="shared" si="60"/>
        <v/>
      </c>
      <c r="M794" t="str">
        <f t="shared" si="61"/>
        <v/>
      </c>
      <c r="N794" t="str">
        <f t="shared" si="62"/>
        <v/>
      </c>
      <c r="O794" t="str">
        <f t="shared" si="63"/>
        <v/>
      </c>
    </row>
    <row r="795" spans="11:15" x14ac:dyDescent="0.3">
      <c r="K795" t="str">
        <f t="shared" si="64"/>
        <v/>
      </c>
      <c r="L795" t="str">
        <f t="shared" si="60"/>
        <v/>
      </c>
      <c r="M795" t="str">
        <f t="shared" si="61"/>
        <v/>
      </c>
      <c r="N795" t="str">
        <f t="shared" si="62"/>
        <v/>
      </c>
      <c r="O795" t="str">
        <f t="shared" si="63"/>
        <v/>
      </c>
    </row>
    <row r="796" spans="11:15" x14ac:dyDescent="0.3">
      <c r="K796" t="str">
        <f t="shared" si="64"/>
        <v/>
      </c>
      <c r="L796" t="str">
        <f t="shared" si="60"/>
        <v/>
      </c>
      <c r="M796" t="str">
        <f t="shared" si="61"/>
        <v/>
      </c>
      <c r="N796" t="str">
        <f t="shared" si="62"/>
        <v/>
      </c>
      <c r="O796" t="str">
        <f t="shared" si="63"/>
        <v/>
      </c>
    </row>
    <row r="797" spans="11:15" x14ac:dyDescent="0.3">
      <c r="K797" t="str">
        <f t="shared" si="64"/>
        <v/>
      </c>
      <c r="L797" t="str">
        <f t="shared" si="60"/>
        <v/>
      </c>
      <c r="M797" t="str">
        <f t="shared" si="61"/>
        <v/>
      </c>
      <c r="N797" t="str">
        <f t="shared" si="62"/>
        <v/>
      </c>
      <c r="O797" t="str">
        <f t="shared" si="63"/>
        <v/>
      </c>
    </row>
    <row r="798" spans="11:15" x14ac:dyDescent="0.3">
      <c r="K798" t="str">
        <f t="shared" si="64"/>
        <v/>
      </c>
      <c r="L798" t="str">
        <f t="shared" si="60"/>
        <v/>
      </c>
      <c r="M798" t="str">
        <f t="shared" si="61"/>
        <v/>
      </c>
      <c r="N798" t="str">
        <f t="shared" si="62"/>
        <v/>
      </c>
      <c r="O798" t="str">
        <f t="shared" si="63"/>
        <v/>
      </c>
    </row>
    <row r="799" spans="11:15" x14ac:dyDescent="0.3">
      <c r="K799" t="str">
        <f t="shared" si="64"/>
        <v/>
      </c>
      <c r="L799" t="str">
        <f t="shared" si="60"/>
        <v/>
      </c>
      <c r="M799" t="str">
        <f t="shared" si="61"/>
        <v/>
      </c>
      <c r="N799" t="str">
        <f t="shared" si="62"/>
        <v/>
      </c>
      <c r="O799" t="str">
        <f t="shared" si="63"/>
        <v/>
      </c>
    </row>
    <row r="800" spans="11:15" x14ac:dyDescent="0.3">
      <c r="K800" t="str">
        <f t="shared" si="64"/>
        <v/>
      </c>
      <c r="L800" t="str">
        <f t="shared" si="60"/>
        <v/>
      </c>
      <c r="M800" t="str">
        <f t="shared" si="61"/>
        <v/>
      </c>
      <c r="N800" t="str">
        <f t="shared" si="62"/>
        <v/>
      </c>
      <c r="O800" t="str">
        <f t="shared" si="63"/>
        <v/>
      </c>
    </row>
    <row r="801" spans="11:15" x14ac:dyDescent="0.3">
      <c r="K801" t="str">
        <f t="shared" si="64"/>
        <v/>
      </c>
      <c r="L801" t="str">
        <f t="shared" si="60"/>
        <v/>
      </c>
      <c r="M801" t="str">
        <f t="shared" si="61"/>
        <v/>
      </c>
      <c r="N801" t="str">
        <f t="shared" si="62"/>
        <v/>
      </c>
      <c r="O801" t="str">
        <f t="shared" si="63"/>
        <v/>
      </c>
    </row>
    <row r="802" spans="11:15" x14ac:dyDescent="0.3">
      <c r="K802" t="str">
        <f t="shared" si="64"/>
        <v/>
      </c>
      <c r="L802" t="str">
        <f t="shared" si="60"/>
        <v/>
      </c>
      <c r="M802" t="str">
        <f t="shared" si="61"/>
        <v/>
      </c>
      <c r="N802" t="str">
        <f t="shared" si="62"/>
        <v/>
      </c>
      <c r="O802" t="str">
        <f t="shared" si="63"/>
        <v/>
      </c>
    </row>
    <row r="803" spans="11:15" x14ac:dyDescent="0.3">
      <c r="K803" t="str">
        <f t="shared" si="64"/>
        <v/>
      </c>
      <c r="L803" t="str">
        <f t="shared" si="60"/>
        <v/>
      </c>
      <c r="M803" t="str">
        <f t="shared" si="61"/>
        <v/>
      </c>
      <c r="N803" t="str">
        <f t="shared" si="62"/>
        <v/>
      </c>
      <c r="O803" t="str">
        <f t="shared" si="63"/>
        <v/>
      </c>
    </row>
    <row r="804" spans="11:15" x14ac:dyDescent="0.3">
      <c r="K804" t="str">
        <f t="shared" si="64"/>
        <v/>
      </c>
      <c r="L804" t="str">
        <f t="shared" si="60"/>
        <v/>
      </c>
      <c r="M804" t="str">
        <f t="shared" si="61"/>
        <v/>
      </c>
      <c r="N804" t="str">
        <f t="shared" si="62"/>
        <v/>
      </c>
      <c r="O804" t="str">
        <f t="shared" si="63"/>
        <v/>
      </c>
    </row>
    <row r="805" spans="11:15" x14ac:dyDescent="0.3">
      <c r="K805" t="str">
        <f t="shared" si="64"/>
        <v/>
      </c>
      <c r="L805" t="str">
        <f t="shared" si="60"/>
        <v/>
      </c>
      <c r="M805" t="str">
        <f t="shared" si="61"/>
        <v/>
      </c>
      <c r="N805" t="str">
        <f t="shared" si="62"/>
        <v/>
      </c>
      <c r="O805" t="str">
        <f t="shared" si="63"/>
        <v/>
      </c>
    </row>
    <row r="806" spans="11:15" x14ac:dyDescent="0.3">
      <c r="K806" t="str">
        <f t="shared" si="64"/>
        <v/>
      </c>
      <c r="L806" t="str">
        <f t="shared" si="60"/>
        <v/>
      </c>
      <c r="M806" t="str">
        <f t="shared" si="61"/>
        <v/>
      </c>
      <c r="N806" t="str">
        <f t="shared" si="62"/>
        <v/>
      </c>
      <c r="O806" t="str">
        <f t="shared" si="63"/>
        <v/>
      </c>
    </row>
    <row r="807" spans="11:15" x14ac:dyDescent="0.3">
      <c r="K807" t="str">
        <f t="shared" si="64"/>
        <v/>
      </c>
      <c r="L807" t="str">
        <f t="shared" si="60"/>
        <v/>
      </c>
      <c r="M807" t="str">
        <f t="shared" si="61"/>
        <v/>
      </c>
      <c r="N807" t="str">
        <f t="shared" si="62"/>
        <v/>
      </c>
      <c r="O807" t="str">
        <f t="shared" si="63"/>
        <v/>
      </c>
    </row>
    <row r="808" spans="11:15" x14ac:dyDescent="0.3">
      <c r="K808" t="str">
        <f t="shared" si="64"/>
        <v/>
      </c>
      <c r="L808" t="str">
        <f t="shared" si="60"/>
        <v/>
      </c>
      <c r="M808" t="str">
        <f t="shared" si="61"/>
        <v/>
      </c>
      <c r="N808" t="str">
        <f t="shared" si="62"/>
        <v/>
      </c>
      <c r="O808" t="str">
        <f t="shared" si="63"/>
        <v/>
      </c>
    </row>
    <row r="809" spans="11:15" x14ac:dyDescent="0.3">
      <c r="K809" t="str">
        <f t="shared" si="64"/>
        <v/>
      </c>
      <c r="L809" t="str">
        <f t="shared" si="60"/>
        <v/>
      </c>
      <c r="M809" t="str">
        <f t="shared" si="61"/>
        <v/>
      </c>
      <c r="N809" t="str">
        <f t="shared" si="62"/>
        <v/>
      </c>
      <c r="O809" t="str">
        <f t="shared" si="63"/>
        <v/>
      </c>
    </row>
    <row r="810" spans="11:15" x14ac:dyDescent="0.3">
      <c r="K810" t="str">
        <f t="shared" si="64"/>
        <v/>
      </c>
      <c r="L810" t="str">
        <f t="shared" si="60"/>
        <v/>
      </c>
      <c r="M810" t="str">
        <f t="shared" si="61"/>
        <v/>
      </c>
      <c r="N810" t="str">
        <f t="shared" si="62"/>
        <v/>
      </c>
      <c r="O810" t="str">
        <f t="shared" si="63"/>
        <v/>
      </c>
    </row>
    <row r="811" spans="11:15" x14ac:dyDescent="0.3">
      <c r="K811" t="str">
        <f t="shared" si="64"/>
        <v/>
      </c>
      <c r="L811" t="str">
        <f t="shared" si="60"/>
        <v/>
      </c>
      <c r="M811" t="str">
        <f t="shared" si="61"/>
        <v/>
      </c>
      <c r="N811" t="str">
        <f t="shared" si="62"/>
        <v/>
      </c>
      <c r="O811" t="str">
        <f t="shared" si="63"/>
        <v/>
      </c>
    </row>
    <row r="812" spans="11:15" x14ac:dyDescent="0.3">
      <c r="K812" t="str">
        <f t="shared" si="64"/>
        <v/>
      </c>
      <c r="L812" t="str">
        <f t="shared" si="60"/>
        <v/>
      </c>
      <c r="M812" t="str">
        <f t="shared" si="61"/>
        <v/>
      </c>
      <c r="N812" t="str">
        <f t="shared" si="62"/>
        <v/>
      </c>
      <c r="O812" t="str">
        <f t="shared" si="63"/>
        <v/>
      </c>
    </row>
    <row r="813" spans="11:15" x14ac:dyDescent="0.3">
      <c r="K813" t="str">
        <f t="shared" si="64"/>
        <v/>
      </c>
      <c r="L813" t="str">
        <f t="shared" si="60"/>
        <v/>
      </c>
      <c r="M813" t="str">
        <f t="shared" si="61"/>
        <v/>
      </c>
      <c r="N813" t="str">
        <f t="shared" si="62"/>
        <v/>
      </c>
      <c r="O813" t="str">
        <f t="shared" si="63"/>
        <v/>
      </c>
    </row>
    <row r="814" spans="11:15" x14ac:dyDescent="0.3">
      <c r="K814" t="str">
        <f t="shared" si="64"/>
        <v/>
      </c>
      <c r="L814" t="str">
        <f t="shared" si="60"/>
        <v/>
      </c>
      <c r="M814" t="str">
        <f t="shared" si="61"/>
        <v/>
      </c>
      <c r="N814" t="str">
        <f t="shared" si="62"/>
        <v/>
      </c>
      <c r="O814" t="str">
        <f t="shared" si="63"/>
        <v/>
      </c>
    </row>
    <row r="815" spans="11:15" x14ac:dyDescent="0.3">
      <c r="K815" t="str">
        <f t="shared" si="64"/>
        <v/>
      </c>
      <c r="L815" t="str">
        <f t="shared" si="60"/>
        <v/>
      </c>
      <c r="M815" t="str">
        <f t="shared" si="61"/>
        <v/>
      </c>
      <c r="N815" t="str">
        <f t="shared" si="62"/>
        <v/>
      </c>
      <c r="O815" t="str">
        <f t="shared" si="63"/>
        <v/>
      </c>
    </row>
    <row r="816" spans="11:15" x14ac:dyDescent="0.3">
      <c r="K816" t="str">
        <f t="shared" si="64"/>
        <v/>
      </c>
      <c r="L816" t="str">
        <f t="shared" si="60"/>
        <v/>
      </c>
      <c r="M816" t="str">
        <f t="shared" si="61"/>
        <v/>
      </c>
      <c r="N816" t="str">
        <f t="shared" si="62"/>
        <v/>
      </c>
      <c r="O816" t="str">
        <f t="shared" si="63"/>
        <v/>
      </c>
    </row>
    <row r="817" spans="11:15" x14ac:dyDescent="0.3">
      <c r="K817" t="str">
        <f t="shared" si="64"/>
        <v/>
      </c>
      <c r="L817" t="str">
        <f t="shared" si="60"/>
        <v/>
      </c>
      <c r="M817" t="str">
        <f t="shared" si="61"/>
        <v/>
      </c>
      <c r="N817" t="str">
        <f t="shared" si="62"/>
        <v/>
      </c>
      <c r="O817" t="str">
        <f t="shared" si="63"/>
        <v/>
      </c>
    </row>
    <row r="818" spans="11:15" x14ac:dyDescent="0.3">
      <c r="K818" t="str">
        <f t="shared" si="64"/>
        <v/>
      </c>
      <c r="L818" t="str">
        <f t="shared" si="60"/>
        <v/>
      </c>
      <c r="M818" t="str">
        <f t="shared" si="61"/>
        <v/>
      </c>
      <c r="N818" t="str">
        <f t="shared" si="62"/>
        <v/>
      </c>
      <c r="O818" t="str">
        <f t="shared" si="63"/>
        <v/>
      </c>
    </row>
    <row r="819" spans="11:15" x14ac:dyDescent="0.3">
      <c r="K819" t="str">
        <f t="shared" si="64"/>
        <v/>
      </c>
      <c r="L819" t="str">
        <f t="shared" si="60"/>
        <v/>
      </c>
      <c r="M819" t="str">
        <f t="shared" si="61"/>
        <v/>
      </c>
      <c r="N819" t="str">
        <f t="shared" si="62"/>
        <v/>
      </c>
      <c r="O819" t="str">
        <f t="shared" si="63"/>
        <v/>
      </c>
    </row>
    <row r="820" spans="11:15" x14ac:dyDescent="0.3">
      <c r="K820" t="str">
        <f t="shared" si="64"/>
        <v/>
      </c>
      <c r="L820" t="str">
        <f t="shared" si="60"/>
        <v/>
      </c>
      <c r="M820" t="str">
        <f t="shared" si="61"/>
        <v/>
      </c>
      <c r="N820" t="str">
        <f t="shared" si="62"/>
        <v/>
      </c>
      <c r="O820" t="str">
        <f t="shared" si="63"/>
        <v/>
      </c>
    </row>
    <row r="821" spans="11:15" x14ac:dyDescent="0.3">
      <c r="K821" t="str">
        <f t="shared" si="64"/>
        <v/>
      </c>
      <c r="L821" t="str">
        <f t="shared" si="60"/>
        <v/>
      </c>
      <c r="M821" t="str">
        <f t="shared" si="61"/>
        <v/>
      </c>
      <c r="N821" t="str">
        <f t="shared" si="62"/>
        <v/>
      </c>
      <c r="O821" t="str">
        <f t="shared" si="63"/>
        <v/>
      </c>
    </row>
    <row r="822" spans="11:15" x14ac:dyDescent="0.3">
      <c r="K822" t="str">
        <f t="shared" si="64"/>
        <v/>
      </c>
      <c r="L822" t="str">
        <f t="shared" si="60"/>
        <v/>
      </c>
      <c r="M822" t="str">
        <f t="shared" si="61"/>
        <v/>
      </c>
      <c r="N822" t="str">
        <f t="shared" si="62"/>
        <v/>
      </c>
      <c r="O822" t="str">
        <f t="shared" si="63"/>
        <v/>
      </c>
    </row>
    <row r="823" spans="11:15" x14ac:dyDescent="0.3">
      <c r="K823" t="str">
        <f t="shared" si="64"/>
        <v/>
      </c>
      <c r="L823" t="str">
        <f t="shared" si="60"/>
        <v/>
      </c>
      <c r="M823" t="str">
        <f t="shared" si="61"/>
        <v/>
      </c>
      <c r="N823" t="str">
        <f t="shared" si="62"/>
        <v/>
      </c>
      <c r="O823" t="str">
        <f t="shared" si="63"/>
        <v/>
      </c>
    </row>
    <row r="824" spans="11:15" x14ac:dyDescent="0.3">
      <c r="K824" t="str">
        <f t="shared" si="64"/>
        <v/>
      </c>
      <c r="L824" t="str">
        <f t="shared" si="60"/>
        <v/>
      </c>
      <c r="M824" t="str">
        <f t="shared" si="61"/>
        <v/>
      </c>
      <c r="N824" t="str">
        <f t="shared" si="62"/>
        <v/>
      </c>
      <c r="O824" t="str">
        <f t="shared" si="63"/>
        <v/>
      </c>
    </row>
    <row r="825" spans="11:15" x14ac:dyDescent="0.3">
      <c r="K825" t="str">
        <f t="shared" si="64"/>
        <v/>
      </c>
      <c r="L825" t="str">
        <f t="shared" si="60"/>
        <v/>
      </c>
      <c r="M825" t="str">
        <f t="shared" si="61"/>
        <v/>
      </c>
      <c r="N825" t="str">
        <f t="shared" si="62"/>
        <v/>
      </c>
      <c r="O825" t="str">
        <f t="shared" si="63"/>
        <v/>
      </c>
    </row>
    <row r="826" spans="11:15" x14ac:dyDescent="0.3">
      <c r="K826" t="str">
        <f t="shared" si="64"/>
        <v/>
      </c>
      <c r="L826" t="str">
        <f t="shared" si="60"/>
        <v/>
      </c>
      <c r="M826" t="str">
        <f t="shared" si="61"/>
        <v/>
      </c>
      <c r="N826" t="str">
        <f t="shared" si="62"/>
        <v/>
      </c>
      <c r="O826" t="str">
        <f t="shared" si="63"/>
        <v/>
      </c>
    </row>
    <row r="827" spans="11:15" x14ac:dyDescent="0.3">
      <c r="K827" t="str">
        <f t="shared" si="64"/>
        <v/>
      </c>
      <c r="L827" t="str">
        <f t="shared" si="60"/>
        <v/>
      </c>
      <c r="M827" t="str">
        <f t="shared" si="61"/>
        <v/>
      </c>
      <c r="N827" t="str">
        <f t="shared" si="62"/>
        <v/>
      </c>
      <c r="O827" t="str">
        <f t="shared" si="63"/>
        <v/>
      </c>
    </row>
    <row r="828" spans="11:15" x14ac:dyDescent="0.3">
      <c r="K828" t="str">
        <f t="shared" si="64"/>
        <v/>
      </c>
      <c r="L828" t="str">
        <f t="shared" si="60"/>
        <v/>
      </c>
      <c r="M828" t="str">
        <f t="shared" si="61"/>
        <v/>
      </c>
      <c r="N828" t="str">
        <f t="shared" si="62"/>
        <v/>
      </c>
      <c r="O828" t="str">
        <f t="shared" si="63"/>
        <v/>
      </c>
    </row>
    <row r="829" spans="11:15" x14ac:dyDescent="0.3">
      <c r="K829" t="str">
        <f t="shared" si="64"/>
        <v/>
      </c>
      <c r="L829" t="str">
        <f t="shared" si="60"/>
        <v/>
      </c>
      <c r="M829" t="str">
        <f t="shared" si="61"/>
        <v/>
      </c>
      <c r="N829" t="str">
        <f t="shared" si="62"/>
        <v/>
      </c>
      <c r="O829" t="str">
        <f t="shared" si="63"/>
        <v/>
      </c>
    </row>
    <row r="830" spans="11:15" x14ac:dyDescent="0.3">
      <c r="K830" t="str">
        <f t="shared" si="64"/>
        <v/>
      </c>
      <c r="L830" t="str">
        <f t="shared" si="60"/>
        <v/>
      </c>
      <c r="M830" t="str">
        <f t="shared" si="61"/>
        <v/>
      </c>
      <c r="N830" t="str">
        <f t="shared" si="62"/>
        <v/>
      </c>
      <c r="O830" t="str">
        <f t="shared" si="63"/>
        <v/>
      </c>
    </row>
    <row r="831" spans="11:15" x14ac:dyDescent="0.3">
      <c r="K831" t="str">
        <f t="shared" si="64"/>
        <v/>
      </c>
      <c r="L831" t="str">
        <f t="shared" si="60"/>
        <v/>
      </c>
      <c r="M831" t="str">
        <f t="shared" si="61"/>
        <v/>
      </c>
      <c r="N831" t="str">
        <f t="shared" si="62"/>
        <v/>
      </c>
      <c r="O831" t="str">
        <f t="shared" si="63"/>
        <v/>
      </c>
    </row>
    <row r="832" spans="11:15" x14ac:dyDescent="0.3">
      <c r="K832" t="str">
        <f t="shared" si="64"/>
        <v/>
      </c>
      <c r="L832" t="str">
        <f t="shared" si="60"/>
        <v/>
      </c>
      <c r="M832" t="str">
        <f t="shared" si="61"/>
        <v/>
      </c>
      <c r="N832" t="str">
        <f t="shared" si="62"/>
        <v/>
      </c>
      <c r="O832" t="str">
        <f t="shared" si="63"/>
        <v/>
      </c>
    </row>
    <row r="833" spans="11:15" x14ac:dyDescent="0.3">
      <c r="K833" t="str">
        <f t="shared" si="64"/>
        <v/>
      </c>
      <c r="L833" t="str">
        <f t="shared" ref="L833:L896" si="65">IF(A833="","",IF(ISNUMBER(--LEFT(A833,FIND(" - ",A833&amp;" - ")-1)),LEFT(A833,FIND(" - ",A833&amp;" - ")-1),TRIM(A833)))</f>
        <v/>
      </c>
      <c r="M833" t="str">
        <f t="shared" ref="M833:M896" si="66">IF(OR(K833="",K833=A833,A833=""),"",K833&amp;"|"&amp;L833)</f>
        <v/>
      </c>
      <c r="N833" t="str">
        <f t="shared" ref="N833:N896" si="67">IF(M833="","",IF(ISNUMBER(B833),B833,IFERROR(_xlfn.NUMBERVALUE(B833,".",","),0)))</f>
        <v/>
      </c>
      <c r="O833" t="str">
        <f t="shared" ref="O833:O896" si="68">IF(M833="","",IF(ISNUMBER(C833),C833,IFERROR(_xlfn.NUMBERVALUE(C833,".",","),0)))</f>
        <v/>
      </c>
    </row>
    <row r="834" spans="11:15" x14ac:dyDescent="0.3">
      <c r="K834" t="str">
        <f t="shared" ref="K834:K897" si="69">IF(OR(LEFT(B834,9)="DOANH THU",LEFT(B834,8)="SỐ LƯỢNG"),A834,K833)</f>
        <v/>
      </c>
      <c r="L834" t="str">
        <f t="shared" si="65"/>
        <v/>
      </c>
      <c r="M834" t="str">
        <f t="shared" si="66"/>
        <v/>
      </c>
      <c r="N834" t="str">
        <f t="shared" si="67"/>
        <v/>
      </c>
      <c r="O834" t="str">
        <f t="shared" si="68"/>
        <v/>
      </c>
    </row>
    <row r="835" spans="11:15" x14ac:dyDescent="0.3">
      <c r="K835" t="str">
        <f t="shared" si="69"/>
        <v/>
      </c>
      <c r="L835" t="str">
        <f t="shared" si="65"/>
        <v/>
      </c>
      <c r="M835" t="str">
        <f t="shared" si="66"/>
        <v/>
      </c>
      <c r="N835" t="str">
        <f t="shared" si="67"/>
        <v/>
      </c>
      <c r="O835" t="str">
        <f t="shared" si="68"/>
        <v/>
      </c>
    </row>
    <row r="836" spans="11:15" x14ac:dyDescent="0.3">
      <c r="K836" t="str">
        <f t="shared" si="69"/>
        <v/>
      </c>
      <c r="L836" t="str">
        <f t="shared" si="65"/>
        <v/>
      </c>
      <c r="M836" t="str">
        <f t="shared" si="66"/>
        <v/>
      </c>
      <c r="N836" t="str">
        <f t="shared" si="67"/>
        <v/>
      </c>
      <c r="O836" t="str">
        <f t="shared" si="68"/>
        <v/>
      </c>
    </row>
    <row r="837" spans="11:15" x14ac:dyDescent="0.3">
      <c r="K837" t="str">
        <f t="shared" si="69"/>
        <v/>
      </c>
      <c r="L837" t="str">
        <f t="shared" si="65"/>
        <v/>
      </c>
      <c r="M837" t="str">
        <f t="shared" si="66"/>
        <v/>
      </c>
      <c r="N837" t="str">
        <f t="shared" si="67"/>
        <v/>
      </c>
      <c r="O837" t="str">
        <f t="shared" si="68"/>
        <v/>
      </c>
    </row>
    <row r="838" spans="11:15" x14ac:dyDescent="0.3">
      <c r="K838" t="str">
        <f t="shared" si="69"/>
        <v/>
      </c>
      <c r="L838" t="str">
        <f t="shared" si="65"/>
        <v/>
      </c>
      <c r="M838" t="str">
        <f t="shared" si="66"/>
        <v/>
      </c>
      <c r="N838" t="str">
        <f t="shared" si="67"/>
        <v/>
      </c>
      <c r="O838" t="str">
        <f t="shared" si="68"/>
        <v/>
      </c>
    </row>
    <row r="839" spans="11:15" x14ac:dyDescent="0.3">
      <c r="K839" t="str">
        <f t="shared" si="69"/>
        <v/>
      </c>
      <c r="L839" t="str">
        <f t="shared" si="65"/>
        <v/>
      </c>
      <c r="M839" t="str">
        <f t="shared" si="66"/>
        <v/>
      </c>
      <c r="N839" t="str">
        <f t="shared" si="67"/>
        <v/>
      </c>
      <c r="O839" t="str">
        <f t="shared" si="68"/>
        <v/>
      </c>
    </row>
    <row r="840" spans="11:15" x14ac:dyDescent="0.3">
      <c r="K840" t="str">
        <f t="shared" si="69"/>
        <v/>
      </c>
      <c r="L840" t="str">
        <f t="shared" si="65"/>
        <v/>
      </c>
      <c r="M840" t="str">
        <f t="shared" si="66"/>
        <v/>
      </c>
      <c r="N840" t="str">
        <f t="shared" si="67"/>
        <v/>
      </c>
      <c r="O840" t="str">
        <f t="shared" si="68"/>
        <v/>
      </c>
    </row>
    <row r="841" spans="11:15" x14ac:dyDescent="0.3">
      <c r="K841" t="str">
        <f t="shared" si="69"/>
        <v/>
      </c>
      <c r="L841" t="str">
        <f t="shared" si="65"/>
        <v/>
      </c>
      <c r="M841" t="str">
        <f t="shared" si="66"/>
        <v/>
      </c>
      <c r="N841" t="str">
        <f t="shared" si="67"/>
        <v/>
      </c>
      <c r="O841" t="str">
        <f t="shared" si="68"/>
        <v/>
      </c>
    </row>
    <row r="842" spans="11:15" x14ac:dyDescent="0.3">
      <c r="K842" t="str">
        <f t="shared" si="69"/>
        <v/>
      </c>
      <c r="L842" t="str">
        <f t="shared" si="65"/>
        <v/>
      </c>
      <c r="M842" t="str">
        <f t="shared" si="66"/>
        <v/>
      </c>
      <c r="N842" t="str">
        <f t="shared" si="67"/>
        <v/>
      </c>
      <c r="O842" t="str">
        <f t="shared" si="68"/>
        <v/>
      </c>
    </row>
    <row r="843" spans="11:15" x14ac:dyDescent="0.3">
      <c r="K843" t="str">
        <f t="shared" si="69"/>
        <v/>
      </c>
      <c r="L843" t="str">
        <f t="shared" si="65"/>
        <v/>
      </c>
      <c r="M843" t="str">
        <f t="shared" si="66"/>
        <v/>
      </c>
      <c r="N843" t="str">
        <f t="shared" si="67"/>
        <v/>
      </c>
      <c r="O843" t="str">
        <f t="shared" si="68"/>
        <v/>
      </c>
    </row>
    <row r="844" spans="11:15" x14ac:dyDescent="0.3">
      <c r="K844" t="str">
        <f t="shared" si="69"/>
        <v/>
      </c>
      <c r="L844" t="str">
        <f t="shared" si="65"/>
        <v/>
      </c>
      <c r="M844" t="str">
        <f t="shared" si="66"/>
        <v/>
      </c>
      <c r="N844" t="str">
        <f t="shared" si="67"/>
        <v/>
      </c>
      <c r="O844" t="str">
        <f t="shared" si="68"/>
        <v/>
      </c>
    </row>
    <row r="845" spans="11:15" x14ac:dyDescent="0.3">
      <c r="K845" t="str">
        <f t="shared" si="69"/>
        <v/>
      </c>
      <c r="L845" t="str">
        <f t="shared" si="65"/>
        <v/>
      </c>
      <c r="M845" t="str">
        <f t="shared" si="66"/>
        <v/>
      </c>
      <c r="N845" t="str">
        <f t="shared" si="67"/>
        <v/>
      </c>
      <c r="O845" t="str">
        <f t="shared" si="68"/>
        <v/>
      </c>
    </row>
    <row r="846" spans="11:15" x14ac:dyDescent="0.3">
      <c r="K846" t="str">
        <f t="shared" si="69"/>
        <v/>
      </c>
      <c r="L846" t="str">
        <f t="shared" si="65"/>
        <v/>
      </c>
      <c r="M846" t="str">
        <f t="shared" si="66"/>
        <v/>
      </c>
      <c r="N846" t="str">
        <f t="shared" si="67"/>
        <v/>
      </c>
      <c r="O846" t="str">
        <f t="shared" si="68"/>
        <v/>
      </c>
    </row>
    <row r="847" spans="11:15" x14ac:dyDescent="0.3">
      <c r="K847" t="str">
        <f t="shared" si="69"/>
        <v/>
      </c>
      <c r="L847" t="str">
        <f t="shared" si="65"/>
        <v/>
      </c>
      <c r="M847" t="str">
        <f t="shared" si="66"/>
        <v/>
      </c>
      <c r="N847" t="str">
        <f t="shared" si="67"/>
        <v/>
      </c>
      <c r="O847" t="str">
        <f t="shared" si="68"/>
        <v/>
      </c>
    </row>
    <row r="848" spans="11:15" x14ac:dyDescent="0.3">
      <c r="K848" t="str">
        <f t="shared" si="69"/>
        <v/>
      </c>
      <c r="L848" t="str">
        <f t="shared" si="65"/>
        <v/>
      </c>
      <c r="M848" t="str">
        <f t="shared" si="66"/>
        <v/>
      </c>
      <c r="N848" t="str">
        <f t="shared" si="67"/>
        <v/>
      </c>
      <c r="O848" t="str">
        <f t="shared" si="68"/>
        <v/>
      </c>
    </row>
    <row r="849" spans="11:15" x14ac:dyDescent="0.3">
      <c r="K849" t="str">
        <f t="shared" si="69"/>
        <v/>
      </c>
      <c r="L849" t="str">
        <f t="shared" si="65"/>
        <v/>
      </c>
      <c r="M849" t="str">
        <f t="shared" si="66"/>
        <v/>
      </c>
      <c r="N849" t="str">
        <f t="shared" si="67"/>
        <v/>
      </c>
      <c r="O849" t="str">
        <f t="shared" si="68"/>
        <v/>
      </c>
    </row>
    <row r="850" spans="11:15" x14ac:dyDescent="0.3">
      <c r="K850" t="str">
        <f t="shared" si="69"/>
        <v/>
      </c>
      <c r="L850" t="str">
        <f t="shared" si="65"/>
        <v/>
      </c>
      <c r="M850" t="str">
        <f t="shared" si="66"/>
        <v/>
      </c>
      <c r="N850" t="str">
        <f t="shared" si="67"/>
        <v/>
      </c>
      <c r="O850" t="str">
        <f t="shared" si="68"/>
        <v/>
      </c>
    </row>
    <row r="851" spans="11:15" x14ac:dyDescent="0.3">
      <c r="K851" t="str">
        <f t="shared" si="69"/>
        <v/>
      </c>
      <c r="L851" t="str">
        <f t="shared" si="65"/>
        <v/>
      </c>
      <c r="M851" t="str">
        <f t="shared" si="66"/>
        <v/>
      </c>
      <c r="N851" t="str">
        <f t="shared" si="67"/>
        <v/>
      </c>
      <c r="O851" t="str">
        <f t="shared" si="68"/>
        <v/>
      </c>
    </row>
    <row r="852" spans="11:15" x14ac:dyDescent="0.3">
      <c r="K852" t="str">
        <f t="shared" si="69"/>
        <v/>
      </c>
      <c r="L852" t="str">
        <f t="shared" si="65"/>
        <v/>
      </c>
      <c r="M852" t="str">
        <f t="shared" si="66"/>
        <v/>
      </c>
      <c r="N852" t="str">
        <f t="shared" si="67"/>
        <v/>
      </c>
      <c r="O852" t="str">
        <f t="shared" si="68"/>
        <v/>
      </c>
    </row>
    <row r="853" spans="11:15" x14ac:dyDescent="0.3">
      <c r="K853" t="str">
        <f t="shared" si="69"/>
        <v/>
      </c>
      <c r="L853" t="str">
        <f t="shared" si="65"/>
        <v/>
      </c>
      <c r="M853" t="str">
        <f t="shared" si="66"/>
        <v/>
      </c>
      <c r="N853" t="str">
        <f t="shared" si="67"/>
        <v/>
      </c>
      <c r="O853" t="str">
        <f t="shared" si="68"/>
        <v/>
      </c>
    </row>
    <row r="854" spans="11:15" x14ac:dyDescent="0.3">
      <c r="K854" t="str">
        <f t="shared" si="69"/>
        <v/>
      </c>
      <c r="L854" t="str">
        <f t="shared" si="65"/>
        <v/>
      </c>
      <c r="M854" t="str">
        <f t="shared" si="66"/>
        <v/>
      </c>
      <c r="N854" t="str">
        <f t="shared" si="67"/>
        <v/>
      </c>
      <c r="O854" t="str">
        <f t="shared" si="68"/>
        <v/>
      </c>
    </row>
    <row r="855" spans="11:15" x14ac:dyDescent="0.3">
      <c r="K855" t="str">
        <f t="shared" si="69"/>
        <v/>
      </c>
      <c r="L855" t="str">
        <f t="shared" si="65"/>
        <v/>
      </c>
      <c r="M855" t="str">
        <f t="shared" si="66"/>
        <v/>
      </c>
      <c r="N855" t="str">
        <f t="shared" si="67"/>
        <v/>
      </c>
      <c r="O855" t="str">
        <f t="shared" si="68"/>
        <v/>
      </c>
    </row>
    <row r="856" spans="11:15" x14ac:dyDescent="0.3">
      <c r="K856" t="str">
        <f t="shared" si="69"/>
        <v/>
      </c>
      <c r="L856" t="str">
        <f t="shared" si="65"/>
        <v/>
      </c>
      <c r="M856" t="str">
        <f t="shared" si="66"/>
        <v/>
      </c>
      <c r="N856" t="str">
        <f t="shared" si="67"/>
        <v/>
      </c>
      <c r="O856" t="str">
        <f t="shared" si="68"/>
        <v/>
      </c>
    </row>
    <row r="857" spans="11:15" x14ac:dyDescent="0.3">
      <c r="K857" t="str">
        <f t="shared" si="69"/>
        <v/>
      </c>
      <c r="L857" t="str">
        <f t="shared" si="65"/>
        <v/>
      </c>
      <c r="M857" t="str">
        <f t="shared" si="66"/>
        <v/>
      </c>
      <c r="N857" t="str">
        <f t="shared" si="67"/>
        <v/>
      </c>
      <c r="O857" t="str">
        <f t="shared" si="68"/>
        <v/>
      </c>
    </row>
    <row r="858" spans="11:15" x14ac:dyDescent="0.3">
      <c r="K858" t="str">
        <f t="shared" si="69"/>
        <v/>
      </c>
      <c r="L858" t="str">
        <f t="shared" si="65"/>
        <v/>
      </c>
      <c r="M858" t="str">
        <f t="shared" si="66"/>
        <v/>
      </c>
      <c r="N858" t="str">
        <f t="shared" si="67"/>
        <v/>
      </c>
      <c r="O858" t="str">
        <f t="shared" si="68"/>
        <v/>
      </c>
    </row>
    <row r="859" spans="11:15" x14ac:dyDescent="0.3">
      <c r="K859" t="str">
        <f t="shared" si="69"/>
        <v/>
      </c>
      <c r="L859" t="str">
        <f t="shared" si="65"/>
        <v/>
      </c>
      <c r="M859" t="str">
        <f t="shared" si="66"/>
        <v/>
      </c>
      <c r="N859" t="str">
        <f t="shared" si="67"/>
        <v/>
      </c>
      <c r="O859" t="str">
        <f t="shared" si="68"/>
        <v/>
      </c>
    </row>
    <row r="860" spans="11:15" x14ac:dyDescent="0.3">
      <c r="K860" t="str">
        <f t="shared" si="69"/>
        <v/>
      </c>
      <c r="L860" t="str">
        <f t="shared" si="65"/>
        <v/>
      </c>
      <c r="M860" t="str">
        <f t="shared" si="66"/>
        <v/>
      </c>
      <c r="N860" t="str">
        <f t="shared" si="67"/>
        <v/>
      </c>
      <c r="O860" t="str">
        <f t="shared" si="68"/>
        <v/>
      </c>
    </row>
    <row r="861" spans="11:15" x14ac:dyDescent="0.3">
      <c r="K861" t="str">
        <f t="shared" si="69"/>
        <v/>
      </c>
      <c r="L861" t="str">
        <f t="shared" si="65"/>
        <v/>
      </c>
      <c r="M861" t="str">
        <f t="shared" si="66"/>
        <v/>
      </c>
      <c r="N861" t="str">
        <f t="shared" si="67"/>
        <v/>
      </c>
      <c r="O861" t="str">
        <f t="shared" si="68"/>
        <v/>
      </c>
    </row>
    <row r="862" spans="11:15" x14ac:dyDescent="0.3">
      <c r="K862" t="str">
        <f t="shared" si="69"/>
        <v/>
      </c>
      <c r="L862" t="str">
        <f t="shared" si="65"/>
        <v/>
      </c>
      <c r="M862" t="str">
        <f t="shared" si="66"/>
        <v/>
      </c>
      <c r="N862" t="str">
        <f t="shared" si="67"/>
        <v/>
      </c>
      <c r="O862" t="str">
        <f t="shared" si="68"/>
        <v/>
      </c>
    </row>
    <row r="863" spans="11:15" x14ac:dyDescent="0.3">
      <c r="K863" t="str">
        <f t="shared" si="69"/>
        <v/>
      </c>
      <c r="L863" t="str">
        <f t="shared" si="65"/>
        <v/>
      </c>
      <c r="M863" t="str">
        <f t="shared" si="66"/>
        <v/>
      </c>
      <c r="N863" t="str">
        <f t="shared" si="67"/>
        <v/>
      </c>
      <c r="O863" t="str">
        <f t="shared" si="68"/>
        <v/>
      </c>
    </row>
    <row r="864" spans="11:15" x14ac:dyDescent="0.3">
      <c r="K864" t="str">
        <f t="shared" si="69"/>
        <v/>
      </c>
      <c r="L864" t="str">
        <f t="shared" si="65"/>
        <v/>
      </c>
      <c r="M864" t="str">
        <f t="shared" si="66"/>
        <v/>
      </c>
      <c r="N864" t="str">
        <f t="shared" si="67"/>
        <v/>
      </c>
      <c r="O864" t="str">
        <f t="shared" si="68"/>
        <v/>
      </c>
    </row>
    <row r="865" spans="11:15" x14ac:dyDescent="0.3">
      <c r="K865" t="str">
        <f t="shared" si="69"/>
        <v/>
      </c>
      <c r="L865" t="str">
        <f t="shared" si="65"/>
        <v/>
      </c>
      <c r="M865" t="str">
        <f t="shared" si="66"/>
        <v/>
      </c>
      <c r="N865" t="str">
        <f t="shared" si="67"/>
        <v/>
      </c>
      <c r="O865" t="str">
        <f t="shared" si="68"/>
        <v/>
      </c>
    </row>
    <row r="866" spans="11:15" x14ac:dyDescent="0.3">
      <c r="K866" t="str">
        <f t="shared" si="69"/>
        <v/>
      </c>
      <c r="L866" t="str">
        <f t="shared" si="65"/>
        <v/>
      </c>
      <c r="M866" t="str">
        <f t="shared" si="66"/>
        <v/>
      </c>
      <c r="N866" t="str">
        <f t="shared" si="67"/>
        <v/>
      </c>
      <c r="O866" t="str">
        <f t="shared" si="68"/>
        <v/>
      </c>
    </row>
    <row r="867" spans="11:15" x14ac:dyDescent="0.3">
      <c r="K867" t="str">
        <f t="shared" si="69"/>
        <v/>
      </c>
      <c r="L867" t="str">
        <f t="shared" si="65"/>
        <v/>
      </c>
      <c r="M867" t="str">
        <f t="shared" si="66"/>
        <v/>
      </c>
      <c r="N867" t="str">
        <f t="shared" si="67"/>
        <v/>
      </c>
      <c r="O867" t="str">
        <f t="shared" si="68"/>
        <v/>
      </c>
    </row>
    <row r="868" spans="11:15" x14ac:dyDescent="0.3">
      <c r="K868" t="str">
        <f t="shared" si="69"/>
        <v/>
      </c>
      <c r="L868" t="str">
        <f t="shared" si="65"/>
        <v/>
      </c>
      <c r="M868" t="str">
        <f t="shared" si="66"/>
        <v/>
      </c>
      <c r="N868" t="str">
        <f t="shared" si="67"/>
        <v/>
      </c>
      <c r="O868" t="str">
        <f t="shared" si="68"/>
        <v/>
      </c>
    </row>
    <row r="869" spans="11:15" x14ac:dyDescent="0.3">
      <c r="K869" t="str">
        <f t="shared" si="69"/>
        <v/>
      </c>
      <c r="L869" t="str">
        <f t="shared" si="65"/>
        <v/>
      </c>
      <c r="M869" t="str">
        <f t="shared" si="66"/>
        <v/>
      </c>
      <c r="N869" t="str">
        <f t="shared" si="67"/>
        <v/>
      </c>
      <c r="O869" t="str">
        <f t="shared" si="68"/>
        <v/>
      </c>
    </row>
    <row r="870" spans="11:15" x14ac:dyDescent="0.3">
      <c r="K870" t="str">
        <f t="shared" si="69"/>
        <v/>
      </c>
      <c r="L870" t="str">
        <f t="shared" si="65"/>
        <v/>
      </c>
      <c r="M870" t="str">
        <f t="shared" si="66"/>
        <v/>
      </c>
      <c r="N870" t="str">
        <f t="shared" si="67"/>
        <v/>
      </c>
      <c r="O870" t="str">
        <f t="shared" si="68"/>
        <v/>
      </c>
    </row>
    <row r="871" spans="11:15" x14ac:dyDescent="0.3">
      <c r="K871" t="str">
        <f t="shared" si="69"/>
        <v/>
      </c>
      <c r="L871" t="str">
        <f t="shared" si="65"/>
        <v/>
      </c>
      <c r="M871" t="str">
        <f t="shared" si="66"/>
        <v/>
      </c>
      <c r="N871" t="str">
        <f t="shared" si="67"/>
        <v/>
      </c>
      <c r="O871" t="str">
        <f t="shared" si="68"/>
        <v/>
      </c>
    </row>
    <row r="872" spans="11:15" x14ac:dyDescent="0.3">
      <c r="K872" t="str">
        <f t="shared" si="69"/>
        <v/>
      </c>
      <c r="L872" t="str">
        <f t="shared" si="65"/>
        <v/>
      </c>
      <c r="M872" t="str">
        <f t="shared" si="66"/>
        <v/>
      </c>
      <c r="N872" t="str">
        <f t="shared" si="67"/>
        <v/>
      </c>
      <c r="O872" t="str">
        <f t="shared" si="68"/>
        <v/>
      </c>
    </row>
    <row r="873" spans="11:15" x14ac:dyDescent="0.3">
      <c r="K873" t="str">
        <f t="shared" si="69"/>
        <v/>
      </c>
      <c r="L873" t="str">
        <f t="shared" si="65"/>
        <v/>
      </c>
      <c r="M873" t="str">
        <f t="shared" si="66"/>
        <v/>
      </c>
      <c r="N873" t="str">
        <f t="shared" si="67"/>
        <v/>
      </c>
      <c r="O873" t="str">
        <f t="shared" si="68"/>
        <v/>
      </c>
    </row>
    <row r="874" spans="11:15" x14ac:dyDescent="0.3">
      <c r="K874" t="str">
        <f t="shared" si="69"/>
        <v/>
      </c>
      <c r="L874" t="str">
        <f t="shared" si="65"/>
        <v/>
      </c>
      <c r="M874" t="str">
        <f t="shared" si="66"/>
        <v/>
      </c>
      <c r="N874" t="str">
        <f t="shared" si="67"/>
        <v/>
      </c>
      <c r="O874" t="str">
        <f t="shared" si="68"/>
        <v/>
      </c>
    </row>
    <row r="875" spans="11:15" x14ac:dyDescent="0.3">
      <c r="K875" t="str">
        <f t="shared" si="69"/>
        <v/>
      </c>
      <c r="L875" t="str">
        <f t="shared" si="65"/>
        <v/>
      </c>
      <c r="M875" t="str">
        <f t="shared" si="66"/>
        <v/>
      </c>
      <c r="N875" t="str">
        <f t="shared" si="67"/>
        <v/>
      </c>
      <c r="O875" t="str">
        <f t="shared" si="68"/>
        <v/>
      </c>
    </row>
    <row r="876" spans="11:15" x14ac:dyDescent="0.3">
      <c r="K876" t="str">
        <f t="shared" si="69"/>
        <v/>
      </c>
      <c r="L876" t="str">
        <f t="shared" si="65"/>
        <v/>
      </c>
      <c r="M876" t="str">
        <f t="shared" si="66"/>
        <v/>
      </c>
      <c r="N876" t="str">
        <f t="shared" si="67"/>
        <v/>
      </c>
      <c r="O876" t="str">
        <f t="shared" si="68"/>
        <v/>
      </c>
    </row>
    <row r="877" spans="11:15" x14ac:dyDescent="0.3">
      <c r="K877" t="str">
        <f t="shared" si="69"/>
        <v/>
      </c>
      <c r="L877" t="str">
        <f t="shared" si="65"/>
        <v/>
      </c>
      <c r="M877" t="str">
        <f t="shared" si="66"/>
        <v/>
      </c>
      <c r="N877" t="str">
        <f t="shared" si="67"/>
        <v/>
      </c>
      <c r="O877" t="str">
        <f t="shared" si="68"/>
        <v/>
      </c>
    </row>
    <row r="878" spans="11:15" x14ac:dyDescent="0.3">
      <c r="K878" t="str">
        <f t="shared" si="69"/>
        <v/>
      </c>
      <c r="L878" t="str">
        <f t="shared" si="65"/>
        <v/>
      </c>
      <c r="M878" t="str">
        <f t="shared" si="66"/>
        <v/>
      </c>
      <c r="N878" t="str">
        <f t="shared" si="67"/>
        <v/>
      </c>
      <c r="O878" t="str">
        <f t="shared" si="68"/>
        <v/>
      </c>
    </row>
    <row r="879" spans="11:15" x14ac:dyDescent="0.3">
      <c r="K879" t="str">
        <f t="shared" si="69"/>
        <v/>
      </c>
      <c r="L879" t="str">
        <f t="shared" si="65"/>
        <v/>
      </c>
      <c r="M879" t="str">
        <f t="shared" si="66"/>
        <v/>
      </c>
      <c r="N879" t="str">
        <f t="shared" si="67"/>
        <v/>
      </c>
      <c r="O879" t="str">
        <f t="shared" si="68"/>
        <v/>
      </c>
    </row>
    <row r="880" spans="11:15" x14ac:dyDescent="0.3">
      <c r="K880" t="str">
        <f t="shared" si="69"/>
        <v/>
      </c>
      <c r="L880" t="str">
        <f t="shared" si="65"/>
        <v/>
      </c>
      <c r="M880" t="str">
        <f t="shared" si="66"/>
        <v/>
      </c>
      <c r="N880" t="str">
        <f t="shared" si="67"/>
        <v/>
      </c>
      <c r="O880" t="str">
        <f t="shared" si="68"/>
        <v/>
      </c>
    </row>
    <row r="881" spans="11:15" x14ac:dyDescent="0.3">
      <c r="K881" t="str">
        <f t="shared" si="69"/>
        <v/>
      </c>
      <c r="L881" t="str">
        <f t="shared" si="65"/>
        <v/>
      </c>
      <c r="M881" t="str">
        <f t="shared" si="66"/>
        <v/>
      </c>
      <c r="N881" t="str">
        <f t="shared" si="67"/>
        <v/>
      </c>
      <c r="O881" t="str">
        <f t="shared" si="68"/>
        <v/>
      </c>
    </row>
    <row r="882" spans="11:15" x14ac:dyDescent="0.3">
      <c r="K882" t="str">
        <f t="shared" si="69"/>
        <v/>
      </c>
      <c r="L882" t="str">
        <f t="shared" si="65"/>
        <v/>
      </c>
      <c r="M882" t="str">
        <f t="shared" si="66"/>
        <v/>
      </c>
      <c r="N882" t="str">
        <f t="shared" si="67"/>
        <v/>
      </c>
      <c r="O882" t="str">
        <f t="shared" si="68"/>
        <v/>
      </c>
    </row>
    <row r="883" spans="11:15" x14ac:dyDescent="0.3">
      <c r="K883" t="str">
        <f t="shared" si="69"/>
        <v/>
      </c>
      <c r="L883" t="str">
        <f t="shared" si="65"/>
        <v/>
      </c>
      <c r="M883" t="str">
        <f t="shared" si="66"/>
        <v/>
      </c>
      <c r="N883" t="str">
        <f t="shared" si="67"/>
        <v/>
      </c>
      <c r="O883" t="str">
        <f t="shared" si="68"/>
        <v/>
      </c>
    </row>
    <row r="884" spans="11:15" x14ac:dyDescent="0.3">
      <c r="K884" t="str">
        <f t="shared" si="69"/>
        <v/>
      </c>
      <c r="L884" t="str">
        <f t="shared" si="65"/>
        <v/>
      </c>
      <c r="M884" t="str">
        <f t="shared" si="66"/>
        <v/>
      </c>
      <c r="N884" t="str">
        <f t="shared" si="67"/>
        <v/>
      </c>
      <c r="O884" t="str">
        <f t="shared" si="68"/>
        <v/>
      </c>
    </row>
    <row r="885" spans="11:15" x14ac:dyDescent="0.3">
      <c r="K885" t="str">
        <f t="shared" si="69"/>
        <v/>
      </c>
      <c r="L885" t="str">
        <f t="shared" si="65"/>
        <v/>
      </c>
      <c r="M885" t="str">
        <f t="shared" si="66"/>
        <v/>
      </c>
      <c r="N885" t="str">
        <f t="shared" si="67"/>
        <v/>
      </c>
      <c r="O885" t="str">
        <f t="shared" si="68"/>
        <v/>
      </c>
    </row>
    <row r="886" spans="11:15" x14ac:dyDescent="0.3">
      <c r="K886" t="str">
        <f t="shared" si="69"/>
        <v/>
      </c>
      <c r="L886" t="str">
        <f t="shared" si="65"/>
        <v/>
      </c>
      <c r="M886" t="str">
        <f t="shared" si="66"/>
        <v/>
      </c>
      <c r="N886" t="str">
        <f t="shared" si="67"/>
        <v/>
      </c>
      <c r="O886" t="str">
        <f t="shared" si="68"/>
        <v/>
      </c>
    </row>
    <row r="887" spans="11:15" x14ac:dyDescent="0.3">
      <c r="K887" t="str">
        <f t="shared" si="69"/>
        <v/>
      </c>
      <c r="L887" t="str">
        <f t="shared" si="65"/>
        <v/>
      </c>
      <c r="M887" t="str">
        <f t="shared" si="66"/>
        <v/>
      </c>
      <c r="N887" t="str">
        <f t="shared" si="67"/>
        <v/>
      </c>
      <c r="O887" t="str">
        <f t="shared" si="68"/>
        <v/>
      </c>
    </row>
    <row r="888" spans="11:15" x14ac:dyDescent="0.3">
      <c r="K888" t="str">
        <f t="shared" si="69"/>
        <v/>
      </c>
      <c r="L888" t="str">
        <f t="shared" si="65"/>
        <v/>
      </c>
      <c r="M888" t="str">
        <f t="shared" si="66"/>
        <v/>
      </c>
      <c r="N888" t="str">
        <f t="shared" si="67"/>
        <v/>
      </c>
      <c r="O888" t="str">
        <f t="shared" si="68"/>
        <v/>
      </c>
    </row>
    <row r="889" spans="11:15" x14ac:dyDescent="0.3">
      <c r="K889" t="str">
        <f t="shared" si="69"/>
        <v/>
      </c>
      <c r="L889" t="str">
        <f t="shared" si="65"/>
        <v/>
      </c>
      <c r="M889" t="str">
        <f t="shared" si="66"/>
        <v/>
      </c>
      <c r="N889" t="str">
        <f t="shared" si="67"/>
        <v/>
      </c>
      <c r="O889" t="str">
        <f t="shared" si="68"/>
        <v/>
      </c>
    </row>
    <row r="890" spans="11:15" x14ac:dyDescent="0.3">
      <c r="K890" t="str">
        <f t="shared" si="69"/>
        <v/>
      </c>
      <c r="L890" t="str">
        <f t="shared" si="65"/>
        <v/>
      </c>
      <c r="M890" t="str">
        <f t="shared" si="66"/>
        <v/>
      </c>
      <c r="N890" t="str">
        <f t="shared" si="67"/>
        <v/>
      </c>
      <c r="O890" t="str">
        <f t="shared" si="68"/>
        <v/>
      </c>
    </row>
    <row r="891" spans="11:15" x14ac:dyDescent="0.3">
      <c r="K891" t="str">
        <f t="shared" si="69"/>
        <v/>
      </c>
      <c r="L891" t="str">
        <f t="shared" si="65"/>
        <v/>
      </c>
      <c r="M891" t="str">
        <f t="shared" si="66"/>
        <v/>
      </c>
      <c r="N891" t="str">
        <f t="shared" si="67"/>
        <v/>
      </c>
      <c r="O891" t="str">
        <f t="shared" si="68"/>
        <v/>
      </c>
    </row>
    <row r="892" spans="11:15" x14ac:dyDescent="0.3">
      <c r="K892" t="str">
        <f t="shared" si="69"/>
        <v/>
      </c>
      <c r="L892" t="str">
        <f t="shared" si="65"/>
        <v/>
      </c>
      <c r="M892" t="str">
        <f t="shared" si="66"/>
        <v/>
      </c>
      <c r="N892" t="str">
        <f t="shared" si="67"/>
        <v/>
      </c>
      <c r="O892" t="str">
        <f t="shared" si="68"/>
        <v/>
      </c>
    </row>
    <row r="893" spans="11:15" x14ac:dyDescent="0.3">
      <c r="K893" t="str">
        <f t="shared" si="69"/>
        <v/>
      </c>
      <c r="L893" t="str">
        <f t="shared" si="65"/>
        <v/>
      </c>
      <c r="M893" t="str">
        <f t="shared" si="66"/>
        <v/>
      </c>
      <c r="N893" t="str">
        <f t="shared" si="67"/>
        <v/>
      </c>
      <c r="O893" t="str">
        <f t="shared" si="68"/>
        <v/>
      </c>
    </row>
    <row r="894" spans="11:15" x14ac:dyDescent="0.3">
      <c r="K894" t="str">
        <f t="shared" si="69"/>
        <v/>
      </c>
      <c r="L894" t="str">
        <f t="shared" si="65"/>
        <v/>
      </c>
      <c r="M894" t="str">
        <f t="shared" si="66"/>
        <v/>
      </c>
      <c r="N894" t="str">
        <f t="shared" si="67"/>
        <v/>
      </c>
      <c r="O894" t="str">
        <f t="shared" si="68"/>
        <v/>
      </c>
    </row>
    <row r="895" spans="11:15" x14ac:dyDescent="0.3">
      <c r="K895" t="str">
        <f t="shared" si="69"/>
        <v/>
      </c>
      <c r="L895" t="str">
        <f t="shared" si="65"/>
        <v/>
      </c>
      <c r="M895" t="str">
        <f t="shared" si="66"/>
        <v/>
      </c>
      <c r="N895" t="str">
        <f t="shared" si="67"/>
        <v/>
      </c>
      <c r="O895" t="str">
        <f t="shared" si="68"/>
        <v/>
      </c>
    </row>
    <row r="896" spans="11:15" x14ac:dyDescent="0.3">
      <c r="K896" t="str">
        <f t="shared" si="69"/>
        <v/>
      </c>
      <c r="L896" t="str">
        <f t="shared" si="65"/>
        <v/>
      </c>
      <c r="M896" t="str">
        <f t="shared" si="66"/>
        <v/>
      </c>
      <c r="N896" t="str">
        <f t="shared" si="67"/>
        <v/>
      </c>
      <c r="O896" t="str">
        <f t="shared" si="68"/>
        <v/>
      </c>
    </row>
    <row r="897" spans="11:15" x14ac:dyDescent="0.3">
      <c r="K897" t="str">
        <f t="shared" si="69"/>
        <v/>
      </c>
      <c r="L897" t="str">
        <f t="shared" ref="L897:L960" si="70">IF(A897="","",IF(ISNUMBER(--LEFT(A897,FIND(" - ",A897&amp;" - ")-1)),LEFT(A897,FIND(" - ",A897&amp;" - ")-1),TRIM(A897)))</f>
        <v/>
      </c>
      <c r="M897" t="str">
        <f t="shared" ref="M897:M960" si="71">IF(OR(K897="",K897=A897,A897=""),"",K897&amp;"|"&amp;L897)</f>
        <v/>
      </c>
      <c r="N897" t="str">
        <f t="shared" ref="N897:N960" si="72">IF(M897="","",IF(ISNUMBER(B897),B897,IFERROR(_xlfn.NUMBERVALUE(B897,".",","),0)))</f>
        <v/>
      </c>
      <c r="O897" t="str">
        <f t="shared" ref="O897:O960" si="73">IF(M897="","",IF(ISNUMBER(C897),C897,IFERROR(_xlfn.NUMBERVALUE(C897,".",","),0)))</f>
        <v/>
      </c>
    </row>
    <row r="898" spans="11:15" x14ac:dyDescent="0.3">
      <c r="K898" t="str">
        <f t="shared" ref="K898:K961" si="74">IF(OR(LEFT(B898,9)="DOANH THU",LEFT(B898,8)="SỐ LƯỢNG"),A898,K897)</f>
        <v/>
      </c>
      <c r="L898" t="str">
        <f t="shared" si="70"/>
        <v/>
      </c>
      <c r="M898" t="str">
        <f t="shared" si="71"/>
        <v/>
      </c>
      <c r="N898" t="str">
        <f t="shared" si="72"/>
        <v/>
      </c>
      <c r="O898" t="str">
        <f t="shared" si="73"/>
        <v/>
      </c>
    </row>
    <row r="899" spans="11:15" x14ac:dyDescent="0.3">
      <c r="K899" t="str">
        <f t="shared" si="74"/>
        <v/>
      </c>
      <c r="L899" t="str">
        <f t="shared" si="70"/>
        <v/>
      </c>
      <c r="M899" t="str">
        <f t="shared" si="71"/>
        <v/>
      </c>
      <c r="N899" t="str">
        <f t="shared" si="72"/>
        <v/>
      </c>
      <c r="O899" t="str">
        <f t="shared" si="73"/>
        <v/>
      </c>
    </row>
    <row r="900" spans="11:15" x14ac:dyDescent="0.3">
      <c r="K900" t="str">
        <f t="shared" si="74"/>
        <v/>
      </c>
      <c r="L900" t="str">
        <f t="shared" si="70"/>
        <v/>
      </c>
      <c r="M900" t="str">
        <f t="shared" si="71"/>
        <v/>
      </c>
      <c r="N900" t="str">
        <f t="shared" si="72"/>
        <v/>
      </c>
      <c r="O900" t="str">
        <f t="shared" si="73"/>
        <v/>
      </c>
    </row>
    <row r="901" spans="11:15" x14ac:dyDescent="0.3">
      <c r="K901" t="str">
        <f t="shared" si="74"/>
        <v/>
      </c>
      <c r="L901" t="str">
        <f t="shared" si="70"/>
        <v/>
      </c>
      <c r="M901" t="str">
        <f t="shared" si="71"/>
        <v/>
      </c>
      <c r="N901" t="str">
        <f t="shared" si="72"/>
        <v/>
      </c>
      <c r="O901" t="str">
        <f t="shared" si="73"/>
        <v/>
      </c>
    </row>
    <row r="902" spans="11:15" x14ac:dyDescent="0.3">
      <c r="K902" t="str">
        <f t="shared" si="74"/>
        <v/>
      </c>
      <c r="L902" t="str">
        <f t="shared" si="70"/>
        <v/>
      </c>
      <c r="M902" t="str">
        <f t="shared" si="71"/>
        <v/>
      </c>
      <c r="N902" t="str">
        <f t="shared" si="72"/>
        <v/>
      </c>
      <c r="O902" t="str">
        <f t="shared" si="73"/>
        <v/>
      </c>
    </row>
    <row r="903" spans="11:15" x14ac:dyDescent="0.3">
      <c r="K903" t="str">
        <f t="shared" si="74"/>
        <v/>
      </c>
      <c r="L903" t="str">
        <f t="shared" si="70"/>
        <v/>
      </c>
      <c r="M903" t="str">
        <f t="shared" si="71"/>
        <v/>
      </c>
      <c r="N903" t="str">
        <f t="shared" si="72"/>
        <v/>
      </c>
      <c r="O903" t="str">
        <f t="shared" si="73"/>
        <v/>
      </c>
    </row>
    <row r="904" spans="11:15" x14ac:dyDescent="0.3">
      <c r="K904" t="str">
        <f t="shared" si="74"/>
        <v/>
      </c>
      <c r="L904" t="str">
        <f t="shared" si="70"/>
        <v/>
      </c>
      <c r="M904" t="str">
        <f t="shared" si="71"/>
        <v/>
      </c>
      <c r="N904" t="str">
        <f t="shared" si="72"/>
        <v/>
      </c>
      <c r="O904" t="str">
        <f t="shared" si="73"/>
        <v/>
      </c>
    </row>
    <row r="905" spans="11:15" x14ac:dyDescent="0.3">
      <c r="K905" t="str">
        <f t="shared" si="74"/>
        <v/>
      </c>
      <c r="L905" t="str">
        <f t="shared" si="70"/>
        <v/>
      </c>
      <c r="M905" t="str">
        <f t="shared" si="71"/>
        <v/>
      </c>
      <c r="N905" t="str">
        <f t="shared" si="72"/>
        <v/>
      </c>
      <c r="O905" t="str">
        <f t="shared" si="73"/>
        <v/>
      </c>
    </row>
    <row r="906" spans="11:15" x14ac:dyDescent="0.3">
      <c r="K906" t="str">
        <f t="shared" si="74"/>
        <v/>
      </c>
      <c r="L906" t="str">
        <f t="shared" si="70"/>
        <v/>
      </c>
      <c r="M906" t="str">
        <f t="shared" si="71"/>
        <v/>
      </c>
      <c r="N906" t="str">
        <f t="shared" si="72"/>
        <v/>
      </c>
      <c r="O906" t="str">
        <f t="shared" si="73"/>
        <v/>
      </c>
    </row>
    <row r="907" spans="11:15" x14ac:dyDescent="0.3">
      <c r="K907" t="str">
        <f t="shared" si="74"/>
        <v/>
      </c>
      <c r="L907" t="str">
        <f t="shared" si="70"/>
        <v/>
      </c>
      <c r="M907" t="str">
        <f t="shared" si="71"/>
        <v/>
      </c>
      <c r="N907" t="str">
        <f t="shared" si="72"/>
        <v/>
      </c>
      <c r="O907" t="str">
        <f t="shared" si="73"/>
        <v/>
      </c>
    </row>
    <row r="908" spans="11:15" x14ac:dyDescent="0.3">
      <c r="K908" t="str">
        <f t="shared" si="74"/>
        <v/>
      </c>
      <c r="L908" t="str">
        <f t="shared" si="70"/>
        <v/>
      </c>
      <c r="M908" t="str">
        <f t="shared" si="71"/>
        <v/>
      </c>
      <c r="N908" t="str">
        <f t="shared" si="72"/>
        <v/>
      </c>
      <c r="O908" t="str">
        <f t="shared" si="73"/>
        <v/>
      </c>
    </row>
    <row r="909" spans="11:15" x14ac:dyDescent="0.3">
      <c r="K909" t="str">
        <f t="shared" si="74"/>
        <v/>
      </c>
      <c r="L909" t="str">
        <f t="shared" si="70"/>
        <v/>
      </c>
      <c r="M909" t="str">
        <f t="shared" si="71"/>
        <v/>
      </c>
      <c r="N909" t="str">
        <f t="shared" si="72"/>
        <v/>
      </c>
      <c r="O909" t="str">
        <f t="shared" si="73"/>
        <v/>
      </c>
    </row>
    <row r="910" spans="11:15" x14ac:dyDescent="0.3">
      <c r="K910" t="str">
        <f t="shared" si="74"/>
        <v/>
      </c>
      <c r="L910" t="str">
        <f t="shared" si="70"/>
        <v/>
      </c>
      <c r="M910" t="str">
        <f t="shared" si="71"/>
        <v/>
      </c>
      <c r="N910" t="str">
        <f t="shared" si="72"/>
        <v/>
      </c>
      <c r="O910" t="str">
        <f t="shared" si="73"/>
        <v/>
      </c>
    </row>
    <row r="911" spans="11:15" x14ac:dyDescent="0.3">
      <c r="K911" t="str">
        <f t="shared" si="74"/>
        <v/>
      </c>
      <c r="L911" t="str">
        <f t="shared" si="70"/>
        <v/>
      </c>
      <c r="M911" t="str">
        <f t="shared" si="71"/>
        <v/>
      </c>
      <c r="N911" t="str">
        <f t="shared" si="72"/>
        <v/>
      </c>
      <c r="O911" t="str">
        <f t="shared" si="73"/>
        <v/>
      </c>
    </row>
    <row r="912" spans="11:15" x14ac:dyDescent="0.3">
      <c r="K912" t="str">
        <f t="shared" si="74"/>
        <v/>
      </c>
      <c r="L912" t="str">
        <f t="shared" si="70"/>
        <v/>
      </c>
      <c r="M912" t="str">
        <f t="shared" si="71"/>
        <v/>
      </c>
      <c r="N912" t="str">
        <f t="shared" si="72"/>
        <v/>
      </c>
      <c r="O912" t="str">
        <f t="shared" si="73"/>
        <v/>
      </c>
    </row>
    <row r="913" spans="11:15" x14ac:dyDescent="0.3">
      <c r="K913" t="str">
        <f t="shared" si="74"/>
        <v/>
      </c>
      <c r="L913" t="str">
        <f t="shared" si="70"/>
        <v/>
      </c>
      <c r="M913" t="str">
        <f t="shared" si="71"/>
        <v/>
      </c>
      <c r="N913" t="str">
        <f t="shared" si="72"/>
        <v/>
      </c>
      <c r="O913" t="str">
        <f t="shared" si="73"/>
        <v/>
      </c>
    </row>
    <row r="914" spans="11:15" x14ac:dyDescent="0.3">
      <c r="K914" t="str">
        <f t="shared" si="74"/>
        <v/>
      </c>
      <c r="L914" t="str">
        <f t="shared" si="70"/>
        <v/>
      </c>
      <c r="M914" t="str">
        <f t="shared" si="71"/>
        <v/>
      </c>
      <c r="N914" t="str">
        <f t="shared" si="72"/>
        <v/>
      </c>
      <c r="O914" t="str">
        <f t="shared" si="73"/>
        <v/>
      </c>
    </row>
    <row r="915" spans="11:15" x14ac:dyDescent="0.3">
      <c r="K915" t="str">
        <f t="shared" si="74"/>
        <v/>
      </c>
      <c r="L915" t="str">
        <f t="shared" si="70"/>
        <v/>
      </c>
      <c r="M915" t="str">
        <f t="shared" si="71"/>
        <v/>
      </c>
      <c r="N915" t="str">
        <f t="shared" si="72"/>
        <v/>
      </c>
      <c r="O915" t="str">
        <f t="shared" si="73"/>
        <v/>
      </c>
    </row>
    <row r="916" spans="11:15" x14ac:dyDescent="0.3">
      <c r="K916" t="str">
        <f t="shared" si="74"/>
        <v/>
      </c>
      <c r="L916" t="str">
        <f t="shared" si="70"/>
        <v/>
      </c>
      <c r="M916" t="str">
        <f t="shared" si="71"/>
        <v/>
      </c>
      <c r="N916" t="str">
        <f t="shared" si="72"/>
        <v/>
      </c>
      <c r="O916" t="str">
        <f t="shared" si="73"/>
        <v/>
      </c>
    </row>
    <row r="917" spans="11:15" x14ac:dyDescent="0.3">
      <c r="K917" t="str">
        <f t="shared" si="74"/>
        <v/>
      </c>
      <c r="L917" t="str">
        <f t="shared" si="70"/>
        <v/>
      </c>
      <c r="M917" t="str">
        <f t="shared" si="71"/>
        <v/>
      </c>
      <c r="N917" t="str">
        <f t="shared" si="72"/>
        <v/>
      </c>
      <c r="O917" t="str">
        <f t="shared" si="73"/>
        <v/>
      </c>
    </row>
    <row r="918" spans="11:15" x14ac:dyDescent="0.3">
      <c r="K918" t="str">
        <f t="shared" si="74"/>
        <v/>
      </c>
      <c r="L918" t="str">
        <f t="shared" si="70"/>
        <v/>
      </c>
      <c r="M918" t="str">
        <f t="shared" si="71"/>
        <v/>
      </c>
      <c r="N918" t="str">
        <f t="shared" si="72"/>
        <v/>
      </c>
      <c r="O918" t="str">
        <f t="shared" si="73"/>
        <v/>
      </c>
    </row>
    <row r="919" spans="11:15" x14ac:dyDescent="0.3">
      <c r="K919" t="str">
        <f t="shared" si="74"/>
        <v/>
      </c>
      <c r="L919" t="str">
        <f t="shared" si="70"/>
        <v/>
      </c>
      <c r="M919" t="str">
        <f t="shared" si="71"/>
        <v/>
      </c>
      <c r="N919" t="str">
        <f t="shared" si="72"/>
        <v/>
      </c>
      <c r="O919" t="str">
        <f t="shared" si="73"/>
        <v/>
      </c>
    </row>
    <row r="920" spans="11:15" x14ac:dyDescent="0.3">
      <c r="K920" t="str">
        <f t="shared" si="74"/>
        <v/>
      </c>
      <c r="L920" t="str">
        <f t="shared" si="70"/>
        <v/>
      </c>
      <c r="M920" t="str">
        <f t="shared" si="71"/>
        <v/>
      </c>
      <c r="N920" t="str">
        <f t="shared" si="72"/>
        <v/>
      </c>
      <c r="O920" t="str">
        <f t="shared" si="73"/>
        <v/>
      </c>
    </row>
    <row r="921" spans="11:15" x14ac:dyDescent="0.3">
      <c r="K921" t="str">
        <f t="shared" si="74"/>
        <v/>
      </c>
      <c r="L921" t="str">
        <f t="shared" si="70"/>
        <v/>
      </c>
      <c r="M921" t="str">
        <f t="shared" si="71"/>
        <v/>
      </c>
      <c r="N921" t="str">
        <f t="shared" si="72"/>
        <v/>
      </c>
      <c r="O921" t="str">
        <f t="shared" si="73"/>
        <v/>
      </c>
    </row>
    <row r="922" spans="11:15" x14ac:dyDescent="0.3">
      <c r="K922" t="str">
        <f t="shared" si="74"/>
        <v/>
      </c>
      <c r="L922" t="str">
        <f t="shared" si="70"/>
        <v/>
      </c>
      <c r="M922" t="str">
        <f t="shared" si="71"/>
        <v/>
      </c>
      <c r="N922" t="str">
        <f t="shared" si="72"/>
        <v/>
      </c>
      <c r="O922" t="str">
        <f t="shared" si="73"/>
        <v/>
      </c>
    </row>
    <row r="923" spans="11:15" x14ac:dyDescent="0.3">
      <c r="K923" t="str">
        <f t="shared" si="74"/>
        <v/>
      </c>
      <c r="L923" t="str">
        <f t="shared" si="70"/>
        <v/>
      </c>
      <c r="M923" t="str">
        <f t="shared" si="71"/>
        <v/>
      </c>
      <c r="N923" t="str">
        <f t="shared" si="72"/>
        <v/>
      </c>
      <c r="O923" t="str">
        <f t="shared" si="73"/>
        <v/>
      </c>
    </row>
    <row r="924" spans="11:15" x14ac:dyDescent="0.3">
      <c r="K924" t="str">
        <f t="shared" si="74"/>
        <v/>
      </c>
      <c r="L924" t="str">
        <f t="shared" si="70"/>
        <v/>
      </c>
      <c r="M924" t="str">
        <f t="shared" si="71"/>
        <v/>
      </c>
      <c r="N924" t="str">
        <f t="shared" si="72"/>
        <v/>
      </c>
      <c r="O924" t="str">
        <f t="shared" si="73"/>
        <v/>
      </c>
    </row>
    <row r="925" spans="11:15" x14ac:dyDescent="0.3">
      <c r="K925" t="str">
        <f t="shared" si="74"/>
        <v/>
      </c>
      <c r="L925" t="str">
        <f t="shared" si="70"/>
        <v/>
      </c>
      <c r="M925" t="str">
        <f t="shared" si="71"/>
        <v/>
      </c>
      <c r="N925" t="str">
        <f t="shared" si="72"/>
        <v/>
      </c>
      <c r="O925" t="str">
        <f t="shared" si="73"/>
        <v/>
      </c>
    </row>
    <row r="926" spans="11:15" x14ac:dyDescent="0.3">
      <c r="K926" t="str">
        <f t="shared" si="74"/>
        <v/>
      </c>
      <c r="L926" t="str">
        <f t="shared" si="70"/>
        <v/>
      </c>
      <c r="M926" t="str">
        <f t="shared" si="71"/>
        <v/>
      </c>
      <c r="N926" t="str">
        <f t="shared" si="72"/>
        <v/>
      </c>
      <c r="O926" t="str">
        <f t="shared" si="73"/>
        <v/>
      </c>
    </row>
    <row r="927" spans="11:15" x14ac:dyDescent="0.3">
      <c r="K927" t="str">
        <f t="shared" si="74"/>
        <v/>
      </c>
      <c r="L927" t="str">
        <f t="shared" si="70"/>
        <v/>
      </c>
      <c r="M927" t="str">
        <f t="shared" si="71"/>
        <v/>
      </c>
      <c r="N927" t="str">
        <f t="shared" si="72"/>
        <v/>
      </c>
      <c r="O927" t="str">
        <f t="shared" si="73"/>
        <v/>
      </c>
    </row>
    <row r="928" spans="11:15" x14ac:dyDescent="0.3">
      <c r="K928" t="str">
        <f t="shared" si="74"/>
        <v/>
      </c>
      <c r="L928" t="str">
        <f t="shared" si="70"/>
        <v/>
      </c>
      <c r="M928" t="str">
        <f t="shared" si="71"/>
        <v/>
      </c>
      <c r="N928" t="str">
        <f t="shared" si="72"/>
        <v/>
      </c>
      <c r="O928" t="str">
        <f t="shared" si="73"/>
        <v/>
      </c>
    </row>
    <row r="929" spans="11:15" x14ac:dyDescent="0.3">
      <c r="K929" t="str">
        <f t="shared" si="74"/>
        <v/>
      </c>
      <c r="L929" t="str">
        <f t="shared" si="70"/>
        <v/>
      </c>
      <c r="M929" t="str">
        <f t="shared" si="71"/>
        <v/>
      </c>
      <c r="N929" t="str">
        <f t="shared" si="72"/>
        <v/>
      </c>
      <c r="O929" t="str">
        <f t="shared" si="73"/>
        <v/>
      </c>
    </row>
    <row r="930" spans="11:15" x14ac:dyDescent="0.3">
      <c r="K930" t="str">
        <f t="shared" si="74"/>
        <v/>
      </c>
      <c r="L930" t="str">
        <f t="shared" si="70"/>
        <v/>
      </c>
      <c r="M930" t="str">
        <f t="shared" si="71"/>
        <v/>
      </c>
      <c r="N930" t="str">
        <f t="shared" si="72"/>
        <v/>
      </c>
      <c r="O930" t="str">
        <f t="shared" si="73"/>
        <v/>
      </c>
    </row>
    <row r="931" spans="11:15" x14ac:dyDescent="0.3">
      <c r="K931" t="str">
        <f t="shared" si="74"/>
        <v/>
      </c>
      <c r="L931" t="str">
        <f t="shared" si="70"/>
        <v/>
      </c>
      <c r="M931" t="str">
        <f t="shared" si="71"/>
        <v/>
      </c>
      <c r="N931" t="str">
        <f t="shared" si="72"/>
        <v/>
      </c>
      <c r="O931" t="str">
        <f t="shared" si="73"/>
        <v/>
      </c>
    </row>
    <row r="932" spans="11:15" x14ac:dyDescent="0.3">
      <c r="K932" t="str">
        <f t="shared" si="74"/>
        <v/>
      </c>
      <c r="L932" t="str">
        <f t="shared" si="70"/>
        <v/>
      </c>
      <c r="M932" t="str">
        <f t="shared" si="71"/>
        <v/>
      </c>
      <c r="N932" t="str">
        <f t="shared" si="72"/>
        <v/>
      </c>
      <c r="O932" t="str">
        <f t="shared" si="73"/>
        <v/>
      </c>
    </row>
    <row r="933" spans="11:15" x14ac:dyDescent="0.3">
      <c r="K933" t="str">
        <f t="shared" si="74"/>
        <v/>
      </c>
      <c r="L933" t="str">
        <f t="shared" si="70"/>
        <v/>
      </c>
      <c r="M933" t="str">
        <f t="shared" si="71"/>
        <v/>
      </c>
      <c r="N933" t="str">
        <f t="shared" si="72"/>
        <v/>
      </c>
      <c r="O933" t="str">
        <f t="shared" si="73"/>
        <v/>
      </c>
    </row>
    <row r="934" spans="11:15" x14ac:dyDescent="0.3">
      <c r="K934" t="str">
        <f t="shared" si="74"/>
        <v/>
      </c>
      <c r="L934" t="str">
        <f t="shared" si="70"/>
        <v/>
      </c>
      <c r="M934" t="str">
        <f t="shared" si="71"/>
        <v/>
      </c>
      <c r="N934" t="str">
        <f t="shared" si="72"/>
        <v/>
      </c>
      <c r="O934" t="str">
        <f t="shared" si="73"/>
        <v/>
      </c>
    </row>
    <row r="935" spans="11:15" x14ac:dyDescent="0.3">
      <c r="K935" t="str">
        <f t="shared" si="74"/>
        <v/>
      </c>
      <c r="L935" t="str">
        <f t="shared" si="70"/>
        <v/>
      </c>
      <c r="M935" t="str">
        <f t="shared" si="71"/>
        <v/>
      </c>
      <c r="N935" t="str">
        <f t="shared" si="72"/>
        <v/>
      </c>
      <c r="O935" t="str">
        <f t="shared" si="73"/>
        <v/>
      </c>
    </row>
    <row r="936" spans="11:15" x14ac:dyDescent="0.3">
      <c r="K936" t="str">
        <f t="shared" si="74"/>
        <v/>
      </c>
      <c r="L936" t="str">
        <f t="shared" si="70"/>
        <v/>
      </c>
      <c r="M936" t="str">
        <f t="shared" si="71"/>
        <v/>
      </c>
      <c r="N936" t="str">
        <f t="shared" si="72"/>
        <v/>
      </c>
      <c r="O936" t="str">
        <f t="shared" si="73"/>
        <v/>
      </c>
    </row>
    <row r="937" spans="11:15" x14ac:dyDescent="0.3">
      <c r="K937" t="str">
        <f t="shared" si="74"/>
        <v/>
      </c>
      <c r="L937" t="str">
        <f t="shared" si="70"/>
        <v/>
      </c>
      <c r="M937" t="str">
        <f t="shared" si="71"/>
        <v/>
      </c>
      <c r="N937" t="str">
        <f t="shared" si="72"/>
        <v/>
      </c>
      <c r="O937" t="str">
        <f t="shared" si="73"/>
        <v/>
      </c>
    </row>
    <row r="938" spans="11:15" x14ac:dyDescent="0.3">
      <c r="K938" t="str">
        <f t="shared" si="74"/>
        <v/>
      </c>
      <c r="L938" t="str">
        <f t="shared" si="70"/>
        <v/>
      </c>
      <c r="M938" t="str">
        <f t="shared" si="71"/>
        <v/>
      </c>
      <c r="N938" t="str">
        <f t="shared" si="72"/>
        <v/>
      </c>
      <c r="O938" t="str">
        <f t="shared" si="73"/>
        <v/>
      </c>
    </row>
    <row r="939" spans="11:15" x14ac:dyDescent="0.3">
      <c r="K939" t="str">
        <f t="shared" si="74"/>
        <v/>
      </c>
      <c r="L939" t="str">
        <f t="shared" si="70"/>
        <v/>
      </c>
      <c r="M939" t="str">
        <f t="shared" si="71"/>
        <v/>
      </c>
      <c r="N939" t="str">
        <f t="shared" si="72"/>
        <v/>
      </c>
      <c r="O939" t="str">
        <f t="shared" si="73"/>
        <v/>
      </c>
    </row>
    <row r="940" spans="11:15" x14ac:dyDescent="0.3">
      <c r="K940" t="str">
        <f t="shared" si="74"/>
        <v/>
      </c>
      <c r="L940" t="str">
        <f t="shared" si="70"/>
        <v/>
      </c>
      <c r="M940" t="str">
        <f t="shared" si="71"/>
        <v/>
      </c>
      <c r="N940" t="str">
        <f t="shared" si="72"/>
        <v/>
      </c>
      <c r="O940" t="str">
        <f t="shared" si="73"/>
        <v/>
      </c>
    </row>
    <row r="941" spans="11:15" x14ac:dyDescent="0.3">
      <c r="K941" t="str">
        <f t="shared" si="74"/>
        <v/>
      </c>
      <c r="L941" t="str">
        <f t="shared" si="70"/>
        <v/>
      </c>
      <c r="M941" t="str">
        <f t="shared" si="71"/>
        <v/>
      </c>
      <c r="N941" t="str">
        <f t="shared" si="72"/>
        <v/>
      </c>
      <c r="O941" t="str">
        <f t="shared" si="73"/>
        <v/>
      </c>
    </row>
    <row r="942" spans="11:15" x14ac:dyDescent="0.3">
      <c r="K942" t="str">
        <f t="shared" si="74"/>
        <v/>
      </c>
      <c r="L942" t="str">
        <f t="shared" si="70"/>
        <v/>
      </c>
      <c r="M942" t="str">
        <f t="shared" si="71"/>
        <v/>
      </c>
      <c r="N942" t="str">
        <f t="shared" si="72"/>
        <v/>
      </c>
      <c r="O942" t="str">
        <f t="shared" si="73"/>
        <v/>
      </c>
    </row>
    <row r="943" spans="11:15" x14ac:dyDescent="0.3">
      <c r="K943" t="str">
        <f t="shared" si="74"/>
        <v/>
      </c>
      <c r="L943" t="str">
        <f t="shared" si="70"/>
        <v/>
      </c>
      <c r="M943" t="str">
        <f t="shared" si="71"/>
        <v/>
      </c>
      <c r="N943" t="str">
        <f t="shared" si="72"/>
        <v/>
      </c>
      <c r="O943" t="str">
        <f t="shared" si="73"/>
        <v/>
      </c>
    </row>
    <row r="944" spans="11:15" x14ac:dyDescent="0.3">
      <c r="K944" t="str">
        <f t="shared" si="74"/>
        <v/>
      </c>
      <c r="L944" t="str">
        <f t="shared" si="70"/>
        <v/>
      </c>
      <c r="M944" t="str">
        <f t="shared" si="71"/>
        <v/>
      </c>
      <c r="N944" t="str">
        <f t="shared" si="72"/>
        <v/>
      </c>
      <c r="O944" t="str">
        <f t="shared" si="73"/>
        <v/>
      </c>
    </row>
    <row r="945" spans="11:15" x14ac:dyDescent="0.3">
      <c r="K945" t="str">
        <f t="shared" si="74"/>
        <v/>
      </c>
      <c r="L945" t="str">
        <f t="shared" si="70"/>
        <v/>
      </c>
      <c r="M945" t="str">
        <f t="shared" si="71"/>
        <v/>
      </c>
      <c r="N945" t="str">
        <f t="shared" si="72"/>
        <v/>
      </c>
      <c r="O945" t="str">
        <f t="shared" si="73"/>
        <v/>
      </c>
    </row>
    <row r="946" spans="11:15" x14ac:dyDescent="0.3">
      <c r="K946" t="str">
        <f t="shared" si="74"/>
        <v/>
      </c>
      <c r="L946" t="str">
        <f t="shared" si="70"/>
        <v/>
      </c>
      <c r="M946" t="str">
        <f t="shared" si="71"/>
        <v/>
      </c>
      <c r="N946" t="str">
        <f t="shared" si="72"/>
        <v/>
      </c>
      <c r="O946" t="str">
        <f t="shared" si="73"/>
        <v/>
      </c>
    </row>
    <row r="947" spans="11:15" x14ac:dyDescent="0.3">
      <c r="K947" t="str">
        <f t="shared" si="74"/>
        <v/>
      </c>
      <c r="L947" t="str">
        <f t="shared" si="70"/>
        <v/>
      </c>
      <c r="M947" t="str">
        <f t="shared" si="71"/>
        <v/>
      </c>
      <c r="N947" t="str">
        <f t="shared" si="72"/>
        <v/>
      </c>
      <c r="O947" t="str">
        <f t="shared" si="73"/>
        <v/>
      </c>
    </row>
    <row r="948" spans="11:15" x14ac:dyDescent="0.3">
      <c r="K948" t="str">
        <f t="shared" si="74"/>
        <v/>
      </c>
      <c r="L948" t="str">
        <f t="shared" si="70"/>
        <v/>
      </c>
      <c r="M948" t="str">
        <f t="shared" si="71"/>
        <v/>
      </c>
      <c r="N948" t="str">
        <f t="shared" si="72"/>
        <v/>
      </c>
      <c r="O948" t="str">
        <f t="shared" si="73"/>
        <v/>
      </c>
    </row>
    <row r="949" spans="11:15" x14ac:dyDescent="0.3">
      <c r="K949" t="str">
        <f t="shared" si="74"/>
        <v/>
      </c>
      <c r="L949" t="str">
        <f t="shared" si="70"/>
        <v/>
      </c>
      <c r="M949" t="str">
        <f t="shared" si="71"/>
        <v/>
      </c>
      <c r="N949" t="str">
        <f t="shared" si="72"/>
        <v/>
      </c>
      <c r="O949" t="str">
        <f t="shared" si="73"/>
        <v/>
      </c>
    </row>
    <row r="950" spans="11:15" x14ac:dyDescent="0.3">
      <c r="K950" t="str">
        <f t="shared" si="74"/>
        <v/>
      </c>
      <c r="L950" t="str">
        <f t="shared" si="70"/>
        <v/>
      </c>
      <c r="M950" t="str">
        <f t="shared" si="71"/>
        <v/>
      </c>
      <c r="N950" t="str">
        <f t="shared" si="72"/>
        <v/>
      </c>
      <c r="O950" t="str">
        <f t="shared" si="73"/>
        <v/>
      </c>
    </row>
    <row r="951" spans="11:15" x14ac:dyDescent="0.3">
      <c r="K951" t="str">
        <f t="shared" si="74"/>
        <v/>
      </c>
      <c r="L951" t="str">
        <f t="shared" si="70"/>
        <v/>
      </c>
      <c r="M951" t="str">
        <f t="shared" si="71"/>
        <v/>
      </c>
      <c r="N951" t="str">
        <f t="shared" si="72"/>
        <v/>
      </c>
      <c r="O951" t="str">
        <f t="shared" si="73"/>
        <v/>
      </c>
    </row>
    <row r="952" spans="11:15" x14ac:dyDescent="0.3">
      <c r="K952" t="str">
        <f t="shared" si="74"/>
        <v/>
      </c>
      <c r="L952" t="str">
        <f t="shared" si="70"/>
        <v/>
      </c>
      <c r="M952" t="str">
        <f t="shared" si="71"/>
        <v/>
      </c>
      <c r="N952" t="str">
        <f t="shared" si="72"/>
        <v/>
      </c>
      <c r="O952" t="str">
        <f t="shared" si="73"/>
        <v/>
      </c>
    </row>
    <row r="953" spans="11:15" x14ac:dyDescent="0.3">
      <c r="K953" t="str">
        <f t="shared" si="74"/>
        <v/>
      </c>
      <c r="L953" t="str">
        <f t="shared" si="70"/>
        <v/>
      </c>
      <c r="M953" t="str">
        <f t="shared" si="71"/>
        <v/>
      </c>
      <c r="N953" t="str">
        <f t="shared" si="72"/>
        <v/>
      </c>
      <c r="O953" t="str">
        <f t="shared" si="73"/>
        <v/>
      </c>
    </row>
    <row r="954" spans="11:15" x14ac:dyDescent="0.3">
      <c r="K954" t="str">
        <f t="shared" si="74"/>
        <v/>
      </c>
      <c r="L954" t="str">
        <f t="shared" si="70"/>
        <v/>
      </c>
      <c r="M954" t="str">
        <f t="shared" si="71"/>
        <v/>
      </c>
      <c r="N954" t="str">
        <f t="shared" si="72"/>
        <v/>
      </c>
      <c r="O954" t="str">
        <f t="shared" si="73"/>
        <v/>
      </c>
    </row>
    <row r="955" spans="11:15" x14ac:dyDescent="0.3">
      <c r="K955" t="str">
        <f t="shared" si="74"/>
        <v/>
      </c>
      <c r="L955" t="str">
        <f t="shared" si="70"/>
        <v/>
      </c>
      <c r="M955" t="str">
        <f t="shared" si="71"/>
        <v/>
      </c>
      <c r="N955" t="str">
        <f t="shared" si="72"/>
        <v/>
      </c>
      <c r="O955" t="str">
        <f t="shared" si="73"/>
        <v/>
      </c>
    </row>
    <row r="956" spans="11:15" x14ac:dyDescent="0.3">
      <c r="K956" t="str">
        <f t="shared" si="74"/>
        <v/>
      </c>
      <c r="L956" t="str">
        <f t="shared" si="70"/>
        <v/>
      </c>
      <c r="M956" t="str">
        <f t="shared" si="71"/>
        <v/>
      </c>
      <c r="N956" t="str">
        <f t="shared" si="72"/>
        <v/>
      </c>
      <c r="O956" t="str">
        <f t="shared" si="73"/>
        <v/>
      </c>
    </row>
    <row r="957" spans="11:15" x14ac:dyDescent="0.3">
      <c r="K957" t="str">
        <f t="shared" si="74"/>
        <v/>
      </c>
      <c r="L957" t="str">
        <f t="shared" si="70"/>
        <v/>
      </c>
      <c r="M957" t="str">
        <f t="shared" si="71"/>
        <v/>
      </c>
      <c r="N957" t="str">
        <f t="shared" si="72"/>
        <v/>
      </c>
      <c r="O957" t="str">
        <f t="shared" si="73"/>
        <v/>
      </c>
    </row>
    <row r="958" spans="11:15" x14ac:dyDescent="0.3">
      <c r="K958" t="str">
        <f t="shared" si="74"/>
        <v/>
      </c>
      <c r="L958" t="str">
        <f t="shared" si="70"/>
        <v/>
      </c>
      <c r="M958" t="str">
        <f t="shared" si="71"/>
        <v/>
      </c>
      <c r="N958" t="str">
        <f t="shared" si="72"/>
        <v/>
      </c>
      <c r="O958" t="str">
        <f t="shared" si="73"/>
        <v/>
      </c>
    </row>
    <row r="959" spans="11:15" x14ac:dyDescent="0.3">
      <c r="K959" t="str">
        <f t="shared" si="74"/>
        <v/>
      </c>
      <c r="L959" t="str">
        <f t="shared" si="70"/>
        <v/>
      </c>
      <c r="M959" t="str">
        <f t="shared" si="71"/>
        <v/>
      </c>
      <c r="N959" t="str">
        <f t="shared" si="72"/>
        <v/>
      </c>
      <c r="O959" t="str">
        <f t="shared" si="73"/>
        <v/>
      </c>
    </row>
    <row r="960" spans="11:15" x14ac:dyDescent="0.3">
      <c r="K960" t="str">
        <f t="shared" si="74"/>
        <v/>
      </c>
      <c r="L960" t="str">
        <f t="shared" si="70"/>
        <v/>
      </c>
      <c r="M960" t="str">
        <f t="shared" si="71"/>
        <v/>
      </c>
      <c r="N960" t="str">
        <f t="shared" si="72"/>
        <v/>
      </c>
      <c r="O960" t="str">
        <f t="shared" si="73"/>
        <v/>
      </c>
    </row>
    <row r="961" spans="11:15" x14ac:dyDescent="0.3">
      <c r="K961" t="str">
        <f t="shared" si="74"/>
        <v/>
      </c>
      <c r="L961" t="str">
        <f t="shared" ref="L961:L1024" si="75">IF(A961="","",IF(ISNUMBER(--LEFT(A961,FIND(" - ",A961&amp;" - ")-1)),LEFT(A961,FIND(" - ",A961&amp;" - ")-1),TRIM(A961)))</f>
        <v/>
      </c>
      <c r="M961" t="str">
        <f t="shared" ref="M961:M1024" si="76">IF(OR(K961="",K961=A961,A961=""),"",K961&amp;"|"&amp;L961)</f>
        <v/>
      </c>
      <c r="N961" t="str">
        <f t="shared" ref="N961:N1024" si="77">IF(M961="","",IF(ISNUMBER(B961),B961,IFERROR(_xlfn.NUMBERVALUE(B961,".",","),0)))</f>
        <v/>
      </c>
      <c r="O961" t="str">
        <f t="shared" ref="O961:O1024" si="78">IF(M961="","",IF(ISNUMBER(C961),C961,IFERROR(_xlfn.NUMBERVALUE(C961,".",","),0)))</f>
        <v/>
      </c>
    </row>
    <row r="962" spans="11:15" x14ac:dyDescent="0.3">
      <c r="K962" t="str">
        <f t="shared" ref="K962:K1025" si="79">IF(OR(LEFT(B962,9)="DOANH THU",LEFT(B962,8)="SỐ LƯỢNG"),A962,K961)</f>
        <v/>
      </c>
      <c r="L962" t="str">
        <f t="shared" si="75"/>
        <v/>
      </c>
      <c r="M962" t="str">
        <f t="shared" si="76"/>
        <v/>
      </c>
      <c r="N962" t="str">
        <f t="shared" si="77"/>
        <v/>
      </c>
      <c r="O962" t="str">
        <f t="shared" si="78"/>
        <v/>
      </c>
    </row>
    <row r="963" spans="11:15" x14ac:dyDescent="0.3">
      <c r="K963" t="str">
        <f t="shared" si="79"/>
        <v/>
      </c>
      <c r="L963" t="str">
        <f t="shared" si="75"/>
        <v/>
      </c>
      <c r="M963" t="str">
        <f t="shared" si="76"/>
        <v/>
      </c>
      <c r="N963" t="str">
        <f t="shared" si="77"/>
        <v/>
      </c>
      <c r="O963" t="str">
        <f t="shared" si="78"/>
        <v/>
      </c>
    </row>
    <row r="964" spans="11:15" x14ac:dyDescent="0.3">
      <c r="K964" t="str">
        <f t="shared" si="79"/>
        <v/>
      </c>
      <c r="L964" t="str">
        <f t="shared" si="75"/>
        <v/>
      </c>
      <c r="M964" t="str">
        <f t="shared" si="76"/>
        <v/>
      </c>
      <c r="N964" t="str">
        <f t="shared" si="77"/>
        <v/>
      </c>
      <c r="O964" t="str">
        <f t="shared" si="78"/>
        <v/>
      </c>
    </row>
    <row r="965" spans="11:15" x14ac:dyDescent="0.3">
      <c r="K965" t="str">
        <f t="shared" si="79"/>
        <v/>
      </c>
      <c r="L965" t="str">
        <f t="shared" si="75"/>
        <v/>
      </c>
      <c r="M965" t="str">
        <f t="shared" si="76"/>
        <v/>
      </c>
      <c r="N965" t="str">
        <f t="shared" si="77"/>
        <v/>
      </c>
      <c r="O965" t="str">
        <f t="shared" si="78"/>
        <v/>
      </c>
    </row>
    <row r="966" spans="11:15" x14ac:dyDescent="0.3">
      <c r="K966" t="str">
        <f t="shared" si="79"/>
        <v/>
      </c>
      <c r="L966" t="str">
        <f t="shared" si="75"/>
        <v/>
      </c>
      <c r="M966" t="str">
        <f t="shared" si="76"/>
        <v/>
      </c>
      <c r="N966" t="str">
        <f t="shared" si="77"/>
        <v/>
      </c>
      <c r="O966" t="str">
        <f t="shared" si="78"/>
        <v/>
      </c>
    </row>
    <row r="967" spans="11:15" x14ac:dyDescent="0.3">
      <c r="K967" t="str">
        <f t="shared" si="79"/>
        <v/>
      </c>
      <c r="L967" t="str">
        <f t="shared" si="75"/>
        <v/>
      </c>
      <c r="M967" t="str">
        <f t="shared" si="76"/>
        <v/>
      </c>
      <c r="N967" t="str">
        <f t="shared" si="77"/>
        <v/>
      </c>
      <c r="O967" t="str">
        <f t="shared" si="78"/>
        <v/>
      </c>
    </row>
    <row r="968" spans="11:15" x14ac:dyDescent="0.3">
      <c r="K968" t="str">
        <f t="shared" si="79"/>
        <v/>
      </c>
      <c r="L968" t="str">
        <f t="shared" si="75"/>
        <v/>
      </c>
      <c r="M968" t="str">
        <f t="shared" si="76"/>
        <v/>
      </c>
      <c r="N968" t="str">
        <f t="shared" si="77"/>
        <v/>
      </c>
      <c r="O968" t="str">
        <f t="shared" si="78"/>
        <v/>
      </c>
    </row>
    <row r="969" spans="11:15" x14ac:dyDescent="0.3">
      <c r="K969" t="str">
        <f t="shared" si="79"/>
        <v/>
      </c>
      <c r="L969" t="str">
        <f t="shared" si="75"/>
        <v/>
      </c>
      <c r="M969" t="str">
        <f t="shared" si="76"/>
        <v/>
      </c>
      <c r="N969" t="str">
        <f t="shared" si="77"/>
        <v/>
      </c>
      <c r="O969" t="str">
        <f t="shared" si="78"/>
        <v/>
      </c>
    </row>
    <row r="970" spans="11:15" x14ac:dyDescent="0.3">
      <c r="K970" t="str">
        <f t="shared" si="79"/>
        <v/>
      </c>
      <c r="L970" t="str">
        <f t="shared" si="75"/>
        <v/>
      </c>
      <c r="M970" t="str">
        <f t="shared" si="76"/>
        <v/>
      </c>
      <c r="N970" t="str">
        <f t="shared" si="77"/>
        <v/>
      </c>
      <c r="O970" t="str">
        <f t="shared" si="78"/>
        <v/>
      </c>
    </row>
    <row r="971" spans="11:15" x14ac:dyDescent="0.3">
      <c r="K971" t="str">
        <f t="shared" si="79"/>
        <v/>
      </c>
      <c r="L971" t="str">
        <f t="shared" si="75"/>
        <v/>
      </c>
      <c r="M971" t="str">
        <f t="shared" si="76"/>
        <v/>
      </c>
      <c r="N971" t="str">
        <f t="shared" si="77"/>
        <v/>
      </c>
      <c r="O971" t="str">
        <f t="shared" si="78"/>
        <v/>
      </c>
    </row>
    <row r="972" spans="11:15" x14ac:dyDescent="0.3">
      <c r="K972" t="str">
        <f t="shared" si="79"/>
        <v/>
      </c>
      <c r="L972" t="str">
        <f t="shared" si="75"/>
        <v/>
      </c>
      <c r="M972" t="str">
        <f t="shared" si="76"/>
        <v/>
      </c>
      <c r="N972" t="str">
        <f t="shared" si="77"/>
        <v/>
      </c>
      <c r="O972" t="str">
        <f t="shared" si="78"/>
        <v/>
      </c>
    </row>
    <row r="973" spans="11:15" x14ac:dyDescent="0.3">
      <c r="K973" t="str">
        <f t="shared" si="79"/>
        <v/>
      </c>
      <c r="L973" t="str">
        <f t="shared" si="75"/>
        <v/>
      </c>
      <c r="M973" t="str">
        <f t="shared" si="76"/>
        <v/>
      </c>
      <c r="N973" t="str">
        <f t="shared" si="77"/>
        <v/>
      </c>
      <c r="O973" t="str">
        <f t="shared" si="78"/>
        <v/>
      </c>
    </row>
    <row r="974" spans="11:15" x14ac:dyDescent="0.3">
      <c r="K974" t="str">
        <f t="shared" si="79"/>
        <v/>
      </c>
      <c r="L974" t="str">
        <f t="shared" si="75"/>
        <v/>
      </c>
      <c r="M974" t="str">
        <f t="shared" si="76"/>
        <v/>
      </c>
      <c r="N974" t="str">
        <f t="shared" si="77"/>
        <v/>
      </c>
      <c r="O974" t="str">
        <f t="shared" si="78"/>
        <v/>
      </c>
    </row>
    <row r="975" spans="11:15" x14ac:dyDescent="0.3">
      <c r="K975" t="str">
        <f t="shared" si="79"/>
        <v/>
      </c>
      <c r="L975" t="str">
        <f t="shared" si="75"/>
        <v/>
      </c>
      <c r="M975" t="str">
        <f t="shared" si="76"/>
        <v/>
      </c>
      <c r="N975" t="str">
        <f t="shared" si="77"/>
        <v/>
      </c>
      <c r="O975" t="str">
        <f t="shared" si="78"/>
        <v/>
      </c>
    </row>
    <row r="976" spans="11:15" x14ac:dyDescent="0.3">
      <c r="K976" t="str">
        <f t="shared" si="79"/>
        <v/>
      </c>
      <c r="L976" t="str">
        <f t="shared" si="75"/>
        <v/>
      </c>
      <c r="M976" t="str">
        <f t="shared" si="76"/>
        <v/>
      </c>
      <c r="N976" t="str">
        <f t="shared" si="77"/>
        <v/>
      </c>
      <c r="O976" t="str">
        <f t="shared" si="78"/>
        <v/>
      </c>
    </row>
    <row r="977" spans="11:15" x14ac:dyDescent="0.3">
      <c r="K977" t="str">
        <f t="shared" si="79"/>
        <v/>
      </c>
      <c r="L977" t="str">
        <f t="shared" si="75"/>
        <v/>
      </c>
      <c r="M977" t="str">
        <f t="shared" si="76"/>
        <v/>
      </c>
      <c r="N977" t="str">
        <f t="shared" si="77"/>
        <v/>
      </c>
      <c r="O977" t="str">
        <f t="shared" si="78"/>
        <v/>
      </c>
    </row>
    <row r="978" spans="11:15" x14ac:dyDescent="0.3">
      <c r="K978" t="str">
        <f t="shared" si="79"/>
        <v/>
      </c>
      <c r="L978" t="str">
        <f t="shared" si="75"/>
        <v/>
      </c>
      <c r="M978" t="str">
        <f t="shared" si="76"/>
        <v/>
      </c>
      <c r="N978" t="str">
        <f t="shared" si="77"/>
        <v/>
      </c>
      <c r="O978" t="str">
        <f t="shared" si="78"/>
        <v/>
      </c>
    </row>
    <row r="979" spans="11:15" x14ac:dyDescent="0.3">
      <c r="K979" t="str">
        <f t="shared" si="79"/>
        <v/>
      </c>
      <c r="L979" t="str">
        <f t="shared" si="75"/>
        <v/>
      </c>
      <c r="M979" t="str">
        <f t="shared" si="76"/>
        <v/>
      </c>
      <c r="N979" t="str">
        <f t="shared" si="77"/>
        <v/>
      </c>
      <c r="O979" t="str">
        <f t="shared" si="78"/>
        <v/>
      </c>
    </row>
    <row r="980" spans="11:15" x14ac:dyDescent="0.3">
      <c r="K980" t="str">
        <f t="shared" si="79"/>
        <v/>
      </c>
      <c r="L980" t="str">
        <f t="shared" si="75"/>
        <v/>
      </c>
      <c r="M980" t="str">
        <f t="shared" si="76"/>
        <v/>
      </c>
      <c r="N980" t="str">
        <f t="shared" si="77"/>
        <v/>
      </c>
      <c r="O980" t="str">
        <f t="shared" si="78"/>
        <v/>
      </c>
    </row>
    <row r="981" spans="11:15" x14ac:dyDescent="0.3">
      <c r="K981" t="str">
        <f t="shared" si="79"/>
        <v/>
      </c>
      <c r="L981" t="str">
        <f t="shared" si="75"/>
        <v/>
      </c>
      <c r="M981" t="str">
        <f t="shared" si="76"/>
        <v/>
      </c>
      <c r="N981" t="str">
        <f t="shared" si="77"/>
        <v/>
      </c>
      <c r="O981" t="str">
        <f t="shared" si="78"/>
        <v/>
      </c>
    </row>
    <row r="982" spans="11:15" x14ac:dyDescent="0.3">
      <c r="K982" t="str">
        <f t="shared" si="79"/>
        <v/>
      </c>
      <c r="L982" t="str">
        <f t="shared" si="75"/>
        <v/>
      </c>
      <c r="M982" t="str">
        <f t="shared" si="76"/>
        <v/>
      </c>
      <c r="N982" t="str">
        <f t="shared" si="77"/>
        <v/>
      </c>
      <c r="O982" t="str">
        <f t="shared" si="78"/>
        <v/>
      </c>
    </row>
    <row r="983" spans="11:15" x14ac:dyDescent="0.3">
      <c r="K983" t="str">
        <f t="shared" si="79"/>
        <v/>
      </c>
      <c r="L983" t="str">
        <f t="shared" si="75"/>
        <v/>
      </c>
      <c r="M983" t="str">
        <f t="shared" si="76"/>
        <v/>
      </c>
      <c r="N983" t="str">
        <f t="shared" si="77"/>
        <v/>
      </c>
      <c r="O983" t="str">
        <f t="shared" si="78"/>
        <v/>
      </c>
    </row>
    <row r="984" spans="11:15" x14ac:dyDescent="0.3">
      <c r="K984" t="str">
        <f t="shared" si="79"/>
        <v/>
      </c>
      <c r="L984" t="str">
        <f t="shared" si="75"/>
        <v/>
      </c>
      <c r="M984" t="str">
        <f t="shared" si="76"/>
        <v/>
      </c>
      <c r="N984" t="str">
        <f t="shared" si="77"/>
        <v/>
      </c>
      <c r="O984" t="str">
        <f t="shared" si="78"/>
        <v/>
      </c>
    </row>
    <row r="985" spans="11:15" x14ac:dyDescent="0.3">
      <c r="K985" t="str">
        <f t="shared" si="79"/>
        <v/>
      </c>
      <c r="L985" t="str">
        <f t="shared" si="75"/>
        <v/>
      </c>
      <c r="M985" t="str">
        <f t="shared" si="76"/>
        <v/>
      </c>
      <c r="N985" t="str">
        <f t="shared" si="77"/>
        <v/>
      </c>
      <c r="O985" t="str">
        <f t="shared" si="78"/>
        <v/>
      </c>
    </row>
    <row r="986" spans="11:15" x14ac:dyDescent="0.3">
      <c r="K986" t="str">
        <f t="shared" si="79"/>
        <v/>
      </c>
      <c r="L986" t="str">
        <f t="shared" si="75"/>
        <v/>
      </c>
      <c r="M986" t="str">
        <f t="shared" si="76"/>
        <v/>
      </c>
      <c r="N986" t="str">
        <f t="shared" si="77"/>
        <v/>
      </c>
      <c r="O986" t="str">
        <f t="shared" si="78"/>
        <v/>
      </c>
    </row>
    <row r="987" spans="11:15" x14ac:dyDescent="0.3">
      <c r="K987" t="str">
        <f t="shared" si="79"/>
        <v/>
      </c>
      <c r="L987" t="str">
        <f t="shared" si="75"/>
        <v/>
      </c>
      <c r="M987" t="str">
        <f t="shared" si="76"/>
        <v/>
      </c>
      <c r="N987" t="str">
        <f t="shared" si="77"/>
        <v/>
      </c>
      <c r="O987" t="str">
        <f t="shared" si="78"/>
        <v/>
      </c>
    </row>
    <row r="988" spans="11:15" x14ac:dyDescent="0.3">
      <c r="K988" t="str">
        <f t="shared" si="79"/>
        <v/>
      </c>
      <c r="L988" t="str">
        <f t="shared" si="75"/>
        <v/>
      </c>
      <c r="M988" t="str">
        <f t="shared" si="76"/>
        <v/>
      </c>
      <c r="N988" t="str">
        <f t="shared" si="77"/>
        <v/>
      </c>
      <c r="O988" t="str">
        <f t="shared" si="78"/>
        <v/>
      </c>
    </row>
    <row r="989" spans="11:15" x14ac:dyDescent="0.3">
      <c r="K989" t="str">
        <f t="shared" si="79"/>
        <v/>
      </c>
      <c r="L989" t="str">
        <f t="shared" si="75"/>
        <v/>
      </c>
      <c r="M989" t="str">
        <f t="shared" si="76"/>
        <v/>
      </c>
      <c r="N989" t="str">
        <f t="shared" si="77"/>
        <v/>
      </c>
      <c r="O989" t="str">
        <f t="shared" si="78"/>
        <v/>
      </c>
    </row>
    <row r="990" spans="11:15" x14ac:dyDescent="0.3">
      <c r="K990" t="str">
        <f t="shared" si="79"/>
        <v/>
      </c>
      <c r="L990" t="str">
        <f t="shared" si="75"/>
        <v/>
      </c>
      <c r="M990" t="str">
        <f t="shared" si="76"/>
        <v/>
      </c>
      <c r="N990" t="str">
        <f t="shared" si="77"/>
        <v/>
      </c>
      <c r="O990" t="str">
        <f t="shared" si="78"/>
        <v/>
      </c>
    </row>
    <row r="991" spans="11:15" x14ac:dyDescent="0.3">
      <c r="K991" t="str">
        <f t="shared" si="79"/>
        <v/>
      </c>
      <c r="L991" t="str">
        <f t="shared" si="75"/>
        <v/>
      </c>
      <c r="M991" t="str">
        <f t="shared" si="76"/>
        <v/>
      </c>
      <c r="N991" t="str">
        <f t="shared" si="77"/>
        <v/>
      </c>
      <c r="O991" t="str">
        <f t="shared" si="78"/>
        <v/>
      </c>
    </row>
    <row r="992" spans="11:15" x14ac:dyDescent="0.3">
      <c r="K992" t="str">
        <f t="shared" si="79"/>
        <v/>
      </c>
      <c r="L992" t="str">
        <f t="shared" si="75"/>
        <v/>
      </c>
      <c r="M992" t="str">
        <f t="shared" si="76"/>
        <v/>
      </c>
      <c r="N992" t="str">
        <f t="shared" si="77"/>
        <v/>
      </c>
      <c r="O992" t="str">
        <f t="shared" si="78"/>
        <v/>
      </c>
    </row>
    <row r="993" spans="11:15" x14ac:dyDescent="0.3">
      <c r="K993" t="str">
        <f t="shared" si="79"/>
        <v/>
      </c>
      <c r="L993" t="str">
        <f t="shared" si="75"/>
        <v/>
      </c>
      <c r="M993" t="str">
        <f t="shared" si="76"/>
        <v/>
      </c>
      <c r="N993" t="str">
        <f t="shared" si="77"/>
        <v/>
      </c>
      <c r="O993" t="str">
        <f t="shared" si="78"/>
        <v/>
      </c>
    </row>
    <row r="994" spans="11:15" x14ac:dyDescent="0.3">
      <c r="K994" t="str">
        <f t="shared" si="79"/>
        <v/>
      </c>
      <c r="L994" t="str">
        <f t="shared" si="75"/>
        <v/>
      </c>
      <c r="M994" t="str">
        <f t="shared" si="76"/>
        <v/>
      </c>
      <c r="N994" t="str">
        <f t="shared" si="77"/>
        <v/>
      </c>
      <c r="O994" t="str">
        <f t="shared" si="78"/>
        <v/>
      </c>
    </row>
    <row r="995" spans="11:15" x14ac:dyDescent="0.3">
      <c r="K995" t="str">
        <f t="shared" si="79"/>
        <v/>
      </c>
      <c r="L995" t="str">
        <f t="shared" si="75"/>
        <v/>
      </c>
      <c r="M995" t="str">
        <f t="shared" si="76"/>
        <v/>
      </c>
      <c r="N995" t="str">
        <f t="shared" si="77"/>
        <v/>
      </c>
      <c r="O995" t="str">
        <f t="shared" si="78"/>
        <v/>
      </c>
    </row>
    <row r="996" spans="11:15" x14ac:dyDescent="0.3">
      <c r="K996" t="str">
        <f t="shared" si="79"/>
        <v/>
      </c>
      <c r="L996" t="str">
        <f t="shared" si="75"/>
        <v/>
      </c>
      <c r="M996" t="str">
        <f t="shared" si="76"/>
        <v/>
      </c>
      <c r="N996" t="str">
        <f t="shared" si="77"/>
        <v/>
      </c>
      <c r="O996" t="str">
        <f t="shared" si="78"/>
        <v/>
      </c>
    </row>
    <row r="997" spans="11:15" x14ac:dyDescent="0.3">
      <c r="K997" t="str">
        <f t="shared" si="79"/>
        <v/>
      </c>
      <c r="L997" t="str">
        <f t="shared" si="75"/>
        <v/>
      </c>
      <c r="M997" t="str">
        <f t="shared" si="76"/>
        <v/>
      </c>
      <c r="N997" t="str">
        <f t="shared" si="77"/>
        <v/>
      </c>
      <c r="O997" t="str">
        <f t="shared" si="78"/>
        <v/>
      </c>
    </row>
    <row r="998" spans="11:15" x14ac:dyDescent="0.3">
      <c r="K998" t="str">
        <f t="shared" si="79"/>
        <v/>
      </c>
      <c r="L998" t="str">
        <f t="shared" si="75"/>
        <v/>
      </c>
      <c r="M998" t="str">
        <f t="shared" si="76"/>
        <v/>
      </c>
      <c r="N998" t="str">
        <f t="shared" si="77"/>
        <v/>
      </c>
      <c r="O998" t="str">
        <f t="shared" si="78"/>
        <v/>
      </c>
    </row>
    <row r="999" spans="11:15" x14ac:dyDescent="0.3">
      <c r="K999" t="str">
        <f t="shared" si="79"/>
        <v/>
      </c>
      <c r="L999" t="str">
        <f t="shared" si="75"/>
        <v/>
      </c>
      <c r="M999" t="str">
        <f t="shared" si="76"/>
        <v/>
      </c>
      <c r="N999" t="str">
        <f t="shared" si="77"/>
        <v/>
      </c>
      <c r="O999" t="str">
        <f t="shared" si="78"/>
        <v/>
      </c>
    </row>
    <row r="1000" spans="11:15" x14ac:dyDescent="0.3">
      <c r="K1000" t="str">
        <f t="shared" si="79"/>
        <v/>
      </c>
      <c r="L1000" t="str">
        <f t="shared" si="75"/>
        <v/>
      </c>
      <c r="M1000" t="str">
        <f t="shared" si="76"/>
        <v/>
      </c>
      <c r="N1000" t="str">
        <f t="shared" si="77"/>
        <v/>
      </c>
      <c r="O1000" t="str">
        <f t="shared" si="78"/>
        <v/>
      </c>
    </row>
    <row r="1001" spans="11:15" x14ac:dyDescent="0.3">
      <c r="K1001" t="str">
        <f t="shared" si="79"/>
        <v/>
      </c>
      <c r="L1001" t="str">
        <f t="shared" si="75"/>
        <v/>
      </c>
      <c r="M1001" t="str">
        <f t="shared" si="76"/>
        <v/>
      </c>
      <c r="N1001" t="str">
        <f t="shared" si="77"/>
        <v/>
      </c>
      <c r="O1001" t="str">
        <f t="shared" si="78"/>
        <v/>
      </c>
    </row>
    <row r="1002" spans="11:15" x14ac:dyDescent="0.3">
      <c r="K1002" t="str">
        <f t="shared" si="79"/>
        <v/>
      </c>
      <c r="L1002" t="str">
        <f t="shared" si="75"/>
        <v/>
      </c>
      <c r="M1002" t="str">
        <f t="shared" si="76"/>
        <v/>
      </c>
      <c r="N1002" t="str">
        <f t="shared" si="77"/>
        <v/>
      </c>
      <c r="O1002" t="str">
        <f t="shared" si="78"/>
        <v/>
      </c>
    </row>
    <row r="1003" spans="11:15" x14ac:dyDescent="0.3">
      <c r="K1003" t="str">
        <f t="shared" si="79"/>
        <v/>
      </c>
      <c r="L1003" t="str">
        <f t="shared" si="75"/>
        <v/>
      </c>
      <c r="M1003" t="str">
        <f t="shared" si="76"/>
        <v/>
      </c>
      <c r="N1003" t="str">
        <f t="shared" si="77"/>
        <v/>
      </c>
      <c r="O1003" t="str">
        <f t="shared" si="78"/>
        <v/>
      </c>
    </row>
    <row r="1004" spans="11:15" x14ac:dyDescent="0.3">
      <c r="K1004" t="str">
        <f t="shared" si="79"/>
        <v/>
      </c>
      <c r="L1004" t="str">
        <f t="shared" si="75"/>
        <v/>
      </c>
      <c r="M1004" t="str">
        <f t="shared" si="76"/>
        <v/>
      </c>
      <c r="N1004" t="str">
        <f t="shared" si="77"/>
        <v/>
      </c>
      <c r="O1004" t="str">
        <f t="shared" si="78"/>
        <v/>
      </c>
    </row>
    <row r="1005" spans="11:15" x14ac:dyDescent="0.3">
      <c r="K1005" t="str">
        <f t="shared" si="79"/>
        <v/>
      </c>
      <c r="L1005" t="str">
        <f t="shared" si="75"/>
        <v/>
      </c>
      <c r="M1005" t="str">
        <f t="shared" si="76"/>
        <v/>
      </c>
      <c r="N1005" t="str">
        <f t="shared" si="77"/>
        <v/>
      </c>
      <c r="O1005" t="str">
        <f t="shared" si="78"/>
        <v/>
      </c>
    </row>
    <row r="1006" spans="11:15" x14ac:dyDescent="0.3">
      <c r="K1006" t="str">
        <f t="shared" si="79"/>
        <v/>
      </c>
      <c r="L1006" t="str">
        <f t="shared" si="75"/>
        <v/>
      </c>
      <c r="M1006" t="str">
        <f t="shared" si="76"/>
        <v/>
      </c>
      <c r="N1006" t="str">
        <f t="shared" si="77"/>
        <v/>
      </c>
      <c r="O1006" t="str">
        <f t="shared" si="78"/>
        <v/>
      </c>
    </row>
    <row r="1007" spans="11:15" x14ac:dyDescent="0.3">
      <c r="K1007" t="str">
        <f t="shared" si="79"/>
        <v/>
      </c>
      <c r="L1007" t="str">
        <f t="shared" si="75"/>
        <v/>
      </c>
      <c r="M1007" t="str">
        <f t="shared" si="76"/>
        <v/>
      </c>
      <c r="N1007" t="str">
        <f t="shared" si="77"/>
        <v/>
      </c>
      <c r="O1007" t="str">
        <f t="shared" si="78"/>
        <v/>
      </c>
    </row>
    <row r="1008" spans="11:15" x14ac:dyDescent="0.3">
      <c r="K1008" t="str">
        <f t="shared" si="79"/>
        <v/>
      </c>
      <c r="L1008" t="str">
        <f t="shared" si="75"/>
        <v/>
      </c>
      <c r="M1008" t="str">
        <f t="shared" si="76"/>
        <v/>
      </c>
      <c r="N1008" t="str">
        <f t="shared" si="77"/>
        <v/>
      </c>
      <c r="O1008" t="str">
        <f t="shared" si="78"/>
        <v/>
      </c>
    </row>
    <row r="1009" spans="11:15" x14ac:dyDescent="0.3">
      <c r="K1009" t="str">
        <f t="shared" si="79"/>
        <v/>
      </c>
      <c r="L1009" t="str">
        <f t="shared" si="75"/>
        <v/>
      </c>
      <c r="M1009" t="str">
        <f t="shared" si="76"/>
        <v/>
      </c>
      <c r="N1009" t="str">
        <f t="shared" si="77"/>
        <v/>
      </c>
      <c r="O1009" t="str">
        <f t="shared" si="78"/>
        <v/>
      </c>
    </row>
    <row r="1010" spans="11:15" x14ac:dyDescent="0.3">
      <c r="K1010" t="str">
        <f t="shared" si="79"/>
        <v/>
      </c>
      <c r="L1010" t="str">
        <f t="shared" si="75"/>
        <v/>
      </c>
      <c r="M1010" t="str">
        <f t="shared" si="76"/>
        <v/>
      </c>
      <c r="N1010" t="str">
        <f t="shared" si="77"/>
        <v/>
      </c>
      <c r="O1010" t="str">
        <f t="shared" si="78"/>
        <v/>
      </c>
    </row>
    <row r="1011" spans="11:15" x14ac:dyDescent="0.3">
      <c r="K1011" t="str">
        <f t="shared" si="79"/>
        <v/>
      </c>
      <c r="L1011" t="str">
        <f t="shared" si="75"/>
        <v/>
      </c>
      <c r="M1011" t="str">
        <f t="shared" si="76"/>
        <v/>
      </c>
      <c r="N1011" t="str">
        <f t="shared" si="77"/>
        <v/>
      </c>
      <c r="O1011" t="str">
        <f t="shared" si="78"/>
        <v/>
      </c>
    </row>
    <row r="1012" spans="11:15" x14ac:dyDescent="0.3">
      <c r="K1012" t="str">
        <f t="shared" si="79"/>
        <v/>
      </c>
      <c r="L1012" t="str">
        <f t="shared" si="75"/>
        <v/>
      </c>
      <c r="M1012" t="str">
        <f t="shared" si="76"/>
        <v/>
      </c>
      <c r="N1012" t="str">
        <f t="shared" si="77"/>
        <v/>
      </c>
      <c r="O1012" t="str">
        <f t="shared" si="78"/>
        <v/>
      </c>
    </row>
    <row r="1013" spans="11:15" x14ac:dyDescent="0.3">
      <c r="K1013" t="str">
        <f t="shared" si="79"/>
        <v/>
      </c>
      <c r="L1013" t="str">
        <f t="shared" si="75"/>
        <v/>
      </c>
      <c r="M1013" t="str">
        <f t="shared" si="76"/>
        <v/>
      </c>
      <c r="N1013" t="str">
        <f t="shared" si="77"/>
        <v/>
      </c>
      <c r="O1013" t="str">
        <f t="shared" si="78"/>
        <v/>
      </c>
    </row>
    <row r="1014" spans="11:15" x14ac:dyDescent="0.3">
      <c r="K1014" t="str">
        <f t="shared" si="79"/>
        <v/>
      </c>
      <c r="L1014" t="str">
        <f t="shared" si="75"/>
        <v/>
      </c>
      <c r="M1014" t="str">
        <f t="shared" si="76"/>
        <v/>
      </c>
      <c r="N1014" t="str">
        <f t="shared" si="77"/>
        <v/>
      </c>
      <c r="O1014" t="str">
        <f t="shared" si="78"/>
        <v/>
      </c>
    </row>
    <row r="1015" spans="11:15" x14ac:dyDescent="0.3">
      <c r="K1015" t="str">
        <f t="shared" si="79"/>
        <v/>
      </c>
      <c r="L1015" t="str">
        <f t="shared" si="75"/>
        <v/>
      </c>
      <c r="M1015" t="str">
        <f t="shared" si="76"/>
        <v/>
      </c>
      <c r="N1015" t="str">
        <f t="shared" si="77"/>
        <v/>
      </c>
      <c r="O1015" t="str">
        <f t="shared" si="78"/>
        <v/>
      </c>
    </row>
    <row r="1016" spans="11:15" x14ac:dyDescent="0.3">
      <c r="K1016" t="str">
        <f t="shared" si="79"/>
        <v/>
      </c>
      <c r="L1016" t="str">
        <f t="shared" si="75"/>
        <v/>
      </c>
      <c r="M1016" t="str">
        <f t="shared" si="76"/>
        <v/>
      </c>
      <c r="N1016" t="str">
        <f t="shared" si="77"/>
        <v/>
      </c>
      <c r="O1016" t="str">
        <f t="shared" si="78"/>
        <v/>
      </c>
    </row>
    <row r="1017" spans="11:15" x14ac:dyDescent="0.3">
      <c r="K1017" t="str">
        <f t="shared" si="79"/>
        <v/>
      </c>
      <c r="L1017" t="str">
        <f t="shared" si="75"/>
        <v/>
      </c>
      <c r="M1017" t="str">
        <f t="shared" si="76"/>
        <v/>
      </c>
      <c r="N1017" t="str">
        <f t="shared" si="77"/>
        <v/>
      </c>
      <c r="O1017" t="str">
        <f t="shared" si="78"/>
        <v/>
      </c>
    </row>
    <row r="1018" spans="11:15" x14ac:dyDescent="0.3">
      <c r="K1018" t="str">
        <f t="shared" si="79"/>
        <v/>
      </c>
      <c r="L1018" t="str">
        <f t="shared" si="75"/>
        <v/>
      </c>
      <c r="M1018" t="str">
        <f t="shared" si="76"/>
        <v/>
      </c>
      <c r="N1018" t="str">
        <f t="shared" si="77"/>
        <v/>
      </c>
      <c r="O1018" t="str">
        <f t="shared" si="78"/>
        <v/>
      </c>
    </row>
    <row r="1019" spans="11:15" x14ac:dyDescent="0.3">
      <c r="K1019" t="str">
        <f t="shared" si="79"/>
        <v/>
      </c>
      <c r="L1019" t="str">
        <f t="shared" si="75"/>
        <v/>
      </c>
      <c r="M1019" t="str">
        <f t="shared" si="76"/>
        <v/>
      </c>
      <c r="N1019" t="str">
        <f t="shared" si="77"/>
        <v/>
      </c>
      <c r="O1019" t="str">
        <f t="shared" si="78"/>
        <v/>
      </c>
    </row>
    <row r="1020" spans="11:15" x14ac:dyDescent="0.3">
      <c r="K1020" t="str">
        <f t="shared" si="79"/>
        <v/>
      </c>
      <c r="L1020" t="str">
        <f t="shared" si="75"/>
        <v/>
      </c>
      <c r="M1020" t="str">
        <f t="shared" si="76"/>
        <v/>
      </c>
      <c r="N1020" t="str">
        <f t="shared" si="77"/>
        <v/>
      </c>
      <c r="O1020" t="str">
        <f t="shared" si="78"/>
        <v/>
      </c>
    </row>
    <row r="1021" spans="11:15" x14ac:dyDescent="0.3">
      <c r="K1021" t="str">
        <f t="shared" si="79"/>
        <v/>
      </c>
      <c r="L1021" t="str">
        <f t="shared" si="75"/>
        <v/>
      </c>
      <c r="M1021" t="str">
        <f t="shared" si="76"/>
        <v/>
      </c>
      <c r="N1021" t="str">
        <f t="shared" si="77"/>
        <v/>
      </c>
      <c r="O1021" t="str">
        <f t="shared" si="78"/>
        <v/>
      </c>
    </row>
    <row r="1022" spans="11:15" x14ac:dyDescent="0.3">
      <c r="K1022" t="str">
        <f t="shared" si="79"/>
        <v/>
      </c>
      <c r="L1022" t="str">
        <f t="shared" si="75"/>
        <v/>
      </c>
      <c r="M1022" t="str">
        <f t="shared" si="76"/>
        <v/>
      </c>
      <c r="N1022" t="str">
        <f t="shared" si="77"/>
        <v/>
      </c>
      <c r="O1022" t="str">
        <f t="shared" si="78"/>
        <v/>
      </c>
    </row>
    <row r="1023" spans="11:15" x14ac:dyDescent="0.3">
      <c r="K1023" t="str">
        <f t="shared" si="79"/>
        <v/>
      </c>
      <c r="L1023" t="str">
        <f t="shared" si="75"/>
        <v/>
      </c>
      <c r="M1023" t="str">
        <f t="shared" si="76"/>
        <v/>
      </c>
      <c r="N1023" t="str">
        <f t="shared" si="77"/>
        <v/>
      </c>
      <c r="O1023" t="str">
        <f t="shared" si="78"/>
        <v/>
      </c>
    </row>
    <row r="1024" spans="11:15" x14ac:dyDescent="0.3">
      <c r="K1024" t="str">
        <f t="shared" si="79"/>
        <v/>
      </c>
      <c r="L1024" t="str">
        <f t="shared" si="75"/>
        <v/>
      </c>
      <c r="M1024" t="str">
        <f t="shared" si="76"/>
        <v/>
      </c>
      <c r="N1024" t="str">
        <f t="shared" si="77"/>
        <v/>
      </c>
      <c r="O1024" t="str">
        <f t="shared" si="78"/>
        <v/>
      </c>
    </row>
    <row r="1025" spans="11:15" x14ac:dyDescent="0.3">
      <c r="K1025" t="str">
        <f t="shared" si="79"/>
        <v/>
      </c>
      <c r="L1025" t="str">
        <f t="shared" ref="L1025:L1088" si="80">IF(A1025="","",IF(ISNUMBER(--LEFT(A1025,FIND(" - ",A1025&amp;" - ")-1)),LEFT(A1025,FIND(" - ",A1025&amp;" - ")-1),TRIM(A1025)))</f>
        <v/>
      </c>
      <c r="M1025" t="str">
        <f t="shared" ref="M1025:M1088" si="81">IF(OR(K1025="",K1025=A1025,A1025=""),"",K1025&amp;"|"&amp;L1025)</f>
        <v/>
      </c>
      <c r="N1025" t="str">
        <f t="shared" ref="N1025:N1088" si="82">IF(M1025="","",IF(ISNUMBER(B1025),B1025,IFERROR(_xlfn.NUMBERVALUE(B1025,".",","),0)))</f>
        <v/>
      </c>
      <c r="O1025" t="str">
        <f t="shared" ref="O1025:O1088" si="83">IF(M1025="","",IF(ISNUMBER(C1025),C1025,IFERROR(_xlfn.NUMBERVALUE(C1025,".",","),0)))</f>
        <v/>
      </c>
    </row>
    <row r="1026" spans="11:15" x14ac:dyDescent="0.3">
      <c r="K1026" t="str">
        <f t="shared" ref="K1026:K1089" si="84">IF(OR(LEFT(B1026,9)="DOANH THU",LEFT(B1026,8)="SỐ LƯỢNG"),A1026,K1025)</f>
        <v/>
      </c>
      <c r="L1026" t="str">
        <f t="shared" si="80"/>
        <v/>
      </c>
      <c r="M1026" t="str">
        <f t="shared" si="81"/>
        <v/>
      </c>
      <c r="N1026" t="str">
        <f t="shared" si="82"/>
        <v/>
      </c>
      <c r="O1026" t="str">
        <f t="shared" si="83"/>
        <v/>
      </c>
    </row>
    <row r="1027" spans="11:15" x14ac:dyDescent="0.3">
      <c r="K1027" t="str">
        <f t="shared" si="84"/>
        <v/>
      </c>
      <c r="L1027" t="str">
        <f t="shared" si="80"/>
        <v/>
      </c>
      <c r="M1027" t="str">
        <f t="shared" si="81"/>
        <v/>
      </c>
      <c r="N1027" t="str">
        <f t="shared" si="82"/>
        <v/>
      </c>
      <c r="O1027" t="str">
        <f t="shared" si="83"/>
        <v/>
      </c>
    </row>
    <row r="1028" spans="11:15" x14ac:dyDescent="0.3">
      <c r="K1028" t="str">
        <f t="shared" si="84"/>
        <v/>
      </c>
      <c r="L1028" t="str">
        <f t="shared" si="80"/>
        <v/>
      </c>
      <c r="M1028" t="str">
        <f t="shared" si="81"/>
        <v/>
      </c>
      <c r="N1028" t="str">
        <f t="shared" si="82"/>
        <v/>
      </c>
      <c r="O1028" t="str">
        <f t="shared" si="83"/>
        <v/>
      </c>
    </row>
    <row r="1029" spans="11:15" x14ac:dyDescent="0.3">
      <c r="K1029" t="str">
        <f t="shared" si="84"/>
        <v/>
      </c>
      <c r="L1029" t="str">
        <f t="shared" si="80"/>
        <v/>
      </c>
      <c r="M1029" t="str">
        <f t="shared" si="81"/>
        <v/>
      </c>
      <c r="N1029" t="str">
        <f t="shared" si="82"/>
        <v/>
      </c>
      <c r="O1029" t="str">
        <f t="shared" si="83"/>
        <v/>
      </c>
    </row>
    <row r="1030" spans="11:15" x14ac:dyDescent="0.3">
      <c r="K1030" t="str">
        <f t="shared" si="84"/>
        <v/>
      </c>
      <c r="L1030" t="str">
        <f t="shared" si="80"/>
        <v/>
      </c>
      <c r="M1030" t="str">
        <f t="shared" si="81"/>
        <v/>
      </c>
      <c r="N1030" t="str">
        <f t="shared" si="82"/>
        <v/>
      </c>
      <c r="O1030" t="str">
        <f t="shared" si="83"/>
        <v/>
      </c>
    </row>
    <row r="1031" spans="11:15" x14ac:dyDescent="0.3">
      <c r="K1031" t="str">
        <f t="shared" si="84"/>
        <v/>
      </c>
      <c r="L1031" t="str">
        <f t="shared" si="80"/>
        <v/>
      </c>
      <c r="M1031" t="str">
        <f t="shared" si="81"/>
        <v/>
      </c>
      <c r="N1031" t="str">
        <f t="shared" si="82"/>
        <v/>
      </c>
      <c r="O1031" t="str">
        <f t="shared" si="83"/>
        <v/>
      </c>
    </row>
    <row r="1032" spans="11:15" x14ac:dyDescent="0.3">
      <c r="K1032" t="str">
        <f t="shared" si="84"/>
        <v/>
      </c>
      <c r="L1032" t="str">
        <f t="shared" si="80"/>
        <v/>
      </c>
      <c r="M1032" t="str">
        <f t="shared" si="81"/>
        <v/>
      </c>
      <c r="N1032" t="str">
        <f t="shared" si="82"/>
        <v/>
      </c>
      <c r="O1032" t="str">
        <f t="shared" si="83"/>
        <v/>
      </c>
    </row>
    <row r="1033" spans="11:15" x14ac:dyDescent="0.3">
      <c r="K1033" t="str">
        <f t="shared" si="84"/>
        <v/>
      </c>
      <c r="L1033" t="str">
        <f t="shared" si="80"/>
        <v/>
      </c>
      <c r="M1033" t="str">
        <f t="shared" si="81"/>
        <v/>
      </c>
      <c r="N1033" t="str">
        <f t="shared" si="82"/>
        <v/>
      </c>
      <c r="O1033" t="str">
        <f t="shared" si="83"/>
        <v/>
      </c>
    </row>
    <row r="1034" spans="11:15" x14ac:dyDescent="0.3">
      <c r="K1034" t="str">
        <f t="shared" si="84"/>
        <v/>
      </c>
      <c r="L1034" t="str">
        <f t="shared" si="80"/>
        <v/>
      </c>
      <c r="M1034" t="str">
        <f t="shared" si="81"/>
        <v/>
      </c>
      <c r="N1034" t="str">
        <f t="shared" si="82"/>
        <v/>
      </c>
      <c r="O1034" t="str">
        <f t="shared" si="83"/>
        <v/>
      </c>
    </row>
    <row r="1035" spans="11:15" x14ac:dyDescent="0.3">
      <c r="K1035" t="str">
        <f t="shared" si="84"/>
        <v/>
      </c>
      <c r="L1035" t="str">
        <f t="shared" si="80"/>
        <v/>
      </c>
      <c r="M1035" t="str">
        <f t="shared" si="81"/>
        <v/>
      </c>
      <c r="N1035" t="str">
        <f t="shared" si="82"/>
        <v/>
      </c>
      <c r="O1035" t="str">
        <f t="shared" si="83"/>
        <v/>
      </c>
    </row>
    <row r="1036" spans="11:15" x14ac:dyDescent="0.3">
      <c r="K1036" t="str">
        <f t="shared" si="84"/>
        <v/>
      </c>
      <c r="L1036" t="str">
        <f t="shared" si="80"/>
        <v/>
      </c>
      <c r="M1036" t="str">
        <f t="shared" si="81"/>
        <v/>
      </c>
      <c r="N1036" t="str">
        <f t="shared" si="82"/>
        <v/>
      </c>
      <c r="O1036" t="str">
        <f t="shared" si="83"/>
        <v/>
      </c>
    </row>
    <row r="1037" spans="11:15" x14ac:dyDescent="0.3">
      <c r="K1037" t="str">
        <f t="shared" si="84"/>
        <v/>
      </c>
      <c r="L1037" t="str">
        <f t="shared" si="80"/>
        <v/>
      </c>
      <c r="M1037" t="str">
        <f t="shared" si="81"/>
        <v/>
      </c>
      <c r="N1037" t="str">
        <f t="shared" si="82"/>
        <v/>
      </c>
      <c r="O1037" t="str">
        <f t="shared" si="83"/>
        <v/>
      </c>
    </row>
    <row r="1038" spans="11:15" x14ac:dyDescent="0.3">
      <c r="K1038" t="str">
        <f t="shared" si="84"/>
        <v/>
      </c>
      <c r="L1038" t="str">
        <f t="shared" si="80"/>
        <v/>
      </c>
      <c r="M1038" t="str">
        <f t="shared" si="81"/>
        <v/>
      </c>
      <c r="N1038" t="str">
        <f t="shared" si="82"/>
        <v/>
      </c>
      <c r="O1038" t="str">
        <f t="shared" si="83"/>
        <v/>
      </c>
    </row>
    <row r="1039" spans="11:15" x14ac:dyDescent="0.3">
      <c r="K1039" t="str">
        <f t="shared" si="84"/>
        <v/>
      </c>
      <c r="L1039" t="str">
        <f t="shared" si="80"/>
        <v/>
      </c>
      <c r="M1039" t="str">
        <f t="shared" si="81"/>
        <v/>
      </c>
      <c r="N1039" t="str">
        <f t="shared" si="82"/>
        <v/>
      </c>
      <c r="O1039" t="str">
        <f t="shared" si="83"/>
        <v/>
      </c>
    </row>
    <row r="1040" spans="11:15" x14ac:dyDescent="0.3">
      <c r="K1040" t="str">
        <f t="shared" si="84"/>
        <v/>
      </c>
      <c r="L1040" t="str">
        <f t="shared" si="80"/>
        <v/>
      </c>
      <c r="M1040" t="str">
        <f t="shared" si="81"/>
        <v/>
      </c>
      <c r="N1040" t="str">
        <f t="shared" si="82"/>
        <v/>
      </c>
      <c r="O1040" t="str">
        <f t="shared" si="83"/>
        <v/>
      </c>
    </row>
    <row r="1041" spans="11:15" x14ac:dyDescent="0.3">
      <c r="K1041" t="str">
        <f t="shared" si="84"/>
        <v/>
      </c>
      <c r="L1041" t="str">
        <f t="shared" si="80"/>
        <v/>
      </c>
      <c r="M1041" t="str">
        <f t="shared" si="81"/>
        <v/>
      </c>
      <c r="N1041" t="str">
        <f t="shared" si="82"/>
        <v/>
      </c>
      <c r="O1041" t="str">
        <f t="shared" si="83"/>
        <v/>
      </c>
    </row>
    <row r="1042" spans="11:15" x14ac:dyDescent="0.3">
      <c r="K1042" t="str">
        <f t="shared" si="84"/>
        <v/>
      </c>
      <c r="L1042" t="str">
        <f t="shared" si="80"/>
        <v/>
      </c>
      <c r="M1042" t="str">
        <f t="shared" si="81"/>
        <v/>
      </c>
      <c r="N1042" t="str">
        <f t="shared" si="82"/>
        <v/>
      </c>
      <c r="O1042" t="str">
        <f t="shared" si="83"/>
        <v/>
      </c>
    </row>
    <row r="1043" spans="11:15" x14ac:dyDescent="0.3">
      <c r="K1043" t="str">
        <f t="shared" si="84"/>
        <v/>
      </c>
      <c r="L1043" t="str">
        <f t="shared" si="80"/>
        <v/>
      </c>
      <c r="M1043" t="str">
        <f t="shared" si="81"/>
        <v/>
      </c>
      <c r="N1043" t="str">
        <f t="shared" si="82"/>
        <v/>
      </c>
      <c r="O1043" t="str">
        <f t="shared" si="83"/>
        <v/>
      </c>
    </row>
    <row r="1044" spans="11:15" x14ac:dyDescent="0.3">
      <c r="K1044" t="str">
        <f t="shared" si="84"/>
        <v/>
      </c>
      <c r="L1044" t="str">
        <f t="shared" si="80"/>
        <v/>
      </c>
      <c r="M1044" t="str">
        <f t="shared" si="81"/>
        <v/>
      </c>
      <c r="N1044" t="str">
        <f t="shared" si="82"/>
        <v/>
      </c>
      <c r="O1044" t="str">
        <f t="shared" si="83"/>
        <v/>
      </c>
    </row>
    <row r="1045" spans="11:15" x14ac:dyDescent="0.3">
      <c r="K1045" t="str">
        <f t="shared" si="84"/>
        <v/>
      </c>
      <c r="L1045" t="str">
        <f t="shared" si="80"/>
        <v/>
      </c>
      <c r="M1045" t="str">
        <f t="shared" si="81"/>
        <v/>
      </c>
      <c r="N1045" t="str">
        <f t="shared" si="82"/>
        <v/>
      </c>
      <c r="O1045" t="str">
        <f t="shared" si="83"/>
        <v/>
      </c>
    </row>
    <row r="1046" spans="11:15" x14ac:dyDescent="0.3">
      <c r="K1046" t="str">
        <f t="shared" si="84"/>
        <v/>
      </c>
      <c r="L1046" t="str">
        <f t="shared" si="80"/>
        <v/>
      </c>
      <c r="M1046" t="str">
        <f t="shared" si="81"/>
        <v/>
      </c>
      <c r="N1046" t="str">
        <f t="shared" si="82"/>
        <v/>
      </c>
      <c r="O1046" t="str">
        <f t="shared" si="83"/>
        <v/>
      </c>
    </row>
    <row r="1047" spans="11:15" x14ac:dyDescent="0.3">
      <c r="K1047" t="str">
        <f t="shared" si="84"/>
        <v/>
      </c>
      <c r="L1047" t="str">
        <f t="shared" si="80"/>
        <v/>
      </c>
      <c r="M1047" t="str">
        <f t="shared" si="81"/>
        <v/>
      </c>
      <c r="N1047" t="str">
        <f t="shared" si="82"/>
        <v/>
      </c>
      <c r="O1047" t="str">
        <f t="shared" si="83"/>
        <v/>
      </c>
    </row>
    <row r="1048" spans="11:15" x14ac:dyDescent="0.3">
      <c r="K1048" t="str">
        <f t="shared" si="84"/>
        <v/>
      </c>
      <c r="L1048" t="str">
        <f t="shared" si="80"/>
        <v/>
      </c>
      <c r="M1048" t="str">
        <f t="shared" si="81"/>
        <v/>
      </c>
      <c r="N1048" t="str">
        <f t="shared" si="82"/>
        <v/>
      </c>
      <c r="O1048" t="str">
        <f t="shared" si="83"/>
        <v/>
      </c>
    </row>
    <row r="1049" spans="11:15" x14ac:dyDescent="0.3">
      <c r="K1049" t="str">
        <f t="shared" si="84"/>
        <v/>
      </c>
      <c r="L1049" t="str">
        <f t="shared" si="80"/>
        <v/>
      </c>
      <c r="M1049" t="str">
        <f t="shared" si="81"/>
        <v/>
      </c>
      <c r="N1049" t="str">
        <f t="shared" si="82"/>
        <v/>
      </c>
      <c r="O1049" t="str">
        <f t="shared" si="83"/>
        <v/>
      </c>
    </row>
    <row r="1050" spans="11:15" x14ac:dyDescent="0.3">
      <c r="K1050" t="str">
        <f t="shared" si="84"/>
        <v/>
      </c>
      <c r="L1050" t="str">
        <f t="shared" si="80"/>
        <v/>
      </c>
      <c r="M1050" t="str">
        <f t="shared" si="81"/>
        <v/>
      </c>
      <c r="N1050" t="str">
        <f t="shared" si="82"/>
        <v/>
      </c>
      <c r="O1050" t="str">
        <f t="shared" si="83"/>
        <v/>
      </c>
    </row>
    <row r="1051" spans="11:15" x14ac:dyDescent="0.3">
      <c r="K1051" t="str">
        <f t="shared" si="84"/>
        <v/>
      </c>
      <c r="L1051" t="str">
        <f t="shared" si="80"/>
        <v/>
      </c>
      <c r="M1051" t="str">
        <f t="shared" si="81"/>
        <v/>
      </c>
      <c r="N1051" t="str">
        <f t="shared" si="82"/>
        <v/>
      </c>
      <c r="O1051" t="str">
        <f t="shared" si="83"/>
        <v/>
      </c>
    </row>
    <row r="1052" spans="11:15" x14ac:dyDescent="0.3">
      <c r="K1052" t="str">
        <f t="shared" si="84"/>
        <v/>
      </c>
      <c r="L1052" t="str">
        <f t="shared" si="80"/>
        <v/>
      </c>
      <c r="M1052" t="str">
        <f t="shared" si="81"/>
        <v/>
      </c>
      <c r="N1052" t="str">
        <f t="shared" si="82"/>
        <v/>
      </c>
      <c r="O1052" t="str">
        <f t="shared" si="83"/>
        <v/>
      </c>
    </row>
    <row r="1053" spans="11:15" x14ac:dyDescent="0.3">
      <c r="K1053" t="str">
        <f t="shared" si="84"/>
        <v/>
      </c>
      <c r="L1053" t="str">
        <f t="shared" si="80"/>
        <v/>
      </c>
      <c r="M1053" t="str">
        <f t="shared" si="81"/>
        <v/>
      </c>
      <c r="N1053" t="str">
        <f t="shared" si="82"/>
        <v/>
      </c>
      <c r="O1053" t="str">
        <f t="shared" si="83"/>
        <v/>
      </c>
    </row>
    <row r="1054" spans="11:15" x14ac:dyDescent="0.3">
      <c r="K1054" t="str">
        <f t="shared" si="84"/>
        <v/>
      </c>
      <c r="L1054" t="str">
        <f t="shared" si="80"/>
        <v/>
      </c>
      <c r="M1054" t="str">
        <f t="shared" si="81"/>
        <v/>
      </c>
      <c r="N1054" t="str">
        <f t="shared" si="82"/>
        <v/>
      </c>
      <c r="O1054" t="str">
        <f t="shared" si="83"/>
        <v/>
      </c>
    </row>
    <row r="1055" spans="11:15" x14ac:dyDescent="0.3">
      <c r="K1055" t="str">
        <f t="shared" si="84"/>
        <v/>
      </c>
      <c r="L1055" t="str">
        <f t="shared" si="80"/>
        <v/>
      </c>
      <c r="M1055" t="str">
        <f t="shared" si="81"/>
        <v/>
      </c>
      <c r="N1055" t="str">
        <f t="shared" si="82"/>
        <v/>
      </c>
      <c r="O1055" t="str">
        <f t="shared" si="83"/>
        <v/>
      </c>
    </row>
    <row r="1056" spans="11:15" x14ac:dyDescent="0.3">
      <c r="K1056" t="str">
        <f t="shared" si="84"/>
        <v/>
      </c>
      <c r="L1056" t="str">
        <f t="shared" si="80"/>
        <v/>
      </c>
      <c r="M1056" t="str">
        <f t="shared" si="81"/>
        <v/>
      </c>
      <c r="N1056" t="str">
        <f t="shared" si="82"/>
        <v/>
      </c>
      <c r="O1056" t="str">
        <f t="shared" si="83"/>
        <v/>
      </c>
    </row>
    <row r="1057" spans="11:15" x14ac:dyDescent="0.3">
      <c r="K1057" t="str">
        <f t="shared" si="84"/>
        <v/>
      </c>
      <c r="L1057" t="str">
        <f t="shared" si="80"/>
        <v/>
      </c>
      <c r="M1057" t="str">
        <f t="shared" si="81"/>
        <v/>
      </c>
      <c r="N1057" t="str">
        <f t="shared" si="82"/>
        <v/>
      </c>
      <c r="O1057" t="str">
        <f t="shared" si="83"/>
        <v/>
      </c>
    </row>
    <row r="1058" spans="11:15" x14ac:dyDescent="0.3">
      <c r="K1058" t="str">
        <f t="shared" si="84"/>
        <v/>
      </c>
      <c r="L1058" t="str">
        <f t="shared" si="80"/>
        <v/>
      </c>
      <c r="M1058" t="str">
        <f t="shared" si="81"/>
        <v/>
      </c>
      <c r="N1058" t="str">
        <f t="shared" si="82"/>
        <v/>
      </c>
      <c r="O1058" t="str">
        <f t="shared" si="83"/>
        <v/>
      </c>
    </row>
    <row r="1059" spans="11:15" x14ac:dyDescent="0.3">
      <c r="K1059" t="str">
        <f t="shared" si="84"/>
        <v/>
      </c>
      <c r="L1059" t="str">
        <f t="shared" si="80"/>
        <v/>
      </c>
      <c r="M1059" t="str">
        <f t="shared" si="81"/>
        <v/>
      </c>
      <c r="N1059" t="str">
        <f t="shared" si="82"/>
        <v/>
      </c>
      <c r="O1059" t="str">
        <f t="shared" si="83"/>
        <v/>
      </c>
    </row>
    <row r="1060" spans="11:15" x14ac:dyDescent="0.3">
      <c r="K1060" t="str">
        <f t="shared" si="84"/>
        <v/>
      </c>
      <c r="L1060" t="str">
        <f t="shared" si="80"/>
        <v/>
      </c>
      <c r="M1060" t="str">
        <f t="shared" si="81"/>
        <v/>
      </c>
      <c r="N1060" t="str">
        <f t="shared" si="82"/>
        <v/>
      </c>
      <c r="O1060" t="str">
        <f t="shared" si="83"/>
        <v/>
      </c>
    </row>
    <row r="1061" spans="11:15" x14ac:dyDescent="0.3">
      <c r="K1061" t="str">
        <f t="shared" si="84"/>
        <v/>
      </c>
      <c r="L1061" t="str">
        <f t="shared" si="80"/>
        <v/>
      </c>
      <c r="M1061" t="str">
        <f t="shared" si="81"/>
        <v/>
      </c>
      <c r="N1061" t="str">
        <f t="shared" si="82"/>
        <v/>
      </c>
      <c r="O1061" t="str">
        <f t="shared" si="83"/>
        <v/>
      </c>
    </row>
    <row r="1062" spans="11:15" x14ac:dyDescent="0.3">
      <c r="K1062" t="str">
        <f t="shared" si="84"/>
        <v/>
      </c>
      <c r="L1062" t="str">
        <f t="shared" si="80"/>
        <v/>
      </c>
      <c r="M1062" t="str">
        <f t="shared" si="81"/>
        <v/>
      </c>
      <c r="N1062" t="str">
        <f t="shared" si="82"/>
        <v/>
      </c>
      <c r="O1062" t="str">
        <f t="shared" si="83"/>
        <v/>
      </c>
    </row>
    <row r="1063" spans="11:15" x14ac:dyDescent="0.3">
      <c r="K1063" t="str">
        <f t="shared" si="84"/>
        <v/>
      </c>
      <c r="L1063" t="str">
        <f t="shared" si="80"/>
        <v/>
      </c>
      <c r="M1063" t="str">
        <f t="shared" si="81"/>
        <v/>
      </c>
      <c r="N1063" t="str">
        <f t="shared" si="82"/>
        <v/>
      </c>
      <c r="O1063" t="str">
        <f t="shared" si="83"/>
        <v/>
      </c>
    </row>
    <row r="1064" spans="11:15" x14ac:dyDescent="0.3">
      <c r="K1064" t="str">
        <f t="shared" si="84"/>
        <v/>
      </c>
      <c r="L1064" t="str">
        <f t="shared" si="80"/>
        <v/>
      </c>
      <c r="M1064" t="str">
        <f t="shared" si="81"/>
        <v/>
      </c>
      <c r="N1064" t="str">
        <f t="shared" si="82"/>
        <v/>
      </c>
      <c r="O1064" t="str">
        <f t="shared" si="83"/>
        <v/>
      </c>
    </row>
    <row r="1065" spans="11:15" x14ac:dyDescent="0.3">
      <c r="K1065" t="str">
        <f t="shared" si="84"/>
        <v/>
      </c>
      <c r="L1065" t="str">
        <f t="shared" si="80"/>
        <v/>
      </c>
      <c r="M1065" t="str">
        <f t="shared" si="81"/>
        <v/>
      </c>
      <c r="N1065" t="str">
        <f t="shared" si="82"/>
        <v/>
      </c>
      <c r="O1065" t="str">
        <f t="shared" si="83"/>
        <v/>
      </c>
    </row>
    <row r="1066" spans="11:15" x14ac:dyDescent="0.3">
      <c r="K1066" t="str">
        <f t="shared" si="84"/>
        <v/>
      </c>
      <c r="L1066" t="str">
        <f t="shared" si="80"/>
        <v/>
      </c>
      <c r="M1066" t="str">
        <f t="shared" si="81"/>
        <v/>
      </c>
      <c r="N1066" t="str">
        <f t="shared" si="82"/>
        <v/>
      </c>
      <c r="O1066" t="str">
        <f t="shared" si="83"/>
        <v/>
      </c>
    </row>
    <row r="1067" spans="11:15" x14ac:dyDescent="0.3">
      <c r="K1067" t="str">
        <f t="shared" si="84"/>
        <v/>
      </c>
      <c r="L1067" t="str">
        <f t="shared" si="80"/>
        <v/>
      </c>
      <c r="M1067" t="str">
        <f t="shared" si="81"/>
        <v/>
      </c>
      <c r="N1067" t="str">
        <f t="shared" si="82"/>
        <v/>
      </c>
      <c r="O1067" t="str">
        <f t="shared" si="83"/>
        <v/>
      </c>
    </row>
    <row r="1068" spans="11:15" x14ac:dyDescent="0.3">
      <c r="K1068" t="str">
        <f t="shared" si="84"/>
        <v/>
      </c>
      <c r="L1068" t="str">
        <f t="shared" si="80"/>
        <v/>
      </c>
      <c r="M1068" t="str">
        <f t="shared" si="81"/>
        <v/>
      </c>
      <c r="N1068" t="str">
        <f t="shared" si="82"/>
        <v/>
      </c>
      <c r="O1068" t="str">
        <f t="shared" si="83"/>
        <v/>
      </c>
    </row>
    <row r="1069" spans="11:15" x14ac:dyDescent="0.3">
      <c r="K1069" t="str">
        <f t="shared" si="84"/>
        <v/>
      </c>
      <c r="L1069" t="str">
        <f t="shared" si="80"/>
        <v/>
      </c>
      <c r="M1069" t="str">
        <f t="shared" si="81"/>
        <v/>
      </c>
      <c r="N1069" t="str">
        <f t="shared" si="82"/>
        <v/>
      </c>
      <c r="O1069" t="str">
        <f t="shared" si="83"/>
        <v/>
      </c>
    </row>
    <row r="1070" spans="11:15" x14ac:dyDescent="0.3">
      <c r="K1070" t="str">
        <f t="shared" si="84"/>
        <v/>
      </c>
      <c r="L1070" t="str">
        <f t="shared" si="80"/>
        <v/>
      </c>
      <c r="M1070" t="str">
        <f t="shared" si="81"/>
        <v/>
      </c>
      <c r="N1070" t="str">
        <f t="shared" si="82"/>
        <v/>
      </c>
      <c r="O1070" t="str">
        <f t="shared" si="83"/>
        <v/>
      </c>
    </row>
    <row r="1071" spans="11:15" x14ac:dyDescent="0.3">
      <c r="K1071" t="str">
        <f t="shared" si="84"/>
        <v/>
      </c>
      <c r="L1071" t="str">
        <f t="shared" si="80"/>
        <v/>
      </c>
      <c r="M1071" t="str">
        <f t="shared" si="81"/>
        <v/>
      </c>
      <c r="N1071" t="str">
        <f t="shared" si="82"/>
        <v/>
      </c>
      <c r="O1071" t="str">
        <f t="shared" si="83"/>
        <v/>
      </c>
    </row>
    <row r="1072" spans="11:15" x14ac:dyDescent="0.3">
      <c r="K1072" t="str">
        <f t="shared" si="84"/>
        <v/>
      </c>
      <c r="L1072" t="str">
        <f t="shared" si="80"/>
        <v/>
      </c>
      <c r="M1072" t="str">
        <f t="shared" si="81"/>
        <v/>
      </c>
      <c r="N1072" t="str">
        <f t="shared" si="82"/>
        <v/>
      </c>
      <c r="O1072" t="str">
        <f t="shared" si="83"/>
        <v/>
      </c>
    </row>
    <row r="1073" spans="11:15" x14ac:dyDescent="0.3">
      <c r="K1073" t="str">
        <f t="shared" si="84"/>
        <v/>
      </c>
      <c r="L1073" t="str">
        <f t="shared" si="80"/>
        <v/>
      </c>
      <c r="M1073" t="str">
        <f t="shared" si="81"/>
        <v/>
      </c>
      <c r="N1073" t="str">
        <f t="shared" si="82"/>
        <v/>
      </c>
      <c r="O1073" t="str">
        <f t="shared" si="83"/>
        <v/>
      </c>
    </row>
    <row r="1074" spans="11:15" x14ac:dyDescent="0.3">
      <c r="K1074" t="str">
        <f t="shared" si="84"/>
        <v/>
      </c>
      <c r="L1074" t="str">
        <f t="shared" si="80"/>
        <v/>
      </c>
      <c r="M1074" t="str">
        <f t="shared" si="81"/>
        <v/>
      </c>
      <c r="N1074" t="str">
        <f t="shared" si="82"/>
        <v/>
      </c>
      <c r="O1074" t="str">
        <f t="shared" si="83"/>
        <v/>
      </c>
    </row>
    <row r="1075" spans="11:15" x14ac:dyDescent="0.3">
      <c r="K1075" t="str">
        <f t="shared" si="84"/>
        <v/>
      </c>
      <c r="L1075" t="str">
        <f t="shared" si="80"/>
        <v/>
      </c>
      <c r="M1075" t="str">
        <f t="shared" si="81"/>
        <v/>
      </c>
      <c r="N1075" t="str">
        <f t="shared" si="82"/>
        <v/>
      </c>
      <c r="O1075" t="str">
        <f t="shared" si="83"/>
        <v/>
      </c>
    </row>
    <row r="1076" spans="11:15" x14ac:dyDescent="0.3">
      <c r="K1076" t="str">
        <f t="shared" si="84"/>
        <v/>
      </c>
      <c r="L1076" t="str">
        <f t="shared" si="80"/>
        <v/>
      </c>
      <c r="M1076" t="str">
        <f t="shared" si="81"/>
        <v/>
      </c>
      <c r="N1076" t="str">
        <f t="shared" si="82"/>
        <v/>
      </c>
      <c r="O1076" t="str">
        <f t="shared" si="83"/>
        <v/>
      </c>
    </row>
    <row r="1077" spans="11:15" x14ac:dyDescent="0.3">
      <c r="K1077" t="str">
        <f t="shared" si="84"/>
        <v/>
      </c>
      <c r="L1077" t="str">
        <f t="shared" si="80"/>
        <v/>
      </c>
      <c r="M1077" t="str">
        <f t="shared" si="81"/>
        <v/>
      </c>
      <c r="N1077" t="str">
        <f t="shared" si="82"/>
        <v/>
      </c>
      <c r="O1077" t="str">
        <f t="shared" si="83"/>
        <v/>
      </c>
    </row>
    <row r="1078" spans="11:15" x14ac:dyDescent="0.3">
      <c r="K1078" t="str">
        <f t="shared" si="84"/>
        <v/>
      </c>
      <c r="L1078" t="str">
        <f t="shared" si="80"/>
        <v/>
      </c>
      <c r="M1078" t="str">
        <f t="shared" si="81"/>
        <v/>
      </c>
      <c r="N1078" t="str">
        <f t="shared" si="82"/>
        <v/>
      </c>
      <c r="O1078" t="str">
        <f t="shared" si="83"/>
        <v/>
      </c>
    </row>
    <row r="1079" spans="11:15" x14ac:dyDescent="0.3">
      <c r="K1079" t="str">
        <f t="shared" si="84"/>
        <v/>
      </c>
      <c r="L1079" t="str">
        <f t="shared" si="80"/>
        <v/>
      </c>
      <c r="M1079" t="str">
        <f t="shared" si="81"/>
        <v/>
      </c>
      <c r="N1079" t="str">
        <f t="shared" si="82"/>
        <v/>
      </c>
      <c r="O1079" t="str">
        <f t="shared" si="83"/>
        <v/>
      </c>
    </row>
    <row r="1080" spans="11:15" x14ac:dyDescent="0.3">
      <c r="K1080" t="str">
        <f t="shared" si="84"/>
        <v/>
      </c>
      <c r="L1080" t="str">
        <f t="shared" si="80"/>
        <v/>
      </c>
      <c r="M1080" t="str">
        <f t="shared" si="81"/>
        <v/>
      </c>
      <c r="N1080" t="str">
        <f t="shared" si="82"/>
        <v/>
      </c>
      <c r="O1080" t="str">
        <f t="shared" si="83"/>
        <v/>
      </c>
    </row>
    <row r="1081" spans="11:15" x14ac:dyDescent="0.3">
      <c r="K1081" t="str">
        <f t="shared" si="84"/>
        <v/>
      </c>
      <c r="L1081" t="str">
        <f t="shared" si="80"/>
        <v/>
      </c>
      <c r="M1081" t="str">
        <f t="shared" si="81"/>
        <v/>
      </c>
      <c r="N1081" t="str">
        <f t="shared" si="82"/>
        <v/>
      </c>
      <c r="O1081" t="str">
        <f t="shared" si="83"/>
        <v/>
      </c>
    </row>
    <row r="1082" spans="11:15" x14ac:dyDescent="0.3">
      <c r="K1082" t="str">
        <f t="shared" si="84"/>
        <v/>
      </c>
      <c r="L1082" t="str">
        <f t="shared" si="80"/>
        <v/>
      </c>
      <c r="M1082" t="str">
        <f t="shared" si="81"/>
        <v/>
      </c>
      <c r="N1082" t="str">
        <f t="shared" si="82"/>
        <v/>
      </c>
      <c r="O1082" t="str">
        <f t="shared" si="83"/>
        <v/>
      </c>
    </row>
    <row r="1083" spans="11:15" x14ac:dyDescent="0.3">
      <c r="K1083" t="str">
        <f t="shared" si="84"/>
        <v/>
      </c>
      <c r="L1083" t="str">
        <f t="shared" si="80"/>
        <v/>
      </c>
      <c r="M1083" t="str">
        <f t="shared" si="81"/>
        <v/>
      </c>
      <c r="N1083" t="str">
        <f t="shared" si="82"/>
        <v/>
      </c>
      <c r="O1083" t="str">
        <f t="shared" si="83"/>
        <v/>
      </c>
    </row>
    <row r="1084" spans="11:15" x14ac:dyDescent="0.3">
      <c r="K1084" t="str">
        <f t="shared" si="84"/>
        <v/>
      </c>
      <c r="L1084" t="str">
        <f t="shared" si="80"/>
        <v/>
      </c>
      <c r="M1084" t="str">
        <f t="shared" si="81"/>
        <v/>
      </c>
      <c r="N1084" t="str">
        <f t="shared" si="82"/>
        <v/>
      </c>
      <c r="O1084" t="str">
        <f t="shared" si="83"/>
        <v/>
      </c>
    </row>
    <row r="1085" spans="11:15" x14ac:dyDescent="0.3">
      <c r="K1085" t="str">
        <f t="shared" si="84"/>
        <v/>
      </c>
      <c r="L1085" t="str">
        <f t="shared" si="80"/>
        <v/>
      </c>
      <c r="M1085" t="str">
        <f t="shared" si="81"/>
        <v/>
      </c>
      <c r="N1085" t="str">
        <f t="shared" si="82"/>
        <v/>
      </c>
      <c r="O1085" t="str">
        <f t="shared" si="83"/>
        <v/>
      </c>
    </row>
    <row r="1086" spans="11:15" x14ac:dyDescent="0.3">
      <c r="K1086" t="str">
        <f t="shared" si="84"/>
        <v/>
      </c>
      <c r="L1086" t="str">
        <f t="shared" si="80"/>
        <v/>
      </c>
      <c r="M1086" t="str">
        <f t="shared" si="81"/>
        <v/>
      </c>
      <c r="N1086" t="str">
        <f t="shared" si="82"/>
        <v/>
      </c>
      <c r="O1086" t="str">
        <f t="shared" si="83"/>
        <v/>
      </c>
    </row>
    <row r="1087" spans="11:15" x14ac:dyDescent="0.3">
      <c r="K1087" t="str">
        <f t="shared" si="84"/>
        <v/>
      </c>
      <c r="L1087" t="str">
        <f t="shared" si="80"/>
        <v/>
      </c>
      <c r="M1087" t="str">
        <f t="shared" si="81"/>
        <v/>
      </c>
      <c r="N1087" t="str">
        <f t="shared" si="82"/>
        <v/>
      </c>
      <c r="O1087" t="str">
        <f t="shared" si="83"/>
        <v/>
      </c>
    </row>
    <row r="1088" spans="11:15" x14ac:dyDescent="0.3">
      <c r="K1088" t="str">
        <f t="shared" si="84"/>
        <v/>
      </c>
      <c r="L1088" t="str">
        <f t="shared" si="80"/>
        <v/>
      </c>
      <c r="M1088" t="str">
        <f t="shared" si="81"/>
        <v/>
      </c>
      <c r="N1088" t="str">
        <f t="shared" si="82"/>
        <v/>
      </c>
      <c r="O1088" t="str">
        <f t="shared" si="83"/>
        <v/>
      </c>
    </row>
    <row r="1089" spans="11:15" x14ac:dyDescent="0.3">
      <c r="K1089" t="str">
        <f t="shared" si="84"/>
        <v/>
      </c>
      <c r="L1089" t="str">
        <f t="shared" ref="L1089:L1152" si="85">IF(A1089="","",IF(ISNUMBER(--LEFT(A1089,FIND(" - ",A1089&amp;" - ")-1)),LEFT(A1089,FIND(" - ",A1089&amp;" - ")-1),TRIM(A1089)))</f>
        <v/>
      </c>
      <c r="M1089" t="str">
        <f t="shared" ref="M1089:M1152" si="86">IF(OR(K1089="",K1089=A1089,A1089=""),"",K1089&amp;"|"&amp;L1089)</f>
        <v/>
      </c>
      <c r="N1089" t="str">
        <f t="shared" ref="N1089:N1152" si="87">IF(M1089="","",IF(ISNUMBER(B1089),B1089,IFERROR(_xlfn.NUMBERVALUE(B1089,".",","),0)))</f>
        <v/>
      </c>
      <c r="O1089" t="str">
        <f t="shared" ref="O1089:O1152" si="88">IF(M1089="","",IF(ISNUMBER(C1089),C1089,IFERROR(_xlfn.NUMBERVALUE(C1089,".",","),0)))</f>
        <v/>
      </c>
    </row>
    <row r="1090" spans="11:15" x14ac:dyDescent="0.3">
      <c r="K1090" t="str">
        <f t="shared" ref="K1090:K1153" si="89">IF(OR(LEFT(B1090,9)="DOANH THU",LEFT(B1090,8)="SỐ LƯỢNG"),A1090,K1089)</f>
        <v/>
      </c>
      <c r="L1090" t="str">
        <f t="shared" si="85"/>
        <v/>
      </c>
      <c r="M1090" t="str">
        <f t="shared" si="86"/>
        <v/>
      </c>
      <c r="N1090" t="str">
        <f t="shared" si="87"/>
        <v/>
      </c>
      <c r="O1090" t="str">
        <f t="shared" si="88"/>
        <v/>
      </c>
    </row>
    <row r="1091" spans="11:15" x14ac:dyDescent="0.3">
      <c r="K1091" t="str">
        <f t="shared" si="89"/>
        <v/>
      </c>
      <c r="L1091" t="str">
        <f t="shared" si="85"/>
        <v/>
      </c>
      <c r="M1091" t="str">
        <f t="shared" si="86"/>
        <v/>
      </c>
      <c r="N1091" t="str">
        <f t="shared" si="87"/>
        <v/>
      </c>
      <c r="O1091" t="str">
        <f t="shared" si="88"/>
        <v/>
      </c>
    </row>
    <row r="1092" spans="11:15" x14ac:dyDescent="0.3">
      <c r="K1092" t="str">
        <f t="shared" si="89"/>
        <v/>
      </c>
      <c r="L1092" t="str">
        <f t="shared" si="85"/>
        <v/>
      </c>
      <c r="M1092" t="str">
        <f t="shared" si="86"/>
        <v/>
      </c>
      <c r="N1092" t="str">
        <f t="shared" si="87"/>
        <v/>
      </c>
      <c r="O1092" t="str">
        <f t="shared" si="88"/>
        <v/>
      </c>
    </row>
    <row r="1093" spans="11:15" x14ac:dyDescent="0.3">
      <c r="K1093" t="str">
        <f t="shared" si="89"/>
        <v/>
      </c>
      <c r="L1093" t="str">
        <f t="shared" si="85"/>
        <v/>
      </c>
      <c r="M1093" t="str">
        <f t="shared" si="86"/>
        <v/>
      </c>
      <c r="N1093" t="str">
        <f t="shared" si="87"/>
        <v/>
      </c>
      <c r="O1093" t="str">
        <f t="shared" si="88"/>
        <v/>
      </c>
    </row>
    <row r="1094" spans="11:15" x14ac:dyDescent="0.3">
      <c r="K1094" t="str">
        <f t="shared" si="89"/>
        <v/>
      </c>
      <c r="L1094" t="str">
        <f t="shared" si="85"/>
        <v/>
      </c>
      <c r="M1094" t="str">
        <f t="shared" si="86"/>
        <v/>
      </c>
      <c r="N1094" t="str">
        <f t="shared" si="87"/>
        <v/>
      </c>
      <c r="O1094" t="str">
        <f t="shared" si="88"/>
        <v/>
      </c>
    </row>
    <row r="1095" spans="11:15" x14ac:dyDescent="0.3">
      <c r="K1095" t="str">
        <f t="shared" si="89"/>
        <v/>
      </c>
      <c r="L1095" t="str">
        <f t="shared" si="85"/>
        <v/>
      </c>
      <c r="M1095" t="str">
        <f t="shared" si="86"/>
        <v/>
      </c>
      <c r="N1095" t="str">
        <f t="shared" si="87"/>
        <v/>
      </c>
      <c r="O1095" t="str">
        <f t="shared" si="88"/>
        <v/>
      </c>
    </row>
    <row r="1096" spans="11:15" x14ac:dyDescent="0.3">
      <c r="K1096" t="str">
        <f t="shared" si="89"/>
        <v/>
      </c>
      <c r="L1096" t="str">
        <f t="shared" si="85"/>
        <v/>
      </c>
      <c r="M1096" t="str">
        <f t="shared" si="86"/>
        <v/>
      </c>
      <c r="N1096" t="str">
        <f t="shared" si="87"/>
        <v/>
      </c>
      <c r="O1096" t="str">
        <f t="shared" si="88"/>
        <v/>
      </c>
    </row>
    <row r="1097" spans="11:15" x14ac:dyDescent="0.3">
      <c r="K1097" t="str">
        <f t="shared" si="89"/>
        <v/>
      </c>
      <c r="L1097" t="str">
        <f t="shared" si="85"/>
        <v/>
      </c>
      <c r="M1097" t="str">
        <f t="shared" si="86"/>
        <v/>
      </c>
      <c r="N1097" t="str">
        <f t="shared" si="87"/>
        <v/>
      </c>
      <c r="O1097" t="str">
        <f t="shared" si="88"/>
        <v/>
      </c>
    </row>
    <row r="1098" spans="11:15" x14ac:dyDescent="0.3">
      <c r="K1098" t="str">
        <f t="shared" si="89"/>
        <v/>
      </c>
      <c r="L1098" t="str">
        <f t="shared" si="85"/>
        <v/>
      </c>
      <c r="M1098" t="str">
        <f t="shared" si="86"/>
        <v/>
      </c>
      <c r="N1098" t="str">
        <f t="shared" si="87"/>
        <v/>
      </c>
      <c r="O1098" t="str">
        <f t="shared" si="88"/>
        <v/>
      </c>
    </row>
    <row r="1099" spans="11:15" x14ac:dyDescent="0.3">
      <c r="K1099" t="str">
        <f t="shared" si="89"/>
        <v/>
      </c>
      <c r="L1099" t="str">
        <f t="shared" si="85"/>
        <v/>
      </c>
      <c r="M1099" t="str">
        <f t="shared" si="86"/>
        <v/>
      </c>
      <c r="N1099" t="str">
        <f t="shared" si="87"/>
        <v/>
      </c>
      <c r="O1099" t="str">
        <f t="shared" si="88"/>
        <v/>
      </c>
    </row>
    <row r="1100" spans="11:15" x14ac:dyDescent="0.3">
      <c r="K1100" t="str">
        <f t="shared" si="89"/>
        <v/>
      </c>
      <c r="L1100" t="str">
        <f t="shared" si="85"/>
        <v/>
      </c>
      <c r="M1100" t="str">
        <f t="shared" si="86"/>
        <v/>
      </c>
      <c r="N1100" t="str">
        <f t="shared" si="87"/>
        <v/>
      </c>
      <c r="O1100" t="str">
        <f t="shared" si="88"/>
        <v/>
      </c>
    </row>
    <row r="1101" spans="11:15" x14ac:dyDescent="0.3">
      <c r="K1101" t="str">
        <f t="shared" si="89"/>
        <v/>
      </c>
      <c r="L1101" t="str">
        <f t="shared" si="85"/>
        <v/>
      </c>
      <c r="M1101" t="str">
        <f t="shared" si="86"/>
        <v/>
      </c>
      <c r="N1101" t="str">
        <f t="shared" si="87"/>
        <v/>
      </c>
      <c r="O1101" t="str">
        <f t="shared" si="88"/>
        <v/>
      </c>
    </row>
    <row r="1102" spans="11:15" x14ac:dyDescent="0.3">
      <c r="K1102" t="str">
        <f t="shared" si="89"/>
        <v/>
      </c>
      <c r="L1102" t="str">
        <f t="shared" si="85"/>
        <v/>
      </c>
      <c r="M1102" t="str">
        <f t="shared" si="86"/>
        <v/>
      </c>
      <c r="N1102" t="str">
        <f t="shared" si="87"/>
        <v/>
      </c>
      <c r="O1102" t="str">
        <f t="shared" si="88"/>
        <v/>
      </c>
    </row>
    <row r="1103" spans="11:15" x14ac:dyDescent="0.3">
      <c r="K1103" t="str">
        <f t="shared" si="89"/>
        <v/>
      </c>
      <c r="L1103" t="str">
        <f t="shared" si="85"/>
        <v/>
      </c>
      <c r="M1103" t="str">
        <f t="shared" si="86"/>
        <v/>
      </c>
      <c r="N1103" t="str">
        <f t="shared" si="87"/>
        <v/>
      </c>
      <c r="O1103" t="str">
        <f t="shared" si="88"/>
        <v/>
      </c>
    </row>
    <row r="1104" spans="11:15" x14ac:dyDescent="0.3">
      <c r="K1104" t="str">
        <f t="shared" si="89"/>
        <v/>
      </c>
      <c r="L1104" t="str">
        <f t="shared" si="85"/>
        <v/>
      </c>
      <c r="M1104" t="str">
        <f t="shared" si="86"/>
        <v/>
      </c>
      <c r="N1104" t="str">
        <f t="shared" si="87"/>
        <v/>
      </c>
      <c r="O1104" t="str">
        <f t="shared" si="88"/>
        <v/>
      </c>
    </row>
    <row r="1105" spans="11:15" x14ac:dyDescent="0.3">
      <c r="K1105" t="str">
        <f t="shared" si="89"/>
        <v/>
      </c>
      <c r="L1105" t="str">
        <f t="shared" si="85"/>
        <v/>
      </c>
      <c r="M1105" t="str">
        <f t="shared" si="86"/>
        <v/>
      </c>
      <c r="N1105" t="str">
        <f t="shared" si="87"/>
        <v/>
      </c>
      <c r="O1105" t="str">
        <f t="shared" si="88"/>
        <v/>
      </c>
    </row>
    <row r="1106" spans="11:15" x14ac:dyDescent="0.3">
      <c r="K1106" t="str">
        <f t="shared" si="89"/>
        <v/>
      </c>
      <c r="L1106" t="str">
        <f t="shared" si="85"/>
        <v/>
      </c>
      <c r="M1106" t="str">
        <f t="shared" si="86"/>
        <v/>
      </c>
      <c r="N1106" t="str">
        <f t="shared" si="87"/>
        <v/>
      </c>
      <c r="O1106" t="str">
        <f t="shared" si="88"/>
        <v/>
      </c>
    </row>
    <row r="1107" spans="11:15" x14ac:dyDescent="0.3">
      <c r="K1107" t="str">
        <f t="shared" si="89"/>
        <v/>
      </c>
      <c r="L1107" t="str">
        <f t="shared" si="85"/>
        <v/>
      </c>
      <c r="M1107" t="str">
        <f t="shared" si="86"/>
        <v/>
      </c>
      <c r="N1107" t="str">
        <f t="shared" si="87"/>
        <v/>
      </c>
      <c r="O1107" t="str">
        <f t="shared" si="88"/>
        <v/>
      </c>
    </row>
    <row r="1108" spans="11:15" x14ac:dyDescent="0.3">
      <c r="K1108" t="str">
        <f t="shared" si="89"/>
        <v/>
      </c>
      <c r="L1108" t="str">
        <f t="shared" si="85"/>
        <v/>
      </c>
      <c r="M1108" t="str">
        <f t="shared" si="86"/>
        <v/>
      </c>
      <c r="N1108" t="str">
        <f t="shared" si="87"/>
        <v/>
      </c>
      <c r="O1108" t="str">
        <f t="shared" si="88"/>
        <v/>
      </c>
    </row>
    <row r="1109" spans="11:15" x14ac:dyDescent="0.3">
      <c r="K1109" t="str">
        <f t="shared" si="89"/>
        <v/>
      </c>
      <c r="L1109" t="str">
        <f t="shared" si="85"/>
        <v/>
      </c>
      <c r="M1109" t="str">
        <f t="shared" si="86"/>
        <v/>
      </c>
      <c r="N1109" t="str">
        <f t="shared" si="87"/>
        <v/>
      </c>
      <c r="O1109" t="str">
        <f t="shared" si="88"/>
        <v/>
      </c>
    </row>
    <row r="1110" spans="11:15" x14ac:dyDescent="0.3">
      <c r="K1110" t="str">
        <f t="shared" si="89"/>
        <v/>
      </c>
      <c r="L1110" t="str">
        <f t="shared" si="85"/>
        <v/>
      </c>
      <c r="M1110" t="str">
        <f t="shared" si="86"/>
        <v/>
      </c>
      <c r="N1110" t="str">
        <f t="shared" si="87"/>
        <v/>
      </c>
      <c r="O1110" t="str">
        <f t="shared" si="88"/>
        <v/>
      </c>
    </row>
    <row r="1111" spans="11:15" x14ac:dyDescent="0.3">
      <c r="K1111" t="str">
        <f t="shared" si="89"/>
        <v/>
      </c>
      <c r="L1111" t="str">
        <f t="shared" si="85"/>
        <v/>
      </c>
      <c r="M1111" t="str">
        <f t="shared" si="86"/>
        <v/>
      </c>
      <c r="N1111" t="str">
        <f t="shared" si="87"/>
        <v/>
      </c>
      <c r="O1111" t="str">
        <f t="shared" si="88"/>
        <v/>
      </c>
    </row>
    <row r="1112" spans="11:15" x14ac:dyDescent="0.3">
      <c r="K1112" t="str">
        <f t="shared" si="89"/>
        <v/>
      </c>
      <c r="L1112" t="str">
        <f t="shared" si="85"/>
        <v/>
      </c>
      <c r="M1112" t="str">
        <f t="shared" si="86"/>
        <v/>
      </c>
      <c r="N1112" t="str">
        <f t="shared" si="87"/>
        <v/>
      </c>
      <c r="O1112" t="str">
        <f t="shared" si="88"/>
        <v/>
      </c>
    </row>
    <row r="1113" spans="11:15" x14ac:dyDescent="0.3">
      <c r="K1113" t="str">
        <f t="shared" si="89"/>
        <v/>
      </c>
      <c r="L1113" t="str">
        <f t="shared" si="85"/>
        <v/>
      </c>
      <c r="M1113" t="str">
        <f t="shared" si="86"/>
        <v/>
      </c>
      <c r="N1113" t="str">
        <f t="shared" si="87"/>
        <v/>
      </c>
      <c r="O1113" t="str">
        <f t="shared" si="88"/>
        <v/>
      </c>
    </row>
    <row r="1114" spans="11:15" x14ac:dyDescent="0.3">
      <c r="K1114" t="str">
        <f t="shared" si="89"/>
        <v/>
      </c>
      <c r="L1114" t="str">
        <f t="shared" si="85"/>
        <v/>
      </c>
      <c r="M1114" t="str">
        <f t="shared" si="86"/>
        <v/>
      </c>
      <c r="N1114" t="str">
        <f t="shared" si="87"/>
        <v/>
      </c>
      <c r="O1114" t="str">
        <f t="shared" si="88"/>
        <v/>
      </c>
    </row>
    <row r="1115" spans="11:15" x14ac:dyDescent="0.3">
      <c r="K1115" t="str">
        <f t="shared" si="89"/>
        <v/>
      </c>
      <c r="L1115" t="str">
        <f t="shared" si="85"/>
        <v/>
      </c>
      <c r="M1115" t="str">
        <f t="shared" si="86"/>
        <v/>
      </c>
      <c r="N1115" t="str">
        <f t="shared" si="87"/>
        <v/>
      </c>
      <c r="O1115" t="str">
        <f t="shared" si="88"/>
        <v/>
      </c>
    </row>
    <row r="1116" spans="11:15" x14ac:dyDescent="0.3">
      <c r="K1116" t="str">
        <f t="shared" si="89"/>
        <v/>
      </c>
      <c r="L1116" t="str">
        <f t="shared" si="85"/>
        <v/>
      </c>
      <c r="M1116" t="str">
        <f t="shared" si="86"/>
        <v/>
      </c>
      <c r="N1116" t="str">
        <f t="shared" si="87"/>
        <v/>
      </c>
      <c r="O1116" t="str">
        <f t="shared" si="88"/>
        <v/>
      </c>
    </row>
    <row r="1117" spans="11:15" x14ac:dyDescent="0.3">
      <c r="K1117" t="str">
        <f t="shared" si="89"/>
        <v/>
      </c>
      <c r="L1117" t="str">
        <f t="shared" si="85"/>
        <v/>
      </c>
      <c r="M1117" t="str">
        <f t="shared" si="86"/>
        <v/>
      </c>
      <c r="N1117" t="str">
        <f t="shared" si="87"/>
        <v/>
      </c>
      <c r="O1117" t="str">
        <f t="shared" si="88"/>
        <v/>
      </c>
    </row>
    <row r="1118" spans="11:15" x14ac:dyDescent="0.3">
      <c r="K1118" t="str">
        <f t="shared" si="89"/>
        <v/>
      </c>
      <c r="L1118" t="str">
        <f t="shared" si="85"/>
        <v/>
      </c>
      <c r="M1118" t="str">
        <f t="shared" si="86"/>
        <v/>
      </c>
      <c r="N1118" t="str">
        <f t="shared" si="87"/>
        <v/>
      </c>
      <c r="O1118" t="str">
        <f t="shared" si="88"/>
        <v/>
      </c>
    </row>
    <row r="1119" spans="11:15" x14ac:dyDescent="0.3">
      <c r="K1119" t="str">
        <f t="shared" si="89"/>
        <v/>
      </c>
      <c r="L1119" t="str">
        <f t="shared" si="85"/>
        <v/>
      </c>
      <c r="M1119" t="str">
        <f t="shared" si="86"/>
        <v/>
      </c>
      <c r="N1119" t="str">
        <f t="shared" si="87"/>
        <v/>
      </c>
      <c r="O1119" t="str">
        <f t="shared" si="88"/>
        <v/>
      </c>
    </row>
    <row r="1120" spans="11:15" x14ac:dyDescent="0.3">
      <c r="K1120" t="str">
        <f t="shared" si="89"/>
        <v/>
      </c>
      <c r="L1120" t="str">
        <f t="shared" si="85"/>
        <v/>
      </c>
      <c r="M1120" t="str">
        <f t="shared" si="86"/>
        <v/>
      </c>
      <c r="N1120" t="str">
        <f t="shared" si="87"/>
        <v/>
      </c>
      <c r="O1120" t="str">
        <f t="shared" si="88"/>
        <v/>
      </c>
    </row>
    <row r="1121" spans="11:15" x14ac:dyDescent="0.3">
      <c r="K1121" t="str">
        <f t="shared" si="89"/>
        <v/>
      </c>
      <c r="L1121" t="str">
        <f t="shared" si="85"/>
        <v/>
      </c>
      <c r="M1121" t="str">
        <f t="shared" si="86"/>
        <v/>
      </c>
      <c r="N1121" t="str">
        <f t="shared" si="87"/>
        <v/>
      </c>
      <c r="O1121" t="str">
        <f t="shared" si="88"/>
        <v/>
      </c>
    </row>
    <row r="1122" spans="11:15" x14ac:dyDescent="0.3">
      <c r="K1122" t="str">
        <f t="shared" si="89"/>
        <v/>
      </c>
      <c r="L1122" t="str">
        <f t="shared" si="85"/>
        <v/>
      </c>
      <c r="M1122" t="str">
        <f t="shared" si="86"/>
        <v/>
      </c>
      <c r="N1122" t="str">
        <f t="shared" si="87"/>
        <v/>
      </c>
      <c r="O1122" t="str">
        <f t="shared" si="88"/>
        <v/>
      </c>
    </row>
    <row r="1123" spans="11:15" x14ac:dyDescent="0.3">
      <c r="K1123" t="str">
        <f t="shared" si="89"/>
        <v/>
      </c>
      <c r="L1123" t="str">
        <f t="shared" si="85"/>
        <v/>
      </c>
      <c r="M1123" t="str">
        <f t="shared" si="86"/>
        <v/>
      </c>
      <c r="N1123" t="str">
        <f t="shared" si="87"/>
        <v/>
      </c>
      <c r="O1123" t="str">
        <f t="shared" si="88"/>
        <v/>
      </c>
    </row>
    <row r="1124" spans="11:15" x14ac:dyDescent="0.3">
      <c r="K1124" t="str">
        <f t="shared" si="89"/>
        <v/>
      </c>
      <c r="L1124" t="str">
        <f t="shared" si="85"/>
        <v/>
      </c>
      <c r="M1124" t="str">
        <f t="shared" si="86"/>
        <v/>
      </c>
      <c r="N1124" t="str">
        <f t="shared" si="87"/>
        <v/>
      </c>
      <c r="O1124" t="str">
        <f t="shared" si="88"/>
        <v/>
      </c>
    </row>
    <row r="1125" spans="11:15" x14ac:dyDescent="0.3">
      <c r="K1125" t="str">
        <f t="shared" si="89"/>
        <v/>
      </c>
      <c r="L1125" t="str">
        <f t="shared" si="85"/>
        <v/>
      </c>
      <c r="M1125" t="str">
        <f t="shared" si="86"/>
        <v/>
      </c>
      <c r="N1125" t="str">
        <f t="shared" si="87"/>
        <v/>
      </c>
      <c r="O1125" t="str">
        <f t="shared" si="88"/>
        <v/>
      </c>
    </row>
    <row r="1126" spans="11:15" x14ac:dyDescent="0.3">
      <c r="K1126" t="str">
        <f t="shared" si="89"/>
        <v/>
      </c>
      <c r="L1126" t="str">
        <f t="shared" si="85"/>
        <v/>
      </c>
      <c r="M1126" t="str">
        <f t="shared" si="86"/>
        <v/>
      </c>
      <c r="N1126" t="str">
        <f t="shared" si="87"/>
        <v/>
      </c>
      <c r="O1126" t="str">
        <f t="shared" si="88"/>
        <v/>
      </c>
    </row>
    <row r="1127" spans="11:15" x14ac:dyDescent="0.3">
      <c r="K1127" t="str">
        <f t="shared" si="89"/>
        <v/>
      </c>
      <c r="L1127" t="str">
        <f t="shared" si="85"/>
        <v/>
      </c>
      <c r="M1127" t="str">
        <f t="shared" si="86"/>
        <v/>
      </c>
      <c r="N1127" t="str">
        <f t="shared" si="87"/>
        <v/>
      </c>
      <c r="O1127" t="str">
        <f t="shared" si="88"/>
        <v/>
      </c>
    </row>
    <row r="1128" spans="11:15" x14ac:dyDescent="0.3">
      <c r="K1128" t="str">
        <f t="shared" si="89"/>
        <v/>
      </c>
      <c r="L1128" t="str">
        <f t="shared" si="85"/>
        <v/>
      </c>
      <c r="M1128" t="str">
        <f t="shared" si="86"/>
        <v/>
      </c>
      <c r="N1128" t="str">
        <f t="shared" si="87"/>
        <v/>
      </c>
      <c r="O1128" t="str">
        <f t="shared" si="88"/>
        <v/>
      </c>
    </row>
    <row r="1129" spans="11:15" x14ac:dyDescent="0.3">
      <c r="K1129" t="str">
        <f t="shared" si="89"/>
        <v/>
      </c>
      <c r="L1129" t="str">
        <f t="shared" si="85"/>
        <v/>
      </c>
      <c r="M1129" t="str">
        <f t="shared" si="86"/>
        <v/>
      </c>
      <c r="N1129" t="str">
        <f t="shared" si="87"/>
        <v/>
      </c>
      <c r="O1129" t="str">
        <f t="shared" si="88"/>
        <v/>
      </c>
    </row>
    <row r="1130" spans="11:15" x14ac:dyDescent="0.3">
      <c r="K1130" t="str">
        <f t="shared" si="89"/>
        <v/>
      </c>
      <c r="L1130" t="str">
        <f t="shared" si="85"/>
        <v/>
      </c>
      <c r="M1130" t="str">
        <f t="shared" si="86"/>
        <v/>
      </c>
      <c r="N1130" t="str">
        <f t="shared" si="87"/>
        <v/>
      </c>
      <c r="O1130" t="str">
        <f t="shared" si="88"/>
        <v/>
      </c>
    </row>
    <row r="1131" spans="11:15" x14ac:dyDescent="0.3">
      <c r="K1131" t="str">
        <f t="shared" si="89"/>
        <v/>
      </c>
      <c r="L1131" t="str">
        <f t="shared" si="85"/>
        <v/>
      </c>
      <c r="M1131" t="str">
        <f t="shared" si="86"/>
        <v/>
      </c>
      <c r="N1131" t="str">
        <f t="shared" si="87"/>
        <v/>
      </c>
      <c r="O1131" t="str">
        <f t="shared" si="88"/>
        <v/>
      </c>
    </row>
    <row r="1132" spans="11:15" x14ac:dyDescent="0.3">
      <c r="K1132" t="str">
        <f t="shared" si="89"/>
        <v/>
      </c>
      <c r="L1132" t="str">
        <f t="shared" si="85"/>
        <v/>
      </c>
      <c r="M1132" t="str">
        <f t="shared" si="86"/>
        <v/>
      </c>
      <c r="N1132" t="str">
        <f t="shared" si="87"/>
        <v/>
      </c>
      <c r="O1132" t="str">
        <f t="shared" si="88"/>
        <v/>
      </c>
    </row>
    <row r="1133" spans="11:15" x14ac:dyDescent="0.3">
      <c r="K1133" t="str">
        <f t="shared" si="89"/>
        <v/>
      </c>
      <c r="L1133" t="str">
        <f t="shared" si="85"/>
        <v/>
      </c>
      <c r="M1133" t="str">
        <f t="shared" si="86"/>
        <v/>
      </c>
      <c r="N1133" t="str">
        <f t="shared" si="87"/>
        <v/>
      </c>
      <c r="O1133" t="str">
        <f t="shared" si="88"/>
        <v/>
      </c>
    </row>
    <row r="1134" spans="11:15" x14ac:dyDescent="0.3">
      <c r="K1134" t="str">
        <f t="shared" si="89"/>
        <v/>
      </c>
      <c r="L1134" t="str">
        <f t="shared" si="85"/>
        <v/>
      </c>
      <c r="M1134" t="str">
        <f t="shared" si="86"/>
        <v/>
      </c>
      <c r="N1134" t="str">
        <f t="shared" si="87"/>
        <v/>
      </c>
      <c r="O1134" t="str">
        <f t="shared" si="88"/>
        <v/>
      </c>
    </row>
    <row r="1135" spans="11:15" x14ac:dyDescent="0.3">
      <c r="K1135" t="str">
        <f t="shared" si="89"/>
        <v/>
      </c>
      <c r="L1135" t="str">
        <f t="shared" si="85"/>
        <v/>
      </c>
      <c r="M1135" t="str">
        <f t="shared" si="86"/>
        <v/>
      </c>
      <c r="N1135" t="str">
        <f t="shared" si="87"/>
        <v/>
      </c>
      <c r="O1135" t="str">
        <f t="shared" si="88"/>
        <v/>
      </c>
    </row>
    <row r="1136" spans="11:15" x14ac:dyDescent="0.3">
      <c r="K1136" t="str">
        <f t="shared" si="89"/>
        <v/>
      </c>
      <c r="L1136" t="str">
        <f t="shared" si="85"/>
        <v/>
      </c>
      <c r="M1136" t="str">
        <f t="shared" si="86"/>
        <v/>
      </c>
      <c r="N1136" t="str">
        <f t="shared" si="87"/>
        <v/>
      </c>
      <c r="O1136" t="str">
        <f t="shared" si="88"/>
        <v/>
      </c>
    </row>
    <row r="1137" spans="11:15" x14ac:dyDescent="0.3">
      <c r="K1137" t="str">
        <f t="shared" si="89"/>
        <v/>
      </c>
      <c r="L1137" t="str">
        <f t="shared" si="85"/>
        <v/>
      </c>
      <c r="M1137" t="str">
        <f t="shared" si="86"/>
        <v/>
      </c>
      <c r="N1137" t="str">
        <f t="shared" si="87"/>
        <v/>
      </c>
      <c r="O1137" t="str">
        <f t="shared" si="88"/>
        <v/>
      </c>
    </row>
    <row r="1138" spans="11:15" x14ac:dyDescent="0.3">
      <c r="K1138" t="str">
        <f t="shared" si="89"/>
        <v/>
      </c>
      <c r="L1138" t="str">
        <f t="shared" si="85"/>
        <v/>
      </c>
      <c r="M1138" t="str">
        <f t="shared" si="86"/>
        <v/>
      </c>
      <c r="N1138" t="str">
        <f t="shared" si="87"/>
        <v/>
      </c>
      <c r="O1138" t="str">
        <f t="shared" si="88"/>
        <v/>
      </c>
    </row>
    <row r="1139" spans="11:15" x14ac:dyDescent="0.3">
      <c r="K1139" t="str">
        <f t="shared" si="89"/>
        <v/>
      </c>
      <c r="L1139" t="str">
        <f t="shared" si="85"/>
        <v/>
      </c>
      <c r="M1139" t="str">
        <f t="shared" si="86"/>
        <v/>
      </c>
      <c r="N1139" t="str">
        <f t="shared" si="87"/>
        <v/>
      </c>
      <c r="O1139" t="str">
        <f t="shared" si="88"/>
        <v/>
      </c>
    </row>
    <row r="1140" spans="11:15" x14ac:dyDescent="0.3">
      <c r="K1140" t="str">
        <f t="shared" si="89"/>
        <v/>
      </c>
      <c r="L1140" t="str">
        <f t="shared" si="85"/>
        <v/>
      </c>
      <c r="M1140" t="str">
        <f t="shared" si="86"/>
        <v/>
      </c>
      <c r="N1140" t="str">
        <f t="shared" si="87"/>
        <v/>
      </c>
      <c r="O1140" t="str">
        <f t="shared" si="88"/>
        <v/>
      </c>
    </row>
    <row r="1141" spans="11:15" x14ac:dyDescent="0.3">
      <c r="K1141" t="str">
        <f t="shared" si="89"/>
        <v/>
      </c>
      <c r="L1141" t="str">
        <f t="shared" si="85"/>
        <v/>
      </c>
      <c r="M1141" t="str">
        <f t="shared" si="86"/>
        <v/>
      </c>
      <c r="N1141" t="str">
        <f t="shared" si="87"/>
        <v/>
      </c>
      <c r="O1141" t="str">
        <f t="shared" si="88"/>
        <v/>
      </c>
    </row>
    <row r="1142" spans="11:15" x14ac:dyDescent="0.3">
      <c r="K1142" t="str">
        <f t="shared" si="89"/>
        <v/>
      </c>
      <c r="L1142" t="str">
        <f t="shared" si="85"/>
        <v/>
      </c>
      <c r="M1142" t="str">
        <f t="shared" si="86"/>
        <v/>
      </c>
      <c r="N1142" t="str">
        <f t="shared" si="87"/>
        <v/>
      </c>
      <c r="O1142" t="str">
        <f t="shared" si="88"/>
        <v/>
      </c>
    </row>
    <row r="1143" spans="11:15" x14ac:dyDescent="0.3">
      <c r="K1143" t="str">
        <f t="shared" si="89"/>
        <v/>
      </c>
      <c r="L1143" t="str">
        <f t="shared" si="85"/>
        <v/>
      </c>
      <c r="M1143" t="str">
        <f t="shared" si="86"/>
        <v/>
      </c>
      <c r="N1143" t="str">
        <f t="shared" si="87"/>
        <v/>
      </c>
      <c r="O1143" t="str">
        <f t="shared" si="88"/>
        <v/>
      </c>
    </row>
    <row r="1144" spans="11:15" x14ac:dyDescent="0.3">
      <c r="K1144" t="str">
        <f t="shared" si="89"/>
        <v/>
      </c>
      <c r="L1144" t="str">
        <f t="shared" si="85"/>
        <v/>
      </c>
      <c r="M1144" t="str">
        <f t="shared" si="86"/>
        <v/>
      </c>
      <c r="N1144" t="str">
        <f t="shared" si="87"/>
        <v/>
      </c>
      <c r="O1144" t="str">
        <f t="shared" si="88"/>
        <v/>
      </c>
    </row>
    <row r="1145" spans="11:15" x14ac:dyDescent="0.3">
      <c r="K1145" t="str">
        <f t="shared" si="89"/>
        <v/>
      </c>
      <c r="L1145" t="str">
        <f t="shared" si="85"/>
        <v/>
      </c>
      <c r="M1145" t="str">
        <f t="shared" si="86"/>
        <v/>
      </c>
      <c r="N1145" t="str">
        <f t="shared" si="87"/>
        <v/>
      </c>
      <c r="O1145" t="str">
        <f t="shared" si="88"/>
        <v/>
      </c>
    </row>
    <row r="1146" spans="11:15" x14ac:dyDescent="0.3">
      <c r="K1146" t="str">
        <f t="shared" si="89"/>
        <v/>
      </c>
      <c r="L1146" t="str">
        <f t="shared" si="85"/>
        <v/>
      </c>
      <c r="M1146" t="str">
        <f t="shared" si="86"/>
        <v/>
      </c>
      <c r="N1146" t="str">
        <f t="shared" si="87"/>
        <v/>
      </c>
      <c r="O1146" t="str">
        <f t="shared" si="88"/>
        <v/>
      </c>
    </row>
    <row r="1147" spans="11:15" x14ac:dyDescent="0.3">
      <c r="K1147" t="str">
        <f t="shared" si="89"/>
        <v/>
      </c>
      <c r="L1147" t="str">
        <f t="shared" si="85"/>
        <v/>
      </c>
      <c r="M1147" t="str">
        <f t="shared" si="86"/>
        <v/>
      </c>
      <c r="N1147" t="str">
        <f t="shared" si="87"/>
        <v/>
      </c>
      <c r="O1147" t="str">
        <f t="shared" si="88"/>
        <v/>
      </c>
    </row>
    <row r="1148" spans="11:15" x14ac:dyDescent="0.3">
      <c r="K1148" t="str">
        <f t="shared" si="89"/>
        <v/>
      </c>
      <c r="L1148" t="str">
        <f t="shared" si="85"/>
        <v/>
      </c>
      <c r="M1148" t="str">
        <f t="shared" si="86"/>
        <v/>
      </c>
      <c r="N1148" t="str">
        <f t="shared" si="87"/>
        <v/>
      </c>
      <c r="O1148" t="str">
        <f t="shared" si="88"/>
        <v/>
      </c>
    </row>
    <row r="1149" spans="11:15" x14ac:dyDescent="0.3">
      <c r="K1149" t="str">
        <f t="shared" si="89"/>
        <v/>
      </c>
      <c r="L1149" t="str">
        <f t="shared" si="85"/>
        <v/>
      </c>
      <c r="M1149" t="str">
        <f t="shared" si="86"/>
        <v/>
      </c>
      <c r="N1149" t="str">
        <f t="shared" si="87"/>
        <v/>
      </c>
      <c r="O1149" t="str">
        <f t="shared" si="88"/>
        <v/>
      </c>
    </row>
    <row r="1150" spans="11:15" x14ac:dyDescent="0.3">
      <c r="K1150" t="str">
        <f t="shared" si="89"/>
        <v/>
      </c>
      <c r="L1150" t="str">
        <f t="shared" si="85"/>
        <v/>
      </c>
      <c r="M1150" t="str">
        <f t="shared" si="86"/>
        <v/>
      </c>
      <c r="N1150" t="str">
        <f t="shared" si="87"/>
        <v/>
      </c>
      <c r="O1150" t="str">
        <f t="shared" si="88"/>
        <v/>
      </c>
    </row>
    <row r="1151" spans="11:15" x14ac:dyDescent="0.3">
      <c r="K1151" t="str">
        <f t="shared" si="89"/>
        <v/>
      </c>
      <c r="L1151" t="str">
        <f t="shared" si="85"/>
        <v/>
      </c>
      <c r="M1151" t="str">
        <f t="shared" si="86"/>
        <v/>
      </c>
      <c r="N1151" t="str">
        <f t="shared" si="87"/>
        <v/>
      </c>
      <c r="O1151" t="str">
        <f t="shared" si="88"/>
        <v/>
      </c>
    </row>
    <row r="1152" spans="11:15" x14ac:dyDescent="0.3">
      <c r="K1152" t="str">
        <f t="shared" si="89"/>
        <v/>
      </c>
      <c r="L1152" t="str">
        <f t="shared" si="85"/>
        <v/>
      </c>
      <c r="M1152" t="str">
        <f t="shared" si="86"/>
        <v/>
      </c>
      <c r="N1152" t="str">
        <f t="shared" si="87"/>
        <v/>
      </c>
      <c r="O1152" t="str">
        <f t="shared" si="88"/>
        <v/>
      </c>
    </row>
    <row r="1153" spans="11:15" x14ac:dyDescent="0.3">
      <c r="K1153" t="str">
        <f t="shared" si="89"/>
        <v/>
      </c>
      <c r="L1153" t="str">
        <f t="shared" ref="L1153:L1216" si="90">IF(A1153="","",IF(ISNUMBER(--LEFT(A1153,FIND(" - ",A1153&amp;" - ")-1)),LEFT(A1153,FIND(" - ",A1153&amp;" - ")-1),TRIM(A1153)))</f>
        <v/>
      </c>
      <c r="M1153" t="str">
        <f t="shared" ref="M1153:M1216" si="91">IF(OR(K1153="",K1153=A1153,A1153=""),"",K1153&amp;"|"&amp;L1153)</f>
        <v/>
      </c>
      <c r="N1153" t="str">
        <f t="shared" ref="N1153:N1216" si="92">IF(M1153="","",IF(ISNUMBER(B1153),B1153,IFERROR(_xlfn.NUMBERVALUE(B1153,".",","),0)))</f>
        <v/>
      </c>
      <c r="O1153" t="str">
        <f t="shared" ref="O1153:O1216" si="93">IF(M1153="","",IF(ISNUMBER(C1153),C1153,IFERROR(_xlfn.NUMBERVALUE(C1153,".",","),0)))</f>
        <v/>
      </c>
    </row>
    <row r="1154" spans="11:15" x14ac:dyDescent="0.3">
      <c r="K1154" t="str">
        <f t="shared" ref="K1154:K1217" si="94">IF(OR(LEFT(B1154,9)="DOANH THU",LEFT(B1154,8)="SỐ LƯỢNG"),A1154,K1153)</f>
        <v/>
      </c>
      <c r="L1154" t="str">
        <f t="shared" si="90"/>
        <v/>
      </c>
      <c r="M1154" t="str">
        <f t="shared" si="91"/>
        <v/>
      </c>
      <c r="N1154" t="str">
        <f t="shared" si="92"/>
        <v/>
      </c>
      <c r="O1154" t="str">
        <f t="shared" si="93"/>
        <v/>
      </c>
    </row>
    <row r="1155" spans="11:15" x14ac:dyDescent="0.3">
      <c r="K1155" t="str">
        <f t="shared" si="94"/>
        <v/>
      </c>
      <c r="L1155" t="str">
        <f t="shared" si="90"/>
        <v/>
      </c>
      <c r="M1155" t="str">
        <f t="shared" si="91"/>
        <v/>
      </c>
      <c r="N1155" t="str">
        <f t="shared" si="92"/>
        <v/>
      </c>
      <c r="O1155" t="str">
        <f t="shared" si="93"/>
        <v/>
      </c>
    </row>
    <row r="1156" spans="11:15" x14ac:dyDescent="0.3">
      <c r="K1156" t="str">
        <f t="shared" si="94"/>
        <v/>
      </c>
      <c r="L1156" t="str">
        <f t="shared" si="90"/>
        <v/>
      </c>
      <c r="M1156" t="str">
        <f t="shared" si="91"/>
        <v/>
      </c>
      <c r="N1156" t="str">
        <f t="shared" si="92"/>
        <v/>
      </c>
      <c r="O1156" t="str">
        <f t="shared" si="93"/>
        <v/>
      </c>
    </row>
    <row r="1157" spans="11:15" x14ac:dyDescent="0.3">
      <c r="K1157" t="str">
        <f t="shared" si="94"/>
        <v/>
      </c>
      <c r="L1157" t="str">
        <f t="shared" si="90"/>
        <v/>
      </c>
      <c r="M1157" t="str">
        <f t="shared" si="91"/>
        <v/>
      </c>
      <c r="N1157" t="str">
        <f t="shared" si="92"/>
        <v/>
      </c>
      <c r="O1157" t="str">
        <f t="shared" si="93"/>
        <v/>
      </c>
    </row>
    <row r="1158" spans="11:15" x14ac:dyDescent="0.3">
      <c r="K1158" t="str">
        <f t="shared" si="94"/>
        <v/>
      </c>
      <c r="L1158" t="str">
        <f t="shared" si="90"/>
        <v/>
      </c>
      <c r="M1158" t="str">
        <f t="shared" si="91"/>
        <v/>
      </c>
      <c r="N1158" t="str">
        <f t="shared" si="92"/>
        <v/>
      </c>
      <c r="O1158" t="str">
        <f t="shared" si="93"/>
        <v/>
      </c>
    </row>
    <row r="1159" spans="11:15" x14ac:dyDescent="0.3">
      <c r="K1159" t="str">
        <f t="shared" si="94"/>
        <v/>
      </c>
      <c r="L1159" t="str">
        <f t="shared" si="90"/>
        <v/>
      </c>
      <c r="M1159" t="str">
        <f t="shared" si="91"/>
        <v/>
      </c>
      <c r="N1159" t="str">
        <f t="shared" si="92"/>
        <v/>
      </c>
      <c r="O1159" t="str">
        <f t="shared" si="93"/>
        <v/>
      </c>
    </row>
    <row r="1160" spans="11:15" x14ac:dyDescent="0.3">
      <c r="K1160" t="str">
        <f t="shared" si="94"/>
        <v/>
      </c>
      <c r="L1160" t="str">
        <f t="shared" si="90"/>
        <v/>
      </c>
      <c r="M1160" t="str">
        <f t="shared" si="91"/>
        <v/>
      </c>
      <c r="N1160" t="str">
        <f t="shared" si="92"/>
        <v/>
      </c>
      <c r="O1160" t="str">
        <f t="shared" si="93"/>
        <v/>
      </c>
    </row>
    <row r="1161" spans="11:15" x14ac:dyDescent="0.3">
      <c r="K1161" t="str">
        <f t="shared" si="94"/>
        <v/>
      </c>
      <c r="L1161" t="str">
        <f t="shared" si="90"/>
        <v/>
      </c>
      <c r="M1161" t="str">
        <f t="shared" si="91"/>
        <v/>
      </c>
      <c r="N1161" t="str">
        <f t="shared" si="92"/>
        <v/>
      </c>
      <c r="O1161" t="str">
        <f t="shared" si="93"/>
        <v/>
      </c>
    </row>
    <row r="1162" spans="11:15" x14ac:dyDescent="0.3">
      <c r="K1162" t="str">
        <f t="shared" si="94"/>
        <v/>
      </c>
      <c r="L1162" t="str">
        <f t="shared" si="90"/>
        <v/>
      </c>
      <c r="M1162" t="str">
        <f t="shared" si="91"/>
        <v/>
      </c>
      <c r="N1162" t="str">
        <f t="shared" si="92"/>
        <v/>
      </c>
      <c r="O1162" t="str">
        <f t="shared" si="93"/>
        <v/>
      </c>
    </row>
    <row r="1163" spans="11:15" x14ac:dyDescent="0.3">
      <c r="K1163" t="str">
        <f t="shared" si="94"/>
        <v/>
      </c>
      <c r="L1163" t="str">
        <f t="shared" si="90"/>
        <v/>
      </c>
      <c r="M1163" t="str">
        <f t="shared" si="91"/>
        <v/>
      </c>
      <c r="N1163" t="str">
        <f t="shared" si="92"/>
        <v/>
      </c>
      <c r="O1163" t="str">
        <f t="shared" si="93"/>
        <v/>
      </c>
    </row>
    <row r="1164" spans="11:15" x14ac:dyDescent="0.3">
      <c r="K1164" t="str">
        <f t="shared" si="94"/>
        <v/>
      </c>
      <c r="L1164" t="str">
        <f t="shared" si="90"/>
        <v/>
      </c>
      <c r="M1164" t="str">
        <f t="shared" si="91"/>
        <v/>
      </c>
      <c r="N1164" t="str">
        <f t="shared" si="92"/>
        <v/>
      </c>
      <c r="O1164" t="str">
        <f t="shared" si="93"/>
        <v/>
      </c>
    </row>
    <row r="1165" spans="11:15" x14ac:dyDescent="0.3">
      <c r="K1165" t="str">
        <f t="shared" si="94"/>
        <v/>
      </c>
      <c r="L1165" t="str">
        <f t="shared" si="90"/>
        <v/>
      </c>
      <c r="M1165" t="str">
        <f t="shared" si="91"/>
        <v/>
      </c>
      <c r="N1165" t="str">
        <f t="shared" si="92"/>
        <v/>
      </c>
      <c r="O1165" t="str">
        <f t="shared" si="93"/>
        <v/>
      </c>
    </row>
    <row r="1166" spans="11:15" x14ac:dyDescent="0.3">
      <c r="K1166" t="str">
        <f t="shared" si="94"/>
        <v/>
      </c>
      <c r="L1166" t="str">
        <f t="shared" si="90"/>
        <v/>
      </c>
      <c r="M1166" t="str">
        <f t="shared" si="91"/>
        <v/>
      </c>
      <c r="N1166" t="str">
        <f t="shared" si="92"/>
        <v/>
      </c>
      <c r="O1166" t="str">
        <f t="shared" si="93"/>
        <v/>
      </c>
    </row>
    <row r="1167" spans="11:15" x14ac:dyDescent="0.3">
      <c r="K1167" t="str">
        <f t="shared" si="94"/>
        <v/>
      </c>
      <c r="L1167" t="str">
        <f t="shared" si="90"/>
        <v/>
      </c>
      <c r="M1167" t="str">
        <f t="shared" si="91"/>
        <v/>
      </c>
      <c r="N1167" t="str">
        <f t="shared" si="92"/>
        <v/>
      </c>
      <c r="O1167" t="str">
        <f t="shared" si="93"/>
        <v/>
      </c>
    </row>
    <row r="1168" spans="11:15" x14ac:dyDescent="0.3">
      <c r="K1168" t="str">
        <f t="shared" si="94"/>
        <v/>
      </c>
      <c r="L1168" t="str">
        <f t="shared" si="90"/>
        <v/>
      </c>
      <c r="M1168" t="str">
        <f t="shared" si="91"/>
        <v/>
      </c>
      <c r="N1168" t="str">
        <f t="shared" si="92"/>
        <v/>
      </c>
      <c r="O1168" t="str">
        <f t="shared" si="93"/>
        <v/>
      </c>
    </row>
    <row r="1169" spans="11:15" x14ac:dyDescent="0.3">
      <c r="K1169" t="str">
        <f t="shared" si="94"/>
        <v/>
      </c>
      <c r="L1169" t="str">
        <f t="shared" si="90"/>
        <v/>
      </c>
      <c r="M1169" t="str">
        <f t="shared" si="91"/>
        <v/>
      </c>
      <c r="N1169" t="str">
        <f t="shared" si="92"/>
        <v/>
      </c>
      <c r="O1169" t="str">
        <f t="shared" si="93"/>
        <v/>
      </c>
    </row>
    <row r="1170" spans="11:15" x14ac:dyDescent="0.3">
      <c r="K1170" t="str">
        <f t="shared" si="94"/>
        <v/>
      </c>
      <c r="L1170" t="str">
        <f t="shared" si="90"/>
        <v/>
      </c>
      <c r="M1170" t="str">
        <f t="shared" si="91"/>
        <v/>
      </c>
      <c r="N1170" t="str">
        <f t="shared" si="92"/>
        <v/>
      </c>
      <c r="O1170" t="str">
        <f t="shared" si="93"/>
        <v/>
      </c>
    </row>
    <row r="1171" spans="11:15" x14ac:dyDescent="0.3">
      <c r="K1171" t="str">
        <f t="shared" si="94"/>
        <v/>
      </c>
      <c r="L1171" t="str">
        <f t="shared" si="90"/>
        <v/>
      </c>
      <c r="M1171" t="str">
        <f t="shared" si="91"/>
        <v/>
      </c>
      <c r="N1171" t="str">
        <f t="shared" si="92"/>
        <v/>
      </c>
      <c r="O1171" t="str">
        <f t="shared" si="93"/>
        <v/>
      </c>
    </row>
    <row r="1172" spans="11:15" x14ac:dyDescent="0.3">
      <c r="K1172" t="str">
        <f t="shared" si="94"/>
        <v/>
      </c>
      <c r="L1172" t="str">
        <f t="shared" si="90"/>
        <v/>
      </c>
      <c r="M1172" t="str">
        <f t="shared" si="91"/>
        <v/>
      </c>
      <c r="N1172" t="str">
        <f t="shared" si="92"/>
        <v/>
      </c>
      <c r="O1172" t="str">
        <f t="shared" si="93"/>
        <v/>
      </c>
    </row>
    <row r="1173" spans="11:15" x14ac:dyDescent="0.3">
      <c r="K1173" t="str">
        <f t="shared" si="94"/>
        <v/>
      </c>
      <c r="L1173" t="str">
        <f t="shared" si="90"/>
        <v/>
      </c>
      <c r="M1173" t="str">
        <f t="shared" si="91"/>
        <v/>
      </c>
      <c r="N1173" t="str">
        <f t="shared" si="92"/>
        <v/>
      </c>
      <c r="O1173" t="str">
        <f t="shared" si="93"/>
        <v/>
      </c>
    </row>
    <row r="1174" spans="11:15" x14ac:dyDescent="0.3">
      <c r="K1174" t="str">
        <f t="shared" si="94"/>
        <v/>
      </c>
      <c r="L1174" t="str">
        <f t="shared" si="90"/>
        <v/>
      </c>
      <c r="M1174" t="str">
        <f t="shared" si="91"/>
        <v/>
      </c>
      <c r="N1174" t="str">
        <f t="shared" si="92"/>
        <v/>
      </c>
      <c r="O1174" t="str">
        <f t="shared" si="93"/>
        <v/>
      </c>
    </row>
    <row r="1175" spans="11:15" x14ac:dyDescent="0.3">
      <c r="K1175" t="str">
        <f t="shared" si="94"/>
        <v/>
      </c>
      <c r="L1175" t="str">
        <f t="shared" si="90"/>
        <v/>
      </c>
      <c r="M1175" t="str">
        <f t="shared" si="91"/>
        <v/>
      </c>
      <c r="N1175" t="str">
        <f t="shared" si="92"/>
        <v/>
      </c>
      <c r="O1175" t="str">
        <f t="shared" si="93"/>
        <v/>
      </c>
    </row>
    <row r="1176" spans="11:15" x14ac:dyDescent="0.3">
      <c r="K1176" t="str">
        <f t="shared" si="94"/>
        <v/>
      </c>
      <c r="L1176" t="str">
        <f t="shared" si="90"/>
        <v/>
      </c>
      <c r="M1176" t="str">
        <f t="shared" si="91"/>
        <v/>
      </c>
      <c r="N1176" t="str">
        <f t="shared" si="92"/>
        <v/>
      </c>
      <c r="O1176" t="str">
        <f t="shared" si="93"/>
        <v/>
      </c>
    </row>
    <row r="1177" spans="11:15" x14ac:dyDescent="0.3">
      <c r="K1177" t="str">
        <f t="shared" si="94"/>
        <v/>
      </c>
      <c r="L1177" t="str">
        <f t="shared" si="90"/>
        <v/>
      </c>
      <c r="M1177" t="str">
        <f t="shared" si="91"/>
        <v/>
      </c>
      <c r="N1177" t="str">
        <f t="shared" si="92"/>
        <v/>
      </c>
      <c r="O1177" t="str">
        <f t="shared" si="93"/>
        <v/>
      </c>
    </row>
    <row r="1178" spans="11:15" x14ac:dyDescent="0.3">
      <c r="K1178" t="str">
        <f t="shared" si="94"/>
        <v/>
      </c>
      <c r="L1178" t="str">
        <f t="shared" si="90"/>
        <v/>
      </c>
      <c r="M1178" t="str">
        <f t="shared" si="91"/>
        <v/>
      </c>
      <c r="N1178" t="str">
        <f t="shared" si="92"/>
        <v/>
      </c>
      <c r="O1178" t="str">
        <f t="shared" si="93"/>
        <v/>
      </c>
    </row>
    <row r="1179" spans="11:15" x14ac:dyDescent="0.3">
      <c r="K1179" t="str">
        <f t="shared" si="94"/>
        <v/>
      </c>
      <c r="L1179" t="str">
        <f t="shared" si="90"/>
        <v/>
      </c>
      <c r="M1179" t="str">
        <f t="shared" si="91"/>
        <v/>
      </c>
      <c r="N1179" t="str">
        <f t="shared" si="92"/>
        <v/>
      </c>
      <c r="O1179" t="str">
        <f t="shared" si="93"/>
        <v/>
      </c>
    </row>
    <row r="1180" spans="11:15" x14ac:dyDescent="0.3">
      <c r="K1180" t="str">
        <f t="shared" si="94"/>
        <v/>
      </c>
      <c r="L1180" t="str">
        <f t="shared" si="90"/>
        <v/>
      </c>
      <c r="M1180" t="str">
        <f t="shared" si="91"/>
        <v/>
      </c>
      <c r="N1180" t="str">
        <f t="shared" si="92"/>
        <v/>
      </c>
      <c r="O1180" t="str">
        <f t="shared" si="93"/>
        <v/>
      </c>
    </row>
    <row r="1181" spans="11:15" x14ac:dyDescent="0.3">
      <c r="K1181" t="str">
        <f t="shared" si="94"/>
        <v/>
      </c>
      <c r="L1181" t="str">
        <f t="shared" si="90"/>
        <v/>
      </c>
      <c r="M1181" t="str">
        <f t="shared" si="91"/>
        <v/>
      </c>
      <c r="N1181" t="str">
        <f t="shared" si="92"/>
        <v/>
      </c>
      <c r="O1181" t="str">
        <f t="shared" si="93"/>
        <v/>
      </c>
    </row>
    <row r="1182" spans="11:15" x14ac:dyDescent="0.3">
      <c r="K1182" t="str">
        <f t="shared" si="94"/>
        <v/>
      </c>
      <c r="L1182" t="str">
        <f t="shared" si="90"/>
        <v/>
      </c>
      <c r="M1182" t="str">
        <f t="shared" si="91"/>
        <v/>
      </c>
      <c r="N1182" t="str">
        <f t="shared" si="92"/>
        <v/>
      </c>
      <c r="O1182" t="str">
        <f t="shared" si="93"/>
        <v/>
      </c>
    </row>
    <row r="1183" spans="11:15" x14ac:dyDescent="0.3">
      <c r="K1183" t="str">
        <f t="shared" si="94"/>
        <v/>
      </c>
      <c r="L1183" t="str">
        <f t="shared" si="90"/>
        <v/>
      </c>
      <c r="M1183" t="str">
        <f t="shared" si="91"/>
        <v/>
      </c>
      <c r="N1183" t="str">
        <f t="shared" si="92"/>
        <v/>
      </c>
      <c r="O1183" t="str">
        <f t="shared" si="93"/>
        <v/>
      </c>
    </row>
    <row r="1184" spans="11:15" x14ac:dyDescent="0.3">
      <c r="K1184" t="str">
        <f t="shared" si="94"/>
        <v/>
      </c>
      <c r="L1184" t="str">
        <f t="shared" si="90"/>
        <v/>
      </c>
      <c r="M1184" t="str">
        <f t="shared" si="91"/>
        <v/>
      </c>
      <c r="N1184" t="str">
        <f t="shared" si="92"/>
        <v/>
      </c>
      <c r="O1184" t="str">
        <f t="shared" si="93"/>
        <v/>
      </c>
    </row>
    <row r="1185" spans="11:15" x14ac:dyDescent="0.3">
      <c r="K1185" t="str">
        <f t="shared" si="94"/>
        <v/>
      </c>
      <c r="L1185" t="str">
        <f t="shared" si="90"/>
        <v/>
      </c>
      <c r="M1185" t="str">
        <f t="shared" si="91"/>
        <v/>
      </c>
      <c r="N1185" t="str">
        <f t="shared" si="92"/>
        <v/>
      </c>
      <c r="O1185" t="str">
        <f t="shared" si="93"/>
        <v/>
      </c>
    </row>
    <row r="1186" spans="11:15" x14ac:dyDescent="0.3">
      <c r="K1186" t="str">
        <f t="shared" si="94"/>
        <v/>
      </c>
      <c r="L1186" t="str">
        <f t="shared" si="90"/>
        <v/>
      </c>
      <c r="M1186" t="str">
        <f t="shared" si="91"/>
        <v/>
      </c>
      <c r="N1186" t="str">
        <f t="shared" si="92"/>
        <v/>
      </c>
      <c r="O1186" t="str">
        <f t="shared" si="93"/>
        <v/>
      </c>
    </row>
    <row r="1187" spans="11:15" x14ac:dyDescent="0.3">
      <c r="K1187" t="str">
        <f t="shared" si="94"/>
        <v/>
      </c>
      <c r="L1187" t="str">
        <f t="shared" si="90"/>
        <v/>
      </c>
      <c r="M1187" t="str">
        <f t="shared" si="91"/>
        <v/>
      </c>
      <c r="N1187" t="str">
        <f t="shared" si="92"/>
        <v/>
      </c>
      <c r="O1187" t="str">
        <f t="shared" si="93"/>
        <v/>
      </c>
    </row>
    <row r="1188" spans="11:15" x14ac:dyDescent="0.3">
      <c r="K1188" t="str">
        <f t="shared" si="94"/>
        <v/>
      </c>
      <c r="L1188" t="str">
        <f t="shared" si="90"/>
        <v/>
      </c>
      <c r="M1188" t="str">
        <f t="shared" si="91"/>
        <v/>
      </c>
      <c r="N1188" t="str">
        <f t="shared" si="92"/>
        <v/>
      </c>
      <c r="O1188" t="str">
        <f t="shared" si="93"/>
        <v/>
      </c>
    </row>
    <row r="1189" spans="11:15" x14ac:dyDescent="0.3">
      <c r="K1189" t="str">
        <f t="shared" si="94"/>
        <v/>
      </c>
      <c r="L1189" t="str">
        <f t="shared" si="90"/>
        <v/>
      </c>
      <c r="M1189" t="str">
        <f t="shared" si="91"/>
        <v/>
      </c>
      <c r="N1189" t="str">
        <f t="shared" si="92"/>
        <v/>
      </c>
      <c r="O1189" t="str">
        <f t="shared" si="93"/>
        <v/>
      </c>
    </row>
    <row r="1190" spans="11:15" x14ac:dyDescent="0.3">
      <c r="K1190" t="str">
        <f t="shared" si="94"/>
        <v/>
      </c>
      <c r="L1190" t="str">
        <f t="shared" si="90"/>
        <v/>
      </c>
      <c r="M1190" t="str">
        <f t="shared" si="91"/>
        <v/>
      </c>
      <c r="N1190" t="str">
        <f t="shared" si="92"/>
        <v/>
      </c>
      <c r="O1190" t="str">
        <f t="shared" si="93"/>
        <v/>
      </c>
    </row>
    <row r="1191" spans="11:15" x14ac:dyDescent="0.3">
      <c r="K1191" t="str">
        <f t="shared" si="94"/>
        <v/>
      </c>
      <c r="L1191" t="str">
        <f t="shared" si="90"/>
        <v/>
      </c>
      <c r="M1191" t="str">
        <f t="shared" si="91"/>
        <v/>
      </c>
      <c r="N1191" t="str">
        <f t="shared" si="92"/>
        <v/>
      </c>
      <c r="O1191" t="str">
        <f t="shared" si="93"/>
        <v/>
      </c>
    </row>
    <row r="1192" spans="11:15" x14ac:dyDescent="0.3">
      <c r="K1192" t="str">
        <f t="shared" si="94"/>
        <v/>
      </c>
      <c r="L1192" t="str">
        <f t="shared" si="90"/>
        <v/>
      </c>
      <c r="M1192" t="str">
        <f t="shared" si="91"/>
        <v/>
      </c>
      <c r="N1192" t="str">
        <f t="shared" si="92"/>
        <v/>
      </c>
      <c r="O1192" t="str">
        <f t="shared" si="93"/>
        <v/>
      </c>
    </row>
    <row r="1193" spans="11:15" x14ac:dyDescent="0.3">
      <c r="K1193" t="str">
        <f t="shared" si="94"/>
        <v/>
      </c>
      <c r="L1193" t="str">
        <f t="shared" si="90"/>
        <v/>
      </c>
      <c r="M1193" t="str">
        <f t="shared" si="91"/>
        <v/>
      </c>
      <c r="N1193" t="str">
        <f t="shared" si="92"/>
        <v/>
      </c>
      <c r="O1193" t="str">
        <f t="shared" si="93"/>
        <v/>
      </c>
    </row>
    <row r="1194" spans="11:15" x14ac:dyDescent="0.3">
      <c r="K1194" t="str">
        <f t="shared" si="94"/>
        <v/>
      </c>
      <c r="L1194" t="str">
        <f t="shared" si="90"/>
        <v/>
      </c>
      <c r="M1194" t="str">
        <f t="shared" si="91"/>
        <v/>
      </c>
      <c r="N1194" t="str">
        <f t="shared" si="92"/>
        <v/>
      </c>
      <c r="O1194" t="str">
        <f t="shared" si="93"/>
        <v/>
      </c>
    </row>
    <row r="1195" spans="11:15" x14ac:dyDescent="0.3">
      <c r="K1195" t="str">
        <f t="shared" si="94"/>
        <v/>
      </c>
      <c r="L1195" t="str">
        <f t="shared" si="90"/>
        <v/>
      </c>
      <c r="M1195" t="str">
        <f t="shared" si="91"/>
        <v/>
      </c>
      <c r="N1195" t="str">
        <f t="shared" si="92"/>
        <v/>
      </c>
      <c r="O1195" t="str">
        <f t="shared" si="93"/>
        <v/>
      </c>
    </row>
    <row r="1196" spans="11:15" x14ac:dyDescent="0.3">
      <c r="K1196" t="str">
        <f t="shared" si="94"/>
        <v/>
      </c>
      <c r="L1196" t="str">
        <f t="shared" si="90"/>
        <v/>
      </c>
      <c r="M1196" t="str">
        <f t="shared" si="91"/>
        <v/>
      </c>
      <c r="N1196" t="str">
        <f t="shared" si="92"/>
        <v/>
      </c>
      <c r="O1196" t="str">
        <f t="shared" si="93"/>
        <v/>
      </c>
    </row>
    <row r="1197" spans="11:15" x14ac:dyDescent="0.3">
      <c r="K1197" t="str">
        <f t="shared" si="94"/>
        <v/>
      </c>
      <c r="L1197" t="str">
        <f t="shared" si="90"/>
        <v/>
      </c>
      <c r="M1197" t="str">
        <f t="shared" si="91"/>
        <v/>
      </c>
      <c r="N1197" t="str">
        <f t="shared" si="92"/>
        <v/>
      </c>
      <c r="O1197" t="str">
        <f t="shared" si="93"/>
        <v/>
      </c>
    </row>
    <row r="1198" spans="11:15" x14ac:dyDescent="0.3">
      <c r="K1198" t="str">
        <f t="shared" si="94"/>
        <v/>
      </c>
      <c r="L1198" t="str">
        <f t="shared" si="90"/>
        <v/>
      </c>
      <c r="M1198" t="str">
        <f t="shared" si="91"/>
        <v/>
      </c>
      <c r="N1198" t="str">
        <f t="shared" si="92"/>
        <v/>
      </c>
      <c r="O1198" t="str">
        <f t="shared" si="93"/>
        <v/>
      </c>
    </row>
    <row r="1199" spans="11:15" x14ac:dyDescent="0.3">
      <c r="K1199" t="str">
        <f t="shared" si="94"/>
        <v/>
      </c>
      <c r="L1199" t="str">
        <f t="shared" si="90"/>
        <v/>
      </c>
      <c r="M1199" t="str">
        <f t="shared" si="91"/>
        <v/>
      </c>
      <c r="N1199" t="str">
        <f t="shared" si="92"/>
        <v/>
      </c>
      <c r="O1199" t="str">
        <f t="shared" si="93"/>
        <v/>
      </c>
    </row>
    <row r="1200" spans="11:15" x14ac:dyDescent="0.3">
      <c r="K1200" t="str">
        <f t="shared" si="94"/>
        <v/>
      </c>
      <c r="L1200" t="str">
        <f t="shared" si="90"/>
        <v/>
      </c>
      <c r="M1200" t="str">
        <f t="shared" si="91"/>
        <v/>
      </c>
      <c r="N1200" t="str">
        <f t="shared" si="92"/>
        <v/>
      </c>
      <c r="O1200" t="str">
        <f t="shared" si="93"/>
        <v/>
      </c>
    </row>
    <row r="1201" spans="11:15" x14ac:dyDescent="0.3">
      <c r="K1201" t="str">
        <f t="shared" si="94"/>
        <v/>
      </c>
      <c r="L1201" t="str">
        <f t="shared" si="90"/>
        <v/>
      </c>
      <c r="M1201" t="str">
        <f t="shared" si="91"/>
        <v/>
      </c>
      <c r="N1201" t="str">
        <f t="shared" si="92"/>
        <v/>
      </c>
      <c r="O1201" t="str">
        <f t="shared" si="93"/>
        <v/>
      </c>
    </row>
    <row r="1202" spans="11:15" x14ac:dyDescent="0.3">
      <c r="K1202" t="str">
        <f t="shared" si="94"/>
        <v/>
      </c>
      <c r="L1202" t="str">
        <f t="shared" si="90"/>
        <v/>
      </c>
      <c r="M1202" t="str">
        <f t="shared" si="91"/>
        <v/>
      </c>
      <c r="N1202" t="str">
        <f t="shared" si="92"/>
        <v/>
      </c>
      <c r="O1202" t="str">
        <f t="shared" si="93"/>
        <v/>
      </c>
    </row>
    <row r="1203" spans="11:15" x14ac:dyDescent="0.3">
      <c r="K1203" t="str">
        <f t="shared" si="94"/>
        <v/>
      </c>
      <c r="L1203" t="str">
        <f t="shared" si="90"/>
        <v/>
      </c>
      <c r="M1203" t="str">
        <f t="shared" si="91"/>
        <v/>
      </c>
      <c r="N1203" t="str">
        <f t="shared" si="92"/>
        <v/>
      </c>
      <c r="O1203" t="str">
        <f t="shared" si="93"/>
        <v/>
      </c>
    </row>
    <row r="1204" spans="11:15" x14ac:dyDescent="0.3">
      <c r="K1204" t="str">
        <f t="shared" si="94"/>
        <v/>
      </c>
      <c r="L1204" t="str">
        <f t="shared" si="90"/>
        <v/>
      </c>
      <c r="M1204" t="str">
        <f t="shared" si="91"/>
        <v/>
      </c>
      <c r="N1204" t="str">
        <f t="shared" si="92"/>
        <v/>
      </c>
      <c r="O1204" t="str">
        <f t="shared" si="93"/>
        <v/>
      </c>
    </row>
    <row r="1205" spans="11:15" x14ac:dyDescent="0.3">
      <c r="K1205" t="str">
        <f t="shared" si="94"/>
        <v/>
      </c>
      <c r="L1205" t="str">
        <f t="shared" si="90"/>
        <v/>
      </c>
      <c r="M1205" t="str">
        <f t="shared" si="91"/>
        <v/>
      </c>
      <c r="N1205" t="str">
        <f t="shared" si="92"/>
        <v/>
      </c>
      <c r="O1205" t="str">
        <f t="shared" si="93"/>
        <v/>
      </c>
    </row>
    <row r="1206" spans="11:15" x14ac:dyDescent="0.3">
      <c r="K1206" t="str">
        <f t="shared" si="94"/>
        <v/>
      </c>
      <c r="L1206" t="str">
        <f t="shared" si="90"/>
        <v/>
      </c>
      <c r="M1206" t="str">
        <f t="shared" si="91"/>
        <v/>
      </c>
      <c r="N1206" t="str">
        <f t="shared" si="92"/>
        <v/>
      </c>
      <c r="O1206" t="str">
        <f t="shared" si="93"/>
        <v/>
      </c>
    </row>
    <row r="1207" spans="11:15" x14ac:dyDescent="0.3">
      <c r="K1207" t="str">
        <f t="shared" si="94"/>
        <v/>
      </c>
      <c r="L1207" t="str">
        <f t="shared" si="90"/>
        <v/>
      </c>
      <c r="M1207" t="str">
        <f t="shared" si="91"/>
        <v/>
      </c>
      <c r="N1207" t="str">
        <f t="shared" si="92"/>
        <v/>
      </c>
      <c r="O1207" t="str">
        <f t="shared" si="93"/>
        <v/>
      </c>
    </row>
    <row r="1208" spans="11:15" x14ac:dyDescent="0.3">
      <c r="K1208" t="str">
        <f t="shared" si="94"/>
        <v/>
      </c>
      <c r="L1208" t="str">
        <f t="shared" si="90"/>
        <v/>
      </c>
      <c r="M1208" t="str">
        <f t="shared" si="91"/>
        <v/>
      </c>
      <c r="N1208" t="str">
        <f t="shared" si="92"/>
        <v/>
      </c>
      <c r="O1208" t="str">
        <f t="shared" si="93"/>
        <v/>
      </c>
    </row>
    <row r="1209" spans="11:15" x14ac:dyDescent="0.3">
      <c r="K1209" t="str">
        <f t="shared" si="94"/>
        <v/>
      </c>
      <c r="L1209" t="str">
        <f t="shared" si="90"/>
        <v/>
      </c>
      <c r="M1209" t="str">
        <f t="shared" si="91"/>
        <v/>
      </c>
      <c r="N1209" t="str">
        <f t="shared" si="92"/>
        <v/>
      </c>
      <c r="O1209" t="str">
        <f t="shared" si="93"/>
        <v/>
      </c>
    </row>
    <row r="1210" spans="11:15" x14ac:dyDescent="0.3">
      <c r="K1210" t="str">
        <f t="shared" si="94"/>
        <v/>
      </c>
      <c r="L1210" t="str">
        <f t="shared" si="90"/>
        <v/>
      </c>
      <c r="M1210" t="str">
        <f t="shared" si="91"/>
        <v/>
      </c>
      <c r="N1210" t="str">
        <f t="shared" si="92"/>
        <v/>
      </c>
      <c r="O1210" t="str">
        <f t="shared" si="93"/>
        <v/>
      </c>
    </row>
    <row r="1211" spans="11:15" x14ac:dyDescent="0.3">
      <c r="K1211" t="str">
        <f t="shared" si="94"/>
        <v/>
      </c>
      <c r="L1211" t="str">
        <f t="shared" si="90"/>
        <v/>
      </c>
      <c r="M1211" t="str">
        <f t="shared" si="91"/>
        <v/>
      </c>
      <c r="N1211" t="str">
        <f t="shared" si="92"/>
        <v/>
      </c>
      <c r="O1211" t="str">
        <f t="shared" si="93"/>
        <v/>
      </c>
    </row>
    <row r="1212" spans="11:15" x14ac:dyDescent="0.3">
      <c r="K1212" t="str">
        <f t="shared" si="94"/>
        <v/>
      </c>
      <c r="L1212" t="str">
        <f t="shared" si="90"/>
        <v/>
      </c>
      <c r="M1212" t="str">
        <f t="shared" si="91"/>
        <v/>
      </c>
      <c r="N1212" t="str">
        <f t="shared" si="92"/>
        <v/>
      </c>
      <c r="O1212" t="str">
        <f t="shared" si="93"/>
        <v/>
      </c>
    </row>
    <row r="1213" spans="11:15" x14ac:dyDescent="0.3">
      <c r="K1213" t="str">
        <f t="shared" si="94"/>
        <v/>
      </c>
      <c r="L1213" t="str">
        <f t="shared" si="90"/>
        <v/>
      </c>
      <c r="M1213" t="str">
        <f t="shared" si="91"/>
        <v/>
      </c>
      <c r="N1213" t="str">
        <f t="shared" si="92"/>
        <v/>
      </c>
      <c r="O1213" t="str">
        <f t="shared" si="93"/>
        <v/>
      </c>
    </row>
    <row r="1214" spans="11:15" x14ac:dyDescent="0.3">
      <c r="K1214" t="str">
        <f t="shared" si="94"/>
        <v/>
      </c>
      <c r="L1214" t="str">
        <f t="shared" si="90"/>
        <v/>
      </c>
      <c r="M1214" t="str">
        <f t="shared" si="91"/>
        <v/>
      </c>
      <c r="N1214" t="str">
        <f t="shared" si="92"/>
        <v/>
      </c>
      <c r="O1214" t="str">
        <f t="shared" si="93"/>
        <v/>
      </c>
    </row>
    <row r="1215" spans="11:15" x14ac:dyDescent="0.3">
      <c r="K1215" t="str">
        <f t="shared" si="94"/>
        <v/>
      </c>
      <c r="L1215" t="str">
        <f t="shared" si="90"/>
        <v/>
      </c>
      <c r="M1215" t="str">
        <f t="shared" si="91"/>
        <v/>
      </c>
      <c r="N1215" t="str">
        <f t="shared" si="92"/>
        <v/>
      </c>
      <c r="O1215" t="str">
        <f t="shared" si="93"/>
        <v/>
      </c>
    </row>
    <row r="1216" spans="11:15" x14ac:dyDescent="0.3">
      <c r="K1216" t="str">
        <f t="shared" si="94"/>
        <v/>
      </c>
      <c r="L1216" t="str">
        <f t="shared" si="90"/>
        <v/>
      </c>
      <c r="M1216" t="str">
        <f t="shared" si="91"/>
        <v/>
      </c>
      <c r="N1216" t="str">
        <f t="shared" si="92"/>
        <v/>
      </c>
      <c r="O1216" t="str">
        <f t="shared" si="93"/>
        <v/>
      </c>
    </row>
    <row r="1217" spans="11:15" x14ac:dyDescent="0.3">
      <c r="K1217" t="str">
        <f t="shared" si="94"/>
        <v/>
      </c>
      <c r="L1217" t="str">
        <f t="shared" ref="L1217:L1280" si="95">IF(A1217="","",IF(ISNUMBER(--LEFT(A1217,FIND(" - ",A1217&amp;" - ")-1)),LEFT(A1217,FIND(" - ",A1217&amp;" - ")-1),TRIM(A1217)))</f>
        <v/>
      </c>
      <c r="M1217" t="str">
        <f t="shared" ref="M1217:M1280" si="96">IF(OR(K1217="",K1217=A1217,A1217=""),"",K1217&amp;"|"&amp;L1217)</f>
        <v/>
      </c>
      <c r="N1217" t="str">
        <f t="shared" ref="N1217:N1280" si="97">IF(M1217="","",IF(ISNUMBER(B1217),B1217,IFERROR(_xlfn.NUMBERVALUE(B1217,".",","),0)))</f>
        <v/>
      </c>
      <c r="O1217" t="str">
        <f t="shared" ref="O1217:O1280" si="98">IF(M1217="","",IF(ISNUMBER(C1217),C1217,IFERROR(_xlfn.NUMBERVALUE(C1217,".",","),0)))</f>
        <v/>
      </c>
    </row>
    <row r="1218" spans="11:15" x14ac:dyDescent="0.3">
      <c r="K1218" t="str">
        <f t="shared" ref="K1218:K1281" si="99">IF(OR(LEFT(B1218,9)="DOANH THU",LEFT(B1218,8)="SỐ LƯỢNG"),A1218,K1217)</f>
        <v/>
      </c>
      <c r="L1218" t="str">
        <f t="shared" si="95"/>
        <v/>
      </c>
      <c r="M1218" t="str">
        <f t="shared" si="96"/>
        <v/>
      </c>
      <c r="N1218" t="str">
        <f t="shared" si="97"/>
        <v/>
      </c>
      <c r="O1218" t="str">
        <f t="shared" si="98"/>
        <v/>
      </c>
    </row>
    <row r="1219" spans="11:15" x14ac:dyDescent="0.3">
      <c r="K1219" t="str">
        <f t="shared" si="99"/>
        <v/>
      </c>
      <c r="L1219" t="str">
        <f t="shared" si="95"/>
        <v/>
      </c>
      <c r="M1219" t="str">
        <f t="shared" si="96"/>
        <v/>
      </c>
      <c r="N1219" t="str">
        <f t="shared" si="97"/>
        <v/>
      </c>
      <c r="O1219" t="str">
        <f t="shared" si="98"/>
        <v/>
      </c>
    </row>
    <row r="1220" spans="11:15" x14ac:dyDescent="0.3">
      <c r="K1220" t="str">
        <f t="shared" si="99"/>
        <v/>
      </c>
      <c r="L1220" t="str">
        <f t="shared" si="95"/>
        <v/>
      </c>
      <c r="M1220" t="str">
        <f t="shared" si="96"/>
        <v/>
      </c>
      <c r="N1220" t="str">
        <f t="shared" si="97"/>
        <v/>
      </c>
      <c r="O1220" t="str">
        <f t="shared" si="98"/>
        <v/>
      </c>
    </row>
    <row r="1221" spans="11:15" x14ac:dyDescent="0.3">
      <c r="K1221" t="str">
        <f t="shared" si="99"/>
        <v/>
      </c>
      <c r="L1221" t="str">
        <f t="shared" si="95"/>
        <v/>
      </c>
      <c r="M1221" t="str">
        <f t="shared" si="96"/>
        <v/>
      </c>
      <c r="N1221" t="str">
        <f t="shared" si="97"/>
        <v/>
      </c>
      <c r="O1221" t="str">
        <f t="shared" si="98"/>
        <v/>
      </c>
    </row>
    <row r="1222" spans="11:15" x14ac:dyDescent="0.3">
      <c r="K1222" t="str">
        <f t="shared" si="99"/>
        <v/>
      </c>
      <c r="L1222" t="str">
        <f t="shared" si="95"/>
        <v/>
      </c>
      <c r="M1222" t="str">
        <f t="shared" si="96"/>
        <v/>
      </c>
      <c r="N1222" t="str">
        <f t="shared" si="97"/>
        <v/>
      </c>
      <c r="O1222" t="str">
        <f t="shared" si="98"/>
        <v/>
      </c>
    </row>
    <row r="1223" spans="11:15" x14ac:dyDescent="0.3">
      <c r="K1223" t="str">
        <f t="shared" si="99"/>
        <v/>
      </c>
      <c r="L1223" t="str">
        <f t="shared" si="95"/>
        <v/>
      </c>
      <c r="M1223" t="str">
        <f t="shared" si="96"/>
        <v/>
      </c>
      <c r="N1223" t="str">
        <f t="shared" si="97"/>
        <v/>
      </c>
      <c r="O1223" t="str">
        <f t="shared" si="98"/>
        <v/>
      </c>
    </row>
    <row r="1224" spans="11:15" x14ac:dyDescent="0.3">
      <c r="K1224" t="str">
        <f t="shared" si="99"/>
        <v/>
      </c>
      <c r="L1224" t="str">
        <f t="shared" si="95"/>
        <v/>
      </c>
      <c r="M1224" t="str">
        <f t="shared" si="96"/>
        <v/>
      </c>
      <c r="N1224" t="str">
        <f t="shared" si="97"/>
        <v/>
      </c>
      <c r="O1224" t="str">
        <f t="shared" si="98"/>
        <v/>
      </c>
    </row>
    <row r="1225" spans="11:15" x14ac:dyDescent="0.3">
      <c r="K1225" t="str">
        <f t="shared" si="99"/>
        <v/>
      </c>
      <c r="L1225" t="str">
        <f t="shared" si="95"/>
        <v/>
      </c>
      <c r="M1225" t="str">
        <f t="shared" si="96"/>
        <v/>
      </c>
      <c r="N1225" t="str">
        <f t="shared" si="97"/>
        <v/>
      </c>
      <c r="O1225" t="str">
        <f t="shared" si="98"/>
        <v/>
      </c>
    </row>
    <row r="1226" spans="11:15" x14ac:dyDescent="0.3">
      <c r="K1226" t="str">
        <f t="shared" si="99"/>
        <v/>
      </c>
      <c r="L1226" t="str">
        <f t="shared" si="95"/>
        <v/>
      </c>
      <c r="M1226" t="str">
        <f t="shared" si="96"/>
        <v/>
      </c>
      <c r="N1226" t="str">
        <f t="shared" si="97"/>
        <v/>
      </c>
      <c r="O1226" t="str">
        <f t="shared" si="98"/>
        <v/>
      </c>
    </row>
    <row r="1227" spans="11:15" x14ac:dyDescent="0.3">
      <c r="K1227" t="str">
        <f t="shared" si="99"/>
        <v/>
      </c>
      <c r="L1227" t="str">
        <f t="shared" si="95"/>
        <v/>
      </c>
      <c r="M1227" t="str">
        <f t="shared" si="96"/>
        <v/>
      </c>
      <c r="N1227" t="str">
        <f t="shared" si="97"/>
        <v/>
      </c>
      <c r="O1227" t="str">
        <f t="shared" si="98"/>
        <v/>
      </c>
    </row>
    <row r="1228" spans="11:15" x14ac:dyDescent="0.3">
      <c r="K1228" t="str">
        <f t="shared" si="99"/>
        <v/>
      </c>
      <c r="L1228" t="str">
        <f t="shared" si="95"/>
        <v/>
      </c>
      <c r="M1228" t="str">
        <f t="shared" si="96"/>
        <v/>
      </c>
      <c r="N1228" t="str">
        <f t="shared" si="97"/>
        <v/>
      </c>
      <c r="O1228" t="str">
        <f t="shared" si="98"/>
        <v/>
      </c>
    </row>
    <row r="1229" spans="11:15" x14ac:dyDescent="0.3">
      <c r="K1229" t="str">
        <f t="shared" si="99"/>
        <v/>
      </c>
      <c r="L1229" t="str">
        <f t="shared" si="95"/>
        <v/>
      </c>
      <c r="M1229" t="str">
        <f t="shared" si="96"/>
        <v/>
      </c>
      <c r="N1229" t="str">
        <f t="shared" si="97"/>
        <v/>
      </c>
      <c r="O1229" t="str">
        <f t="shared" si="98"/>
        <v/>
      </c>
    </row>
    <row r="1230" spans="11:15" x14ac:dyDescent="0.3">
      <c r="K1230" t="str">
        <f t="shared" si="99"/>
        <v/>
      </c>
      <c r="L1230" t="str">
        <f t="shared" si="95"/>
        <v/>
      </c>
      <c r="M1230" t="str">
        <f t="shared" si="96"/>
        <v/>
      </c>
      <c r="N1230" t="str">
        <f t="shared" si="97"/>
        <v/>
      </c>
      <c r="O1230" t="str">
        <f t="shared" si="98"/>
        <v/>
      </c>
    </row>
    <row r="1231" spans="11:15" x14ac:dyDescent="0.3">
      <c r="K1231" t="str">
        <f t="shared" si="99"/>
        <v/>
      </c>
      <c r="L1231" t="str">
        <f t="shared" si="95"/>
        <v/>
      </c>
      <c r="M1231" t="str">
        <f t="shared" si="96"/>
        <v/>
      </c>
      <c r="N1231" t="str">
        <f t="shared" si="97"/>
        <v/>
      </c>
      <c r="O1231" t="str">
        <f t="shared" si="98"/>
        <v/>
      </c>
    </row>
    <row r="1232" spans="11:15" x14ac:dyDescent="0.3">
      <c r="K1232" t="str">
        <f t="shared" si="99"/>
        <v/>
      </c>
      <c r="L1232" t="str">
        <f t="shared" si="95"/>
        <v/>
      </c>
      <c r="M1232" t="str">
        <f t="shared" si="96"/>
        <v/>
      </c>
      <c r="N1232" t="str">
        <f t="shared" si="97"/>
        <v/>
      </c>
      <c r="O1232" t="str">
        <f t="shared" si="98"/>
        <v/>
      </c>
    </row>
    <row r="1233" spans="11:15" x14ac:dyDescent="0.3">
      <c r="K1233" t="str">
        <f t="shared" si="99"/>
        <v/>
      </c>
      <c r="L1233" t="str">
        <f t="shared" si="95"/>
        <v/>
      </c>
      <c r="M1233" t="str">
        <f t="shared" si="96"/>
        <v/>
      </c>
      <c r="N1233" t="str">
        <f t="shared" si="97"/>
        <v/>
      </c>
      <c r="O1233" t="str">
        <f t="shared" si="98"/>
        <v/>
      </c>
    </row>
    <row r="1234" spans="11:15" x14ac:dyDescent="0.3">
      <c r="K1234" t="str">
        <f t="shared" si="99"/>
        <v/>
      </c>
      <c r="L1234" t="str">
        <f t="shared" si="95"/>
        <v/>
      </c>
      <c r="M1234" t="str">
        <f t="shared" si="96"/>
        <v/>
      </c>
      <c r="N1234" t="str">
        <f t="shared" si="97"/>
        <v/>
      </c>
      <c r="O1234" t="str">
        <f t="shared" si="98"/>
        <v/>
      </c>
    </row>
    <row r="1235" spans="11:15" x14ac:dyDescent="0.3">
      <c r="K1235" t="str">
        <f t="shared" si="99"/>
        <v/>
      </c>
      <c r="L1235" t="str">
        <f t="shared" si="95"/>
        <v/>
      </c>
      <c r="M1235" t="str">
        <f t="shared" si="96"/>
        <v/>
      </c>
      <c r="N1235" t="str">
        <f t="shared" si="97"/>
        <v/>
      </c>
      <c r="O1235" t="str">
        <f t="shared" si="98"/>
        <v/>
      </c>
    </row>
    <row r="1236" spans="11:15" x14ac:dyDescent="0.3">
      <c r="K1236" t="str">
        <f t="shared" si="99"/>
        <v/>
      </c>
      <c r="L1236" t="str">
        <f t="shared" si="95"/>
        <v/>
      </c>
      <c r="M1236" t="str">
        <f t="shared" si="96"/>
        <v/>
      </c>
      <c r="N1236" t="str">
        <f t="shared" si="97"/>
        <v/>
      </c>
      <c r="O1236" t="str">
        <f t="shared" si="98"/>
        <v/>
      </c>
    </row>
    <row r="1237" spans="11:15" x14ac:dyDescent="0.3">
      <c r="K1237" t="str">
        <f t="shared" si="99"/>
        <v/>
      </c>
      <c r="L1237" t="str">
        <f t="shared" si="95"/>
        <v/>
      </c>
      <c r="M1237" t="str">
        <f t="shared" si="96"/>
        <v/>
      </c>
      <c r="N1237" t="str">
        <f t="shared" si="97"/>
        <v/>
      </c>
      <c r="O1237" t="str">
        <f t="shared" si="98"/>
        <v/>
      </c>
    </row>
    <row r="1238" spans="11:15" x14ac:dyDescent="0.3">
      <c r="K1238" t="str">
        <f t="shared" si="99"/>
        <v/>
      </c>
      <c r="L1238" t="str">
        <f t="shared" si="95"/>
        <v/>
      </c>
      <c r="M1238" t="str">
        <f t="shared" si="96"/>
        <v/>
      </c>
      <c r="N1238" t="str">
        <f t="shared" si="97"/>
        <v/>
      </c>
      <c r="O1238" t="str">
        <f t="shared" si="98"/>
        <v/>
      </c>
    </row>
    <row r="1239" spans="11:15" x14ac:dyDescent="0.3">
      <c r="K1239" t="str">
        <f t="shared" si="99"/>
        <v/>
      </c>
      <c r="L1239" t="str">
        <f t="shared" si="95"/>
        <v/>
      </c>
      <c r="M1239" t="str">
        <f t="shared" si="96"/>
        <v/>
      </c>
      <c r="N1239" t="str">
        <f t="shared" si="97"/>
        <v/>
      </c>
      <c r="O1239" t="str">
        <f t="shared" si="98"/>
        <v/>
      </c>
    </row>
    <row r="1240" spans="11:15" x14ac:dyDescent="0.3">
      <c r="K1240" t="str">
        <f t="shared" si="99"/>
        <v/>
      </c>
      <c r="L1240" t="str">
        <f t="shared" si="95"/>
        <v/>
      </c>
      <c r="M1240" t="str">
        <f t="shared" si="96"/>
        <v/>
      </c>
      <c r="N1240" t="str">
        <f t="shared" si="97"/>
        <v/>
      </c>
      <c r="O1240" t="str">
        <f t="shared" si="98"/>
        <v/>
      </c>
    </row>
    <row r="1241" spans="11:15" x14ac:dyDescent="0.3">
      <c r="K1241" t="str">
        <f t="shared" si="99"/>
        <v/>
      </c>
      <c r="L1241" t="str">
        <f t="shared" si="95"/>
        <v/>
      </c>
      <c r="M1241" t="str">
        <f t="shared" si="96"/>
        <v/>
      </c>
      <c r="N1241" t="str">
        <f t="shared" si="97"/>
        <v/>
      </c>
      <c r="O1241" t="str">
        <f t="shared" si="98"/>
        <v/>
      </c>
    </row>
    <row r="1242" spans="11:15" x14ac:dyDescent="0.3">
      <c r="K1242" t="str">
        <f t="shared" si="99"/>
        <v/>
      </c>
      <c r="L1242" t="str">
        <f t="shared" si="95"/>
        <v/>
      </c>
      <c r="M1242" t="str">
        <f t="shared" si="96"/>
        <v/>
      </c>
      <c r="N1242" t="str">
        <f t="shared" si="97"/>
        <v/>
      </c>
      <c r="O1242" t="str">
        <f t="shared" si="98"/>
        <v/>
      </c>
    </row>
    <row r="1243" spans="11:15" x14ac:dyDescent="0.3">
      <c r="K1243" t="str">
        <f t="shared" si="99"/>
        <v/>
      </c>
      <c r="L1243" t="str">
        <f t="shared" si="95"/>
        <v/>
      </c>
      <c r="M1243" t="str">
        <f t="shared" si="96"/>
        <v/>
      </c>
      <c r="N1243" t="str">
        <f t="shared" si="97"/>
        <v/>
      </c>
      <c r="O1243" t="str">
        <f t="shared" si="98"/>
        <v/>
      </c>
    </row>
    <row r="1244" spans="11:15" x14ac:dyDescent="0.3">
      <c r="K1244" t="str">
        <f t="shared" si="99"/>
        <v/>
      </c>
      <c r="L1244" t="str">
        <f t="shared" si="95"/>
        <v/>
      </c>
      <c r="M1244" t="str">
        <f t="shared" si="96"/>
        <v/>
      </c>
      <c r="N1244" t="str">
        <f t="shared" si="97"/>
        <v/>
      </c>
      <c r="O1244" t="str">
        <f t="shared" si="98"/>
        <v/>
      </c>
    </row>
    <row r="1245" spans="11:15" x14ac:dyDescent="0.3">
      <c r="K1245" t="str">
        <f t="shared" si="99"/>
        <v/>
      </c>
      <c r="L1245" t="str">
        <f t="shared" si="95"/>
        <v/>
      </c>
      <c r="M1245" t="str">
        <f t="shared" si="96"/>
        <v/>
      </c>
      <c r="N1245" t="str">
        <f t="shared" si="97"/>
        <v/>
      </c>
      <c r="O1245" t="str">
        <f t="shared" si="98"/>
        <v/>
      </c>
    </row>
    <row r="1246" spans="11:15" x14ac:dyDescent="0.3">
      <c r="K1246" t="str">
        <f t="shared" si="99"/>
        <v/>
      </c>
      <c r="L1246" t="str">
        <f t="shared" si="95"/>
        <v/>
      </c>
      <c r="M1246" t="str">
        <f t="shared" si="96"/>
        <v/>
      </c>
      <c r="N1246" t="str">
        <f t="shared" si="97"/>
        <v/>
      </c>
      <c r="O1246" t="str">
        <f t="shared" si="98"/>
        <v/>
      </c>
    </row>
    <row r="1247" spans="11:15" x14ac:dyDescent="0.3">
      <c r="K1247" t="str">
        <f t="shared" si="99"/>
        <v/>
      </c>
      <c r="L1247" t="str">
        <f t="shared" si="95"/>
        <v/>
      </c>
      <c r="M1247" t="str">
        <f t="shared" si="96"/>
        <v/>
      </c>
      <c r="N1247" t="str">
        <f t="shared" si="97"/>
        <v/>
      </c>
      <c r="O1247" t="str">
        <f t="shared" si="98"/>
        <v/>
      </c>
    </row>
    <row r="1248" spans="11:15" x14ac:dyDescent="0.3">
      <c r="K1248" t="str">
        <f t="shared" si="99"/>
        <v/>
      </c>
      <c r="L1248" t="str">
        <f t="shared" si="95"/>
        <v/>
      </c>
      <c r="M1248" t="str">
        <f t="shared" si="96"/>
        <v/>
      </c>
      <c r="N1248" t="str">
        <f t="shared" si="97"/>
        <v/>
      </c>
      <c r="O1248" t="str">
        <f t="shared" si="98"/>
        <v/>
      </c>
    </row>
    <row r="1249" spans="11:15" x14ac:dyDescent="0.3">
      <c r="K1249" t="str">
        <f t="shared" si="99"/>
        <v/>
      </c>
      <c r="L1249" t="str">
        <f t="shared" si="95"/>
        <v/>
      </c>
      <c r="M1249" t="str">
        <f t="shared" si="96"/>
        <v/>
      </c>
      <c r="N1249" t="str">
        <f t="shared" si="97"/>
        <v/>
      </c>
      <c r="O1249" t="str">
        <f t="shared" si="98"/>
        <v/>
      </c>
    </row>
    <row r="1250" spans="11:15" x14ac:dyDescent="0.3">
      <c r="K1250" t="str">
        <f t="shared" si="99"/>
        <v/>
      </c>
      <c r="L1250" t="str">
        <f t="shared" si="95"/>
        <v/>
      </c>
      <c r="M1250" t="str">
        <f t="shared" si="96"/>
        <v/>
      </c>
      <c r="N1250" t="str">
        <f t="shared" si="97"/>
        <v/>
      </c>
      <c r="O1250" t="str">
        <f t="shared" si="98"/>
        <v/>
      </c>
    </row>
    <row r="1251" spans="11:15" x14ac:dyDescent="0.3">
      <c r="K1251" t="str">
        <f t="shared" si="99"/>
        <v/>
      </c>
      <c r="L1251" t="str">
        <f t="shared" si="95"/>
        <v/>
      </c>
      <c r="M1251" t="str">
        <f t="shared" si="96"/>
        <v/>
      </c>
      <c r="N1251" t="str">
        <f t="shared" si="97"/>
        <v/>
      </c>
      <c r="O1251" t="str">
        <f t="shared" si="98"/>
        <v/>
      </c>
    </row>
    <row r="1252" spans="11:15" x14ac:dyDescent="0.3">
      <c r="K1252" t="str">
        <f t="shared" si="99"/>
        <v/>
      </c>
      <c r="L1252" t="str">
        <f t="shared" si="95"/>
        <v/>
      </c>
      <c r="M1252" t="str">
        <f t="shared" si="96"/>
        <v/>
      </c>
      <c r="N1252" t="str">
        <f t="shared" si="97"/>
        <v/>
      </c>
      <c r="O1252" t="str">
        <f t="shared" si="98"/>
        <v/>
      </c>
    </row>
    <row r="1253" spans="11:15" x14ac:dyDescent="0.3">
      <c r="K1253" t="str">
        <f t="shared" si="99"/>
        <v/>
      </c>
      <c r="L1253" t="str">
        <f t="shared" si="95"/>
        <v/>
      </c>
      <c r="M1253" t="str">
        <f t="shared" si="96"/>
        <v/>
      </c>
      <c r="N1253" t="str">
        <f t="shared" si="97"/>
        <v/>
      </c>
      <c r="O1253" t="str">
        <f t="shared" si="98"/>
        <v/>
      </c>
    </row>
    <row r="1254" spans="11:15" x14ac:dyDescent="0.3">
      <c r="K1254" t="str">
        <f t="shared" si="99"/>
        <v/>
      </c>
      <c r="L1254" t="str">
        <f t="shared" si="95"/>
        <v/>
      </c>
      <c r="M1254" t="str">
        <f t="shared" si="96"/>
        <v/>
      </c>
      <c r="N1254" t="str">
        <f t="shared" si="97"/>
        <v/>
      </c>
      <c r="O1254" t="str">
        <f t="shared" si="98"/>
        <v/>
      </c>
    </row>
    <row r="1255" spans="11:15" x14ac:dyDescent="0.3">
      <c r="K1255" t="str">
        <f t="shared" si="99"/>
        <v/>
      </c>
      <c r="L1255" t="str">
        <f t="shared" si="95"/>
        <v/>
      </c>
      <c r="M1255" t="str">
        <f t="shared" si="96"/>
        <v/>
      </c>
      <c r="N1255" t="str">
        <f t="shared" si="97"/>
        <v/>
      </c>
      <c r="O1255" t="str">
        <f t="shared" si="98"/>
        <v/>
      </c>
    </row>
    <row r="1256" spans="11:15" x14ac:dyDescent="0.3">
      <c r="K1256" t="str">
        <f t="shared" si="99"/>
        <v/>
      </c>
      <c r="L1256" t="str">
        <f t="shared" si="95"/>
        <v/>
      </c>
      <c r="M1256" t="str">
        <f t="shared" si="96"/>
        <v/>
      </c>
      <c r="N1256" t="str">
        <f t="shared" si="97"/>
        <v/>
      </c>
      <c r="O1256" t="str">
        <f t="shared" si="98"/>
        <v/>
      </c>
    </row>
    <row r="1257" spans="11:15" x14ac:dyDescent="0.3">
      <c r="K1257" t="str">
        <f t="shared" si="99"/>
        <v/>
      </c>
      <c r="L1257" t="str">
        <f t="shared" si="95"/>
        <v/>
      </c>
      <c r="M1257" t="str">
        <f t="shared" si="96"/>
        <v/>
      </c>
      <c r="N1257" t="str">
        <f t="shared" si="97"/>
        <v/>
      </c>
      <c r="O1257" t="str">
        <f t="shared" si="98"/>
        <v/>
      </c>
    </row>
    <row r="1258" spans="11:15" x14ac:dyDescent="0.3">
      <c r="K1258" t="str">
        <f t="shared" si="99"/>
        <v/>
      </c>
      <c r="L1258" t="str">
        <f t="shared" si="95"/>
        <v/>
      </c>
      <c r="M1258" t="str">
        <f t="shared" si="96"/>
        <v/>
      </c>
      <c r="N1258" t="str">
        <f t="shared" si="97"/>
        <v/>
      </c>
      <c r="O1258" t="str">
        <f t="shared" si="98"/>
        <v/>
      </c>
    </row>
    <row r="1259" spans="11:15" x14ac:dyDescent="0.3">
      <c r="K1259" t="str">
        <f t="shared" si="99"/>
        <v/>
      </c>
      <c r="L1259" t="str">
        <f t="shared" si="95"/>
        <v/>
      </c>
      <c r="M1259" t="str">
        <f t="shared" si="96"/>
        <v/>
      </c>
      <c r="N1259" t="str">
        <f t="shared" si="97"/>
        <v/>
      </c>
      <c r="O1259" t="str">
        <f t="shared" si="98"/>
        <v/>
      </c>
    </row>
    <row r="1260" spans="11:15" x14ac:dyDescent="0.3">
      <c r="K1260" t="str">
        <f t="shared" si="99"/>
        <v/>
      </c>
      <c r="L1260" t="str">
        <f t="shared" si="95"/>
        <v/>
      </c>
      <c r="M1260" t="str">
        <f t="shared" si="96"/>
        <v/>
      </c>
      <c r="N1260" t="str">
        <f t="shared" si="97"/>
        <v/>
      </c>
      <c r="O1260" t="str">
        <f t="shared" si="98"/>
        <v/>
      </c>
    </row>
    <row r="1261" spans="11:15" x14ac:dyDescent="0.3">
      <c r="K1261" t="str">
        <f t="shared" si="99"/>
        <v/>
      </c>
      <c r="L1261" t="str">
        <f t="shared" si="95"/>
        <v/>
      </c>
      <c r="M1261" t="str">
        <f t="shared" si="96"/>
        <v/>
      </c>
      <c r="N1261" t="str">
        <f t="shared" si="97"/>
        <v/>
      </c>
      <c r="O1261" t="str">
        <f t="shared" si="98"/>
        <v/>
      </c>
    </row>
    <row r="1262" spans="11:15" x14ac:dyDescent="0.3">
      <c r="K1262" t="str">
        <f t="shared" si="99"/>
        <v/>
      </c>
      <c r="L1262" t="str">
        <f t="shared" si="95"/>
        <v/>
      </c>
      <c r="M1262" t="str">
        <f t="shared" si="96"/>
        <v/>
      </c>
      <c r="N1262" t="str">
        <f t="shared" si="97"/>
        <v/>
      </c>
      <c r="O1262" t="str">
        <f t="shared" si="98"/>
        <v/>
      </c>
    </row>
    <row r="1263" spans="11:15" x14ac:dyDescent="0.3">
      <c r="K1263" t="str">
        <f t="shared" si="99"/>
        <v/>
      </c>
      <c r="L1263" t="str">
        <f t="shared" si="95"/>
        <v/>
      </c>
      <c r="M1263" t="str">
        <f t="shared" si="96"/>
        <v/>
      </c>
      <c r="N1263" t="str">
        <f t="shared" si="97"/>
        <v/>
      </c>
      <c r="O1263" t="str">
        <f t="shared" si="98"/>
        <v/>
      </c>
    </row>
    <row r="1264" spans="11:15" x14ac:dyDescent="0.3">
      <c r="K1264" t="str">
        <f t="shared" si="99"/>
        <v/>
      </c>
      <c r="L1264" t="str">
        <f t="shared" si="95"/>
        <v/>
      </c>
      <c r="M1264" t="str">
        <f t="shared" si="96"/>
        <v/>
      </c>
      <c r="N1264" t="str">
        <f t="shared" si="97"/>
        <v/>
      </c>
      <c r="O1264" t="str">
        <f t="shared" si="98"/>
        <v/>
      </c>
    </row>
    <row r="1265" spans="11:15" x14ac:dyDescent="0.3">
      <c r="K1265" t="str">
        <f t="shared" si="99"/>
        <v/>
      </c>
      <c r="L1265" t="str">
        <f t="shared" si="95"/>
        <v/>
      </c>
      <c r="M1265" t="str">
        <f t="shared" si="96"/>
        <v/>
      </c>
      <c r="N1265" t="str">
        <f t="shared" si="97"/>
        <v/>
      </c>
      <c r="O1265" t="str">
        <f t="shared" si="98"/>
        <v/>
      </c>
    </row>
    <row r="1266" spans="11:15" x14ac:dyDescent="0.3">
      <c r="K1266" t="str">
        <f t="shared" si="99"/>
        <v/>
      </c>
      <c r="L1266" t="str">
        <f t="shared" si="95"/>
        <v/>
      </c>
      <c r="M1266" t="str">
        <f t="shared" si="96"/>
        <v/>
      </c>
      <c r="N1266" t="str">
        <f t="shared" si="97"/>
        <v/>
      </c>
      <c r="O1266" t="str">
        <f t="shared" si="98"/>
        <v/>
      </c>
    </row>
    <row r="1267" spans="11:15" x14ac:dyDescent="0.3">
      <c r="K1267" t="str">
        <f t="shared" si="99"/>
        <v/>
      </c>
      <c r="L1267" t="str">
        <f t="shared" si="95"/>
        <v/>
      </c>
      <c r="M1267" t="str">
        <f t="shared" si="96"/>
        <v/>
      </c>
      <c r="N1267" t="str">
        <f t="shared" si="97"/>
        <v/>
      </c>
      <c r="O1267" t="str">
        <f t="shared" si="98"/>
        <v/>
      </c>
    </row>
    <row r="1268" spans="11:15" x14ac:dyDescent="0.3">
      <c r="K1268" t="str">
        <f t="shared" si="99"/>
        <v/>
      </c>
      <c r="L1268" t="str">
        <f t="shared" si="95"/>
        <v/>
      </c>
      <c r="M1268" t="str">
        <f t="shared" si="96"/>
        <v/>
      </c>
      <c r="N1268" t="str">
        <f t="shared" si="97"/>
        <v/>
      </c>
      <c r="O1268" t="str">
        <f t="shared" si="98"/>
        <v/>
      </c>
    </row>
    <row r="1269" spans="11:15" x14ac:dyDescent="0.3">
      <c r="K1269" t="str">
        <f t="shared" si="99"/>
        <v/>
      </c>
      <c r="L1269" t="str">
        <f t="shared" si="95"/>
        <v/>
      </c>
      <c r="M1269" t="str">
        <f t="shared" si="96"/>
        <v/>
      </c>
      <c r="N1269" t="str">
        <f t="shared" si="97"/>
        <v/>
      </c>
      <c r="O1269" t="str">
        <f t="shared" si="98"/>
        <v/>
      </c>
    </row>
    <row r="1270" spans="11:15" x14ac:dyDescent="0.3">
      <c r="K1270" t="str">
        <f t="shared" si="99"/>
        <v/>
      </c>
      <c r="L1270" t="str">
        <f t="shared" si="95"/>
        <v/>
      </c>
      <c r="M1270" t="str">
        <f t="shared" si="96"/>
        <v/>
      </c>
      <c r="N1270" t="str">
        <f t="shared" si="97"/>
        <v/>
      </c>
      <c r="O1270" t="str">
        <f t="shared" si="98"/>
        <v/>
      </c>
    </row>
    <row r="1271" spans="11:15" x14ac:dyDescent="0.3">
      <c r="K1271" t="str">
        <f t="shared" si="99"/>
        <v/>
      </c>
      <c r="L1271" t="str">
        <f t="shared" si="95"/>
        <v/>
      </c>
      <c r="M1271" t="str">
        <f t="shared" si="96"/>
        <v/>
      </c>
      <c r="N1271" t="str">
        <f t="shared" si="97"/>
        <v/>
      </c>
      <c r="O1271" t="str">
        <f t="shared" si="98"/>
        <v/>
      </c>
    </row>
    <row r="1272" spans="11:15" x14ac:dyDescent="0.3">
      <c r="K1272" t="str">
        <f t="shared" si="99"/>
        <v/>
      </c>
      <c r="L1272" t="str">
        <f t="shared" si="95"/>
        <v/>
      </c>
      <c r="M1272" t="str">
        <f t="shared" si="96"/>
        <v/>
      </c>
      <c r="N1272" t="str">
        <f t="shared" si="97"/>
        <v/>
      </c>
      <c r="O1272" t="str">
        <f t="shared" si="98"/>
        <v/>
      </c>
    </row>
    <row r="1273" spans="11:15" x14ac:dyDescent="0.3">
      <c r="K1273" t="str">
        <f t="shared" si="99"/>
        <v/>
      </c>
      <c r="L1273" t="str">
        <f t="shared" si="95"/>
        <v/>
      </c>
      <c r="M1273" t="str">
        <f t="shared" si="96"/>
        <v/>
      </c>
      <c r="N1273" t="str">
        <f t="shared" si="97"/>
        <v/>
      </c>
      <c r="O1273" t="str">
        <f t="shared" si="98"/>
        <v/>
      </c>
    </row>
    <row r="1274" spans="11:15" x14ac:dyDescent="0.3">
      <c r="K1274" t="str">
        <f t="shared" si="99"/>
        <v/>
      </c>
      <c r="L1274" t="str">
        <f t="shared" si="95"/>
        <v/>
      </c>
      <c r="M1274" t="str">
        <f t="shared" si="96"/>
        <v/>
      </c>
      <c r="N1274" t="str">
        <f t="shared" si="97"/>
        <v/>
      </c>
      <c r="O1274" t="str">
        <f t="shared" si="98"/>
        <v/>
      </c>
    </row>
    <row r="1275" spans="11:15" x14ac:dyDescent="0.3">
      <c r="K1275" t="str">
        <f t="shared" si="99"/>
        <v/>
      </c>
      <c r="L1275" t="str">
        <f t="shared" si="95"/>
        <v/>
      </c>
      <c r="M1275" t="str">
        <f t="shared" si="96"/>
        <v/>
      </c>
      <c r="N1275" t="str">
        <f t="shared" si="97"/>
        <v/>
      </c>
      <c r="O1275" t="str">
        <f t="shared" si="98"/>
        <v/>
      </c>
    </row>
    <row r="1276" spans="11:15" x14ac:dyDescent="0.3">
      <c r="K1276" t="str">
        <f t="shared" si="99"/>
        <v/>
      </c>
      <c r="L1276" t="str">
        <f t="shared" si="95"/>
        <v/>
      </c>
      <c r="M1276" t="str">
        <f t="shared" si="96"/>
        <v/>
      </c>
      <c r="N1276" t="str">
        <f t="shared" si="97"/>
        <v/>
      </c>
      <c r="O1276" t="str">
        <f t="shared" si="98"/>
        <v/>
      </c>
    </row>
    <row r="1277" spans="11:15" x14ac:dyDescent="0.3">
      <c r="K1277" t="str">
        <f t="shared" si="99"/>
        <v/>
      </c>
      <c r="L1277" t="str">
        <f t="shared" si="95"/>
        <v/>
      </c>
      <c r="M1277" t="str">
        <f t="shared" si="96"/>
        <v/>
      </c>
      <c r="N1277" t="str">
        <f t="shared" si="97"/>
        <v/>
      </c>
      <c r="O1277" t="str">
        <f t="shared" si="98"/>
        <v/>
      </c>
    </row>
    <row r="1278" spans="11:15" x14ac:dyDescent="0.3">
      <c r="K1278" t="str">
        <f t="shared" si="99"/>
        <v/>
      </c>
      <c r="L1278" t="str">
        <f t="shared" si="95"/>
        <v/>
      </c>
      <c r="M1278" t="str">
        <f t="shared" si="96"/>
        <v/>
      </c>
      <c r="N1278" t="str">
        <f t="shared" si="97"/>
        <v/>
      </c>
      <c r="O1278" t="str">
        <f t="shared" si="98"/>
        <v/>
      </c>
    </row>
    <row r="1279" spans="11:15" x14ac:dyDescent="0.3">
      <c r="K1279" t="str">
        <f t="shared" si="99"/>
        <v/>
      </c>
      <c r="L1279" t="str">
        <f t="shared" si="95"/>
        <v/>
      </c>
      <c r="M1279" t="str">
        <f t="shared" si="96"/>
        <v/>
      </c>
      <c r="N1279" t="str">
        <f t="shared" si="97"/>
        <v/>
      </c>
      <c r="O1279" t="str">
        <f t="shared" si="98"/>
        <v/>
      </c>
    </row>
    <row r="1280" spans="11:15" x14ac:dyDescent="0.3">
      <c r="K1280" t="str">
        <f t="shared" si="99"/>
        <v/>
      </c>
      <c r="L1280" t="str">
        <f t="shared" si="95"/>
        <v/>
      </c>
      <c r="M1280" t="str">
        <f t="shared" si="96"/>
        <v/>
      </c>
      <c r="N1280" t="str">
        <f t="shared" si="97"/>
        <v/>
      </c>
      <c r="O1280" t="str">
        <f t="shared" si="98"/>
        <v/>
      </c>
    </row>
    <row r="1281" spans="11:15" x14ac:dyDescent="0.3">
      <c r="K1281" t="str">
        <f t="shared" si="99"/>
        <v/>
      </c>
      <c r="L1281" t="str">
        <f t="shared" ref="L1281:L1344" si="100">IF(A1281="","",IF(ISNUMBER(--LEFT(A1281,FIND(" - ",A1281&amp;" - ")-1)),LEFT(A1281,FIND(" - ",A1281&amp;" - ")-1),TRIM(A1281)))</f>
        <v/>
      </c>
      <c r="M1281" t="str">
        <f t="shared" ref="M1281:M1344" si="101">IF(OR(K1281="",K1281=A1281,A1281=""),"",K1281&amp;"|"&amp;L1281)</f>
        <v/>
      </c>
      <c r="N1281" t="str">
        <f t="shared" ref="N1281:N1344" si="102">IF(M1281="","",IF(ISNUMBER(B1281),B1281,IFERROR(_xlfn.NUMBERVALUE(B1281,".",","),0)))</f>
        <v/>
      </c>
      <c r="O1281" t="str">
        <f t="shared" ref="O1281:O1344" si="103">IF(M1281="","",IF(ISNUMBER(C1281),C1281,IFERROR(_xlfn.NUMBERVALUE(C1281,".",","),0)))</f>
        <v/>
      </c>
    </row>
    <row r="1282" spans="11:15" x14ac:dyDescent="0.3">
      <c r="K1282" t="str">
        <f t="shared" ref="K1282:K1345" si="104">IF(OR(LEFT(B1282,9)="DOANH THU",LEFT(B1282,8)="SỐ LƯỢNG"),A1282,K1281)</f>
        <v/>
      </c>
      <c r="L1282" t="str">
        <f t="shared" si="100"/>
        <v/>
      </c>
      <c r="M1282" t="str">
        <f t="shared" si="101"/>
        <v/>
      </c>
      <c r="N1282" t="str">
        <f t="shared" si="102"/>
        <v/>
      </c>
      <c r="O1282" t="str">
        <f t="shared" si="103"/>
        <v/>
      </c>
    </row>
    <row r="1283" spans="11:15" x14ac:dyDescent="0.3">
      <c r="K1283" t="str">
        <f t="shared" si="104"/>
        <v/>
      </c>
      <c r="L1283" t="str">
        <f t="shared" si="100"/>
        <v/>
      </c>
      <c r="M1283" t="str">
        <f t="shared" si="101"/>
        <v/>
      </c>
      <c r="N1283" t="str">
        <f t="shared" si="102"/>
        <v/>
      </c>
      <c r="O1283" t="str">
        <f t="shared" si="103"/>
        <v/>
      </c>
    </row>
    <row r="1284" spans="11:15" x14ac:dyDescent="0.3">
      <c r="K1284" t="str">
        <f t="shared" si="104"/>
        <v/>
      </c>
      <c r="L1284" t="str">
        <f t="shared" si="100"/>
        <v/>
      </c>
      <c r="M1284" t="str">
        <f t="shared" si="101"/>
        <v/>
      </c>
      <c r="N1284" t="str">
        <f t="shared" si="102"/>
        <v/>
      </c>
      <c r="O1284" t="str">
        <f t="shared" si="103"/>
        <v/>
      </c>
    </row>
    <row r="1285" spans="11:15" x14ac:dyDescent="0.3">
      <c r="K1285" t="str">
        <f t="shared" si="104"/>
        <v/>
      </c>
      <c r="L1285" t="str">
        <f t="shared" si="100"/>
        <v/>
      </c>
      <c r="M1285" t="str">
        <f t="shared" si="101"/>
        <v/>
      </c>
      <c r="N1285" t="str">
        <f t="shared" si="102"/>
        <v/>
      </c>
      <c r="O1285" t="str">
        <f t="shared" si="103"/>
        <v/>
      </c>
    </row>
    <row r="1286" spans="11:15" x14ac:dyDescent="0.3">
      <c r="K1286" t="str">
        <f t="shared" si="104"/>
        <v/>
      </c>
      <c r="L1286" t="str">
        <f t="shared" si="100"/>
        <v/>
      </c>
      <c r="M1286" t="str">
        <f t="shared" si="101"/>
        <v/>
      </c>
      <c r="N1286" t="str">
        <f t="shared" si="102"/>
        <v/>
      </c>
      <c r="O1286" t="str">
        <f t="shared" si="103"/>
        <v/>
      </c>
    </row>
    <row r="1287" spans="11:15" x14ac:dyDescent="0.3">
      <c r="K1287" t="str">
        <f t="shared" si="104"/>
        <v/>
      </c>
      <c r="L1287" t="str">
        <f t="shared" si="100"/>
        <v/>
      </c>
      <c r="M1287" t="str">
        <f t="shared" si="101"/>
        <v/>
      </c>
      <c r="N1287" t="str">
        <f t="shared" si="102"/>
        <v/>
      </c>
      <c r="O1287" t="str">
        <f t="shared" si="103"/>
        <v/>
      </c>
    </row>
    <row r="1288" spans="11:15" x14ac:dyDescent="0.3">
      <c r="K1288" t="str">
        <f t="shared" si="104"/>
        <v/>
      </c>
      <c r="L1288" t="str">
        <f t="shared" si="100"/>
        <v/>
      </c>
      <c r="M1288" t="str">
        <f t="shared" si="101"/>
        <v/>
      </c>
      <c r="N1288" t="str">
        <f t="shared" si="102"/>
        <v/>
      </c>
      <c r="O1288" t="str">
        <f t="shared" si="103"/>
        <v/>
      </c>
    </row>
    <row r="1289" spans="11:15" x14ac:dyDescent="0.3">
      <c r="K1289" t="str">
        <f t="shared" si="104"/>
        <v/>
      </c>
      <c r="L1289" t="str">
        <f t="shared" si="100"/>
        <v/>
      </c>
      <c r="M1289" t="str">
        <f t="shared" si="101"/>
        <v/>
      </c>
      <c r="N1289" t="str">
        <f t="shared" si="102"/>
        <v/>
      </c>
      <c r="O1289" t="str">
        <f t="shared" si="103"/>
        <v/>
      </c>
    </row>
    <row r="1290" spans="11:15" x14ac:dyDescent="0.3">
      <c r="K1290" t="str">
        <f t="shared" si="104"/>
        <v/>
      </c>
      <c r="L1290" t="str">
        <f t="shared" si="100"/>
        <v/>
      </c>
      <c r="M1290" t="str">
        <f t="shared" si="101"/>
        <v/>
      </c>
      <c r="N1290" t="str">
        <f t="shared" si="102"/>
        <v/>
      </c>
      <c r="O1290" t="str">
        <f t="shared" si="103"/>
        <v/>
      </c>
    </row>
    <row r="1291" spans="11:15" x14ac:dyDescent="0.3">
      <c r="K1291" t="str">
        <f t="shared" si="104"/>
        <v/>
      </c>
      <c r="L1291" t="str">
        <f t="shared" si="100"/>
        <v/>
      </c>
      <c r="M1291" t="str">
        <f t="shared" si="101"/>
        <v/>
      </c>
      <c r="N1291" t="str">
        <f t="shared" si="102"/>
        <v/>
      </c>
      <c r="O1291" t="str">
        <f t="shared" si="103"/>
        <v/>
      </c>
    </row>
    <row r="1292" spans="11:15" x14ac:dyDescent="0.3">
      <c r="K1292" t="str">
        <f t="shared" si="104"/>
        <v/>
      </c>
      <c r="L1292" t="str">
        <f t="shared" si="100"/>
        <v/>
      </c>
      <c r="M1292" t="str">
        <f t="shared" si="101"/>
        <v/>
      </c>
      <c r="N1292" t="str">
        <f t="shared" si="102"/>
        <v/>
      </c>
      <c r="O1292" t="str">
        <f t="shared" si="103"/>
        <v/>
      </c>
    </row>
    <row r="1293" spans="11:15" x14ac:dyDescent="0.3">
      <c r="K1293" t="str">
        <f t="shared" si="104"/>
        <v/>
      </c>
      <c r="L1293" t="str">
        <f t="shared" si="100"/>
        <v/>
      </c>
      <c r="M1293" t="str">
        <f t="shared" si="101"/>
        <v/>
      </c>
      <c r="N1293" t="str">
        <f t="shared" si="102"/>
        <v/>
      </c>
      <c r="O1293" t="str">
        <f t="shared" si="103"/>
        <v/>
      </c>
    </row>
    <row r="1294" spans="11:15" x14ac:dyDescent="0.3">
      <c r="K1294" t="str">
        <f t="shared" si="104"/>
        <v/>
      </c>
      <c r="L1294" t="str">
        <f t="shared" si="100"/>
        <v/>
      </c>
      <c r="M1294" t="str">
        <f t="shared" si="101"/>
        <v/>
      </c>
      <c r="N1294" t="str">
        <f t="shared" si="102"/>
        <v/>
      </c>
      <c r="O1294" t="str">
        <f t="shared" si="103"/>
        <v/>
      </c>
    </row>
    <row r="1295" spans="11:15" x14ac:dyDescent="0.3">
      <c r="K1295" t="str">
        <f t="shared" si="104"/>
        <v/>
      </c>
      <c r="L1295" t="str">
        <f t="shared" si="100"/>
        <v/>
      </c>
      <c r="M1295" t="str">
        <f t="shared" si="101"/>
        <v/>
      </c>
      <c r="N1295" t="str">
        <f t="shared" si="102"/>
        <v/>
      </c>
      <c r="O1295" t="str">
        <f t="shared" si="103"/>
        <v/>
      </c>
    </row>
    <row r="1296" spans="11:15" x14ac:dyDescent="0.3">
      <c r="K1296" t="str">
        <f t="shared" si="104"/>
        <v/>
      </c>
      <c r="L1296" t="str">
        <f t="shared" si="100"/>
        <v/>
      </c>
      <c r="M1296" t="str">
        <f t="shared" si="101"/>
        <v/>
      </c>
      <c r="N1296" t="str">
        <f t="shared" si="102"/>
        <v/>
      </c>
      <c r="O1296" t="str">
        <f t="shared" si="103"/>
        <v/>
      </c>
    </row>
    <row r="1297" spans="11:15" x14ac:dyDescent="0.3">
      <c r="K1297" t="str">
        <f t="shared" si="104"/>
        <v/>
      </c>
      <c r="L1297" t="str">
        <f t="shared" si="100"/>
        <v/>
      </c>
      <c r="M1297" t="str">
        <f t="shared" si="101"/>
        <v/>
      </c>
      <c r="N1297" t="str">
        <f t="shared" si="102"/>
        <v/>
      </c>
      <c r="O1297" t="str">
        <f t="shared" si="103"/>
        <v/>
      </c>
    </row>
    <row r="1298" spans="11:15" x14ac:dyDescent="0.3">
      <c r="K1298" t="str">
        <f t="shared" si="104"/>
        <v/>
      </c>
      <c r="L1298" t="str">
        <f t="shared" si="100"/>
        <v/>
      </c>
      <c r="M1298" t="str">
        <f t="shared" si="101"/>
        <v/>
      </c>
      <c r="N1298" t="str">
        <f t="shared" si="102"/>
        <v/>
      </c>
      <c r="O1298" t="str">
        <f t="shared" si="103"/>
        <v/>
      </c>
    </row>
    <row r="1299" spans="11:15" x14ac:dyDescent="0.3">
      <c r="K1299" t="str">
        <f t="shared" si="104"/>
        <v/>
      </c>
      <c r="L1299" t="str">
        <f t="shared" si="100"/>
        <v/>
      </c>
      <c r="M1299" t="str">
        <f t="shared" si="101"/>
        <v/>
      </c>
      <c r="N1299" t="str">
        <f t="shared" si="102"/>
        <v/>
      </c>
      <c r="O1299" t="str">
        <f t="shared" si="103"/>
        <v/>
      </c>
    </row>
    <row r="1300" spans="11:15" x14ac:dyDescent="0.3">
      <c r="K1300" t="str">
        <f t="shared" si="104"/>
        <v/>
      </c>
      <c r="L1300" t="str">
        <f t="shared" si="100"/>
        <v/>
      </c>
      <c r="M1300" t="str">
        <f t="shared" si="101"/>
        <v/>
      </c>
      <c r="N1300" t="str">
        <f t="shared" si="102"/>
        <v/>
      </c>
      <c r="O1300" t="str">
        <f t="shared" si="103"/>
        <v/>
      </c>
    </row>
    <row r="1301" spans="11:15" x14ac:dyDescent="0.3">
      <c r="K1301" t="str">
        <f t="shared" si="104"/>
        <v/>
      </c>
      <c r="L1301" t="str">
        <f t="shared" si="100"/>
        <v/>
      </c>
      <c r="M1301" t="str">
        <f t="shared" si="101"/>
        <v/>
      </c>
      <c r="N1301" t="str">
        <f t="shared" si="102"/>
        <v/>
      </c>
      <c r="O1301" t="str">
        <f t="shared" si="103"/>
        <v/>
      </c>
    </row>
    <row r="1302" spans="11:15" x14ac:dyDescent="0.3">
      <c r="K1302" t="str">
        <f t="shared" si="104"/>
        <v/>
      </c>
      <c r="L1302" t="str">
        <f t="shared" si="100"/>
        <v/>
      </c>
      <c r="M1302" t="str">
        <f t="shared" si="101"/>
        <v/>
      </c>
      <c r="N1302" t="str">
        <f t="shared" si="102"/>
        <v/>
      </c>
      <c r="O1302" t="str">
        <f t="shared" si="103"/>
        <v/>
      </c>
    </row>
    <row r="1303" spans="11:15" x14ac:dyDescent="0.3">
      <c r="K1303" t="str">
        <f t="shared" si="104"/>
        <v/>
      </c>
      <c r="L1303" t="str">
        <f t="shared" si="100"/>
        <v/>
      </c>
      <c r="M1303" t="str">
        <f t="shared" si="101"/>
        <v/>
      </c>
      <c r="N1303" t="str">
        <f t="shared" si="102"/>
        <v/>
      </c>
      <c r="O1303" t="str">
        <f t="shared" si="103"/>
        <v/>
      </c>
    </row>
    <row r="1304" spans="11:15" x14ac:dyDescent="0.3">
      <c r="K1304" t="str">
        <f t="shared" si="104"/>
        <v/>
      </c>
      <c r="L1304" t="str">
        <f t="shared" si="100"/>
        <v/>
      </c>
      <c r="M1304" t="str">
        <f t="shared" si="101"/>
        <v/>
      </c>
      <c r="N1304" t="str">
        <f t="shared" si="102"/>
        <v/>
      </c>
      <c r="O1304" t="str">
        <f t="shared" si="103"/>
        <v/>
      </c>
    </row>
    <row r="1305" spans="11:15" x14ac:dyDescent="0.3">
      <c r="K1305" t="str">
        <f t="shared" si="104"/>
        <v/>
      </c>
      <c r="L1305" t="str">
        <f t="shared" si="100"/>
        <v/>
      </c>
      <c r="M1305" t="str">
        <f t="shared" si="101"/>
        <v/>
      </c>
      <c r="N1305" t="str">
        <f t="shared" si="102"/>
        <v/>
      </c>
      <c r="O1305" t="str">
        <f t="shared" si="103"/>
        <v/>
      </c>
    </row>
    <row r="1306" spans="11:15" x14ac:dyDescent="0.3">
      <c r="K1306" t="str">
        <f t="shared" si="104"/>
        <v/>
      </c>
      <c r="L1306" t="str">
        <f t="shared" si="100"/>
        <v/>
      </c>
      <c r="M1306" t="str">
        <f t="shared" si="101"/>
        <v/>
      </c>
      <c r="N1306" t="str">
        <f t="shared" si="102"/>
        <v/>
      </c>
      <c r="O1306" t="str">
        <f t="shared" si="103"/>
        <v/>
      </c>
    </row>
    <row r="1307" spans="11:15" x14ac:dyDescent="0.3">
      <c r="K1307" t="str">
        <f t="shared" si="104"/>
        <v/>
      </c>
      <c r="L1307" t="str">
        <f t="shared" si="100"/>
        <v/>
      </c>
      <c r="M1307" t="str">
        <f t="shared" si="101"/>
        <v/>
      </c>
      <c r="N1307" t="str">
        <f t="shared" si="102"/>
        <v/>
      </c>
      <c r="O1307" t="str">
        <f t="shared" si="103"/>
        <v/>
      </c>
    </row>
    <row r="1308" spans="11:15" x14ac:dyDescent="0.3">
      <c r="K1308" t="str">
        <f t="shared" si="104"/>
        <v/>
      </c>
      <c r="L1308" t="str">
        <f t="shared" si="100"/>
        <v/>
      </c>
      <c r="M1308" t="str">
        <f t="shared" si="101"/>
        <v/>
      </c>
      <c r="N1308" t="str">
        <f t="shared" si="102"/>
        <v/>
      </c>
      <c r="O1308" t="str">
        <f t="shared" si="103"/>
        <v/>
      </c>
    </row>
    <row r="1309" spans="11:15" x14ac:dyDescent="0.3">
      <c r="K1309" t="str">
        <f t="shared" si="104"/>
        <v/>
      </c>
      <c r="L1309" t="str">
        <f t="shared" si="100"/>
        <v/>
      </c>
      <c r="M1309" t="str">
        <f t="shared" si="101"/>
        <v/>
      </c>
      <c r="N1309" t="str">
        <f t="shared" si="102"/>
        <v/>
      </c>
      <c r="O1309" t="str">
        <f t="shared" si="103"/>
        <v/>
      </c>
    </row>
    <row r="1310" spans="11:15" x14ac:dyDescent="0.3">
      <c r="K1310" t="str">
        <f t="shared" si="104"/>
        <v/>
      </c>
      <c r="L1310" t="str">
        <f t="shared" si="100"/>
        <v/>
      </c>
      <c r="M1310" t="str">
        <f t="shared" si="101"/>
        <v/>
      </c>
      <c r="N1310" t="str">
        <f t="shared" si="102"/>
        <v/>
      </c>
      <c r="O1310" t="str">
        <f t="shared" si="103"/>
        <v/>
      </c>
    </row>
    <row r="1311" spans="11:15" x14ac:dyDescent="0.3">
      <c r="K1311" t="str">
        <f t="shared" si="104"/>
        <v/>
      </c>
      <c r="L1311" t="str">
        <f t="shared" si="100"/>
        <v/>
      </c>
      <c r="M1311" t="str">
        <f t="shared" si="101"/>
        <v/>
      </c>
      <c r="N1311" t="str">
        <f t="shared" si="102"/>
        <v/>
      </c>
      <c r="O1311" t="str">
        <f t="shared" si="103"/>
        <v/>
      </c>
    </row>
    <row r="1312" spans="11:15" x14ac:dyDescent="0.3">
      <c r="K1312" t="str">
        <f t="shared" si="104"/>
        <v/>
      </c>
      <c r="L1312" t="str">
        <f t="shared" si="100"/>
        <v/>
      </c>
      <c r="M1312" t="str">
        <f t="shared" si="101"/>
        <v/>
      </c>
      <c r="N1312" t="str">
        <f t="shared" si="102"/>
        <v/>
      </c>
      <c r="O1312" t="str">
        <f t="shared" si="103"/>
        <v/>
      </c>
    </row>
    <row r="1313" spans="11:15" x14ac:dyDescent="0.3">
      <c r="K1313" t="str">
        <f t="shared" si="104"/>
        <v/>
      </c>
      <c r="L1313" t="str">
        <f t="shared" si="100"/>
        <v/>
      </c>
      <c r="M1313" t="str">
        <f t="shared" si="101"/>
        <v/>
      </c>
      <c r="N1313" t="str">
        <f t="shared" si="102"/>
        <v/>
      </c>
      <c r="O1313" t="str">
        <f t="shared" si="103"/>
        <v/>
      </c>
    </row>
    <row r="1314" spans="11:15" x14ac:dyDescent="0.3">
      <c r="K1314" t="str">
        <f t="shared" si="104"/>
        <v/>
      </c>
      <c r="L1314" t="str">
        <f t="shared" si="100"/>
        <v/>
      </c>
      <c r="M1314" t="str">
        <f t="shared" si="101"/>
        <v/>
      </c>
      <c r="N1314" t="str">
        <f t="shared" si="102"/>
        <v/>
      </c>
      <c r="O1314" t="str">
        <f t="shared" si="103"/>
        <v/>
      </c>
    </row>
    <row r="1315" spans="11:15" x14ac:dyDescent="0.3">
      <c r="K1315" t="str">
        <f t="shared" si="104"/>
        <v/>
      </c>
      <c r="L1315" t="str">
        <f t="shared" si="100"/>
        <v/>
      </c>
      <c r="M1315" t="str">
        <f t="shared" si="101"/>
        <v/>
      </c>
      <c r="N1315" t="str">
        <f t="shared" si="102"/>
        <v/>
      </c>
      <c r="O1315" t="str">
        <f t="shared" si="103"/>
        <v/>
      </c>
    </row>
    <row r="1316" spans="11:15" x14ac:dyDescent="0.3">
      <c r="K1316" t="str">
        <f t="shared" si="104"/>
        <v/>
      </c>
      <c r="L1316" t="str">
        <f t="shared" si="100"/>
        <v/>
      </c>
      <c r="M1316" t="str">
        <f t="shared" si="101"/>
        <v/>
      </c>
      <c r="N1316" t="str">
        <f t="shared" si="102"/>
        <v/>
      </c>
      <c r="O1316" t="str">
        <f t="shared" si="103"/>
        <v/>
      </c>
    </row>
    <row r="1317" spans="11:15" x14ac:dyDescent="0.3">
      <c r="K1317" t="str">
        <f t="shared" si="104"/>
        <v/>
      </c>
      <c r="L1317" t="str">
        <f t="shared" si="100"/>
        <v/>
      </c>
      <c r="M1317" t="str">
        <f t="shared" si="101"/>
        <v/>
      </c>
      <c r="N1317" t="str">
        <f t="shared" si="102"/>
        <v/>
      </c>
      <c r="O1317" t="str">
        <f t="shared" si="103"/>
        <v/>
      </c>
    </row>
    <row r="1318" spans="11:15" x14ac:dyDescent="0.3">
      <c r="K1318" t="str">
        <f t="shared" si="104"/>
        <v/>
      </c>
      <c r="L1318" t="str">
        <f t="shared" si="100"/>
        <v/>
      </c>
      <c r="M1318" t="str">
        <f t="shared" si="101"/>
        <v/>
      </c>
      <c r="N1318" t="str">
        <f t="shared" si="102"/>
        <v/>
      </c>
      <c r="O1318" t="str">
        <f t="shared" si="103"/>
        <v/>
      </c>
    </row>
    <row r="1319" spans="11:15" x14ac:dyDescent="0.3">
      <c r="K1319" t="str">
        <f t="shared" si="104"/>
        <v/>
      </c>
      <c r="L1319" t="str">
        <f t="shared" si="100"/>
        <v/>
      </c>
      <c r="M1319" t="str">
        <f t="shared" si="101"/>
        <v/>
      </c>
      <c r="N1319" t="str">
        <f t="shared" si="102"/>
        <v/>
      </c>
      <c r="O1319" t="str">
        <f t="shared" si="103"/>
        <v/>
      </c>
    </row>
    <row r="1320" spans="11:15" x14ac:dyDescent="0.3">
      <c r="K1320" t="str">
        <f t="shared" si="104"/>
        <v/>
      </c>
      <c r="L1320" t="str">
        <f t="shared" si="100"/>
        <v/>
      </c>
      <c r="M1320" t="str">
        <f t="shared" si="101"/>
        <v/>
      </c>
      <c r="N1320" t="str">
        <f t="shared" si="102"/>
        <v/>
      </c>
      <c r="O1320" t="str">
        <f t="shared" si="103"/>
        <v/>
      </c>
    </row>
    <row r="1321" spans="11:15" x14ac:dyDescent="0.3">
      <c r="K1321" t="str">
        <f t="shared" si="104"/>
        <v/>
      </c>
      <c r="L1321" t="str">
        <f t="shared" si="100"/>
        <v/>
      </c>
      <c r="M1321" t="str">
        <f t="shared" si="101"/>
        <v/>
      </c>
      <c r="N1321" t="str">
        <f t="shared" si="102"/>
        <v/>
      </c>
      <c r="O1321" t="str">
        <f t="shared" si="103"/>
        <v/>
      </c>
    </row>
    <row r="1322" spans="11:15" x14ac:dyDescent="0.3">
      <c r="K1322" t="str">
        <f t="shared" si="104"/>
        <v/>
      </c>
      <c r="L1322" t="str">
        <f t="shared" si="100"/>
        <v/>
      </c>
      <c r="M1322" t="str">
        <f t="shared" si="101"/>
        <v/>
      </c>
      <c r="N1322" t="str">
        <f t="shared" si="102"/>
        <v/>
      </c>
      <c r="O1322" t="str">
        <f t="shared" si="103"/>
        <v/>
      </c>
    </row>
    <row r="1323" spans="11:15" x14ac:dyDescent="0.3">
      <c r="K1323" t="str">
        <f t="shared" si="104"/>
        <v/>
      </c>
      <c r="L1323" t="str">
        <f t="shared" si="100"/>
        <v/>
      </c>
      <c r="M1323" t="str">
        <f t="shared" si="101"/>
        <v/>
      </c>
      <c r="N1323" t="str">
        <f t="shared" si="102"/>
        <v/>
      </c>
      <c r="O1323" t="str">
        <f t="shared" si="103"/>
        <v/>
      </c>
    </row>
    <row r="1324" spans="11:15" x14ac:dyDescent="0.3">
      <c r="K1324" t="str">
        <f t="shared" si="104"/>
        <v/>
      </c>
      <c r="L1324" t="str">
        <f t="shared" si="100"/>
        <v/>
      </c>
      <c r="M1324" t="str">
        <f t="shared" si="101"/>
        <v/>
      </c>
      <c r="N1324" t="str">
        <f t="shared" si="102"/>
        <v/>
      </c>
      <c r="O1324" t="str">
        <f t="shared" si="103"/>
        <v/>
      </c>
    </row>
    <row r="1325" spans="11:15" x14ac:dyDescent="0.3">
      <c r="K1325" t="str">
        <f t="shared" si="104"/>
        <v/>
      </c>
      <c r="L1325" t="str">
        <f t="shared" si="100"/>
        <v/>
      </c>
      <c r="M1325" t="str">
        <f t="shared" si="101"/>
        <v/>
      </c>
      <c r="N1325" t="str">
        <f t="shared" si="102"/>
        <v/>
      </c>
      <c r="O1325" t="str">
        <f t="shared" si="103"/>
        <v/>
      </c>
    </row>
    <row r="1326" spans="11:15" x14ac:dyDescent="0.3">
      <c r="K1326" t="str">
        <f t="shared" si="104"/>
        <v/>
      </c>
      <c r="L1326" t="str">
        <f t="shared" si="100"/>
        <v/>
      </c>
      <c r="M1326" t="str">
        <f t="shared" si="101"/>
        <v/>
      </c>
      <c r="N1326" t="str">
        <f t="shared" si="102"/>
        <v/>
      </c>
      <c r="O1326" t="str">
        <f t="shared" si="103"/>
        <v/>
      </c>
    </row>
    <row r="1327" spans="11:15" x14ac:dyDescent="0.3">
      <c r="K1327" t="str">
        <f t="shared" si="104"/>
        <v/>
      </c>
      <c r="L1327" t="str">
        <f t="shared" si="100"/>
        <v/>
      </c>
      <c r="M1327" t="str">
        <f t="shared" si="101"/>
        <v/>
      </c>
      <c r="N1327" t="str">
        <f t="shared" si="102"/>
        <v/>
      </c>
      <c r="O1327" t="str">
        <f t="shared" si="103"/>
        <v/>
      </c>
    </row>
    <row r="1328" spans="11:15" x14ac:dyDescent="0.3">
      <c r="K1328" t="str">
        <f t="shared" si="104"/>
        <v/>
      </c>
      <c r="L1328" t="str">
        <f t="shared" si="100"/>
        <v/>
      </c>
      <c r="M1328" t="str">
        <f t="shared" si="101"/>
        <v/>
      </c>
      <c r="N1328" t="str">
        <f t="shared" si="102"/>
        <v/>
      </c>
      <c r="O1328" t="str">
        <f t="shared" si="103"/>
        <v/>
      </c>
    </row>
    <row r="1329" spans="11:15" x14ac:dyDescent="0.3">
      <c r="K1329" t="str">
        <f t="shared" si="104"/>
        <v/>
      </c>
      <c r="L1329" t="str">
        <f t="shared" si="100"/>
        <v/>
      </c>
      <c r="M1329" t="str">
        <f t="shared" si="101"/>
        <v/>
      </c>
      <c r="N1329" t="str">
        <f t="shared" si="102"/>
        <v/>
      </c>
      <c r="O1329" t="str">
        <f t="shared" si="103"/>
        <v/>
      </c>
    </row>
    <row r="1330" spans="11:15" x14ac:dyDescent="0.3">
      <c r="K1330" t="str">
        <f t="shared" si="104"/>
        <v/>
      </c>
      <c r="L1330" t="str">
        <f t="shared" si="100"/>
        <v/>
      </c>
      <c r="M1330" t="str">
        <f t="shared" si="101"/>
        <v/>
      </c>
      <c r="N1330" t="str">
        <f t="shared" si="102"/>
        <v/>
      </c>
      <c r="O1330" t="str">
        <f t="shared" si="103"/>
        <v/>
      </c>
    </row>
    <row r="1331" spans="11:15" x14ac:dyDescent="0.3">
      <c r="K1331" t="str">
        <f t="shared" si="104"/>
        <v/>
      </c>
      <c r="L1331" t="str">
        <f t="shared" si="100"/>
        <v/>
      </c>
      <c r="M1331" t="str">
        <f t="shared" si="101"/>
        <v/>
      </c>
      <c r="N1331" t="str">
        <f t="shared" si="102"/>
        <v/>
      </c>
      <c r="O1331" t="str">
        <f t="shared" si="103"/>
        <v/>
      </c>
    </row>
    <row r="1332" spans="11:15" x14ac:dyDescent="0.3">
      <c r="K1332" t="str">
        <f t="shared" si="104"/>
        <v/>
      </c>
      <c r="L1332" t="str">
        <f t="shared" si="100"/>
        <v/>
      </c>
      <c r="M1332" t="str">
        <f t="shared" si="101"/>
        <v/>
      </c>
      <c r="N1332" t="str">
        <f t="shared" si="102"/>
        <v/>
      </c>
      <c r="O1332" t="str">
        <f t="shared" si="103"/>
        <v/>
      </c>
    </row>
    <row r="1333" spans="11:15" x14ac:dyDescent="0.3">
      <c r="K1333" t="str">
        <f t="shared" si="104"/>
        <v/>
      </c>
      <c r="L1333" t="str">
        <f t="shared" si="100"/>
        <v/>
      </c>
      <c r="M1333" t="str">
        <f t="shared" si="101"/>
        <v/>
      </c>
      <c r="N1333" t="str">
        <f t="shared" si="102"/>
        <v/>
      </c>
      <c r="O1333" t="str">
        <f t="shared" si="103"/>
        <v/>
      </c>
    </row>
    <row r="1334" spans="11:15" x14ac:dyDescent="0.3">
      <c r="K1334" t="str">
        <f t="shared" si="104"/>
        <v/>
      </c>
      <c r="L1334" t="str">
        <f t="shared" si="100"/>
        <v/>
      </c>
      <c r="M1334" t="str">
        <f t="shared" si="101"/>
        <v/>
      </c>
      <c r="N1334" t="str">
        <f t="shared" si="102"/>
        <v/>
      </c>
      <c r="O1334" t="str">
        <f t="shared" si="103"/>
        <v/>
      </c>
    </row>
    <row r="1335" spans="11:15" x14ac:dyDescent="0.3">
      <c r="K1335" t="str">
        <f t="shared" si="104"/>
        <v/>
      </c>
      <c r="L1335" t="str">
        <f t="shared" si="100"/>
        <v/>
      </c>
      <c r="M1335" t="str">
        <f t="shared" si="101"/>
        <v/>
      </c>
      <c r="N1335" t="str">
        <f t="shared" si="102"/>
        <v/>
      </c>
      <c r="O1335" t="str">
        <f t="shared" si="103"/>
        <v/>
      </c>
    </row>
    <row r="1336" spans="11:15" x14ac:dyDescent="0.3">
      <c r="K1336" t="str">
        <f t="shared" si="104"/>
        <v/>
      </c>
      <c r="L1336" t="str">
        <f t="shared" si="100"/>
        <v/>
      </c>
      <c r="M1336" t="str">
        <f t="shared" si="101"/>
        <v/>
      </c>
      <c r="N1336" t="str">
        <f t="shared" si="102"/>
        <v/>
      </c>
      <c r="O1336" t="str">
        <f t="shared" si="103"/>
        <v/>
      </c>
    </row>
    <row r="1337" spans="11:15" x14ac:dyDescent="0.3">
      <c r="K1337" t="str">
        <f t="shared" si="104"/>
        <v/>
      </c>
      <c r="L1337" t="str">
        <f t="shared" si="100"/>
        <v/>
      </c>
      <c r="M1337" t="str">
        <f t="shared" si="101"/>
        <v/>
      </c>
      <c r="N1337" t="str">
        <f t="shared" si="102"/>
        <v/>
      </c>
      <c r="O1337" t="str">
        <f t="shared" si="103"/>
        <v/>
      </c>
    </row>
    <row r="1338" spans="11:15" x14ac:dyDescent="0.3">
      <c r="K1338" t="str">
        <f t="shared" si="104"/>
        <v/>
      </c>
      <c r="L1338" t="str">
        <f t="shared" si="100"/>
        <v/>
      </c>
      <c r="M1338" t="str">
        <f t="shared" si="101"/>
        <v/>
      </c>
      <c r="N1338" t="str">
        <f t="shared" si="102"/>
        <v/>
      </c>
      <c r="O1338" t="str">
        <f t="shared" si="103"/>
        <v/>
      </c>
    </row>
    <row r="1339" spans="11:15" x14ac:dyDescent="0.3">
      <c r="K1339" t="str">
        <f t="shared" si="104"/>
        <v/>
      </c>
      <c r="L1339" t="str">
        <f t="shared" si="100"/>
        <v/>
      </c>
      <c r="M1339" t="str">
        <f t="shared" si="101"/>
        <v/>
      </c>
      <c r="N1339" t="str">
        <f t="shared" si="102"/>
        <v/>
      </c>
      <c r="O1339" t="str">
        <f t="shared" si="103"/>
        <v/>
      </c>
    </row>
    <row r="1340" spans="11:15" x14ac:dyDescent="0.3">
      <c r="K1340" t="str">
        <f t="shared" si="104"/>
        <v/>
      </c>
      <c r="L1340" t="str">
        <f t="shared" si="100"/>
        <v/>
      </c>
      <c r="M1340" t="str">
        <f t="shared" si="101"/>
        <v/>
      </c>
      <c r="N1340" t="str">
        <f t="shared" si="102"/>
        <v/>
      </c>
      <c r="O1340" t="str">
        <f t="shared" si="103"/>
        <v/>
      </c>
    </row>
    <row r="1341" spans="11:15" x14ac:dyDescent="0.3">
      <c r="K1341" t="str">
        <f t="shared" si="104"/>
        <v/>
      </c>
      <c r="L1341" t="str">
        <f t="shared" si="100"/>
        <v/>
      </c>
      <c r="M1341" t="str">
        <f t="shared" si="101"/>
        <v/>
      </c>
      <c r="N1341" t="str">
        <f t="shared" si="102"/>
        <v/>
      </c>
      <c r="O1341" t="str">
        <f t="shared" si="103"/>
        <v/>
      </c>
    </row>
    <row r="1342" spans="11:15" x14ac:dyDescent="0.3">
      <c r="K1342" t="str">
        <f t="shared" si="104"/>
        <v/>
      </c>
      <c r="L1342" t="str">
        <f t="shared" si="100"/>
        <v/>
      </c>
      <c r="M1342" t="str">
        <f t="shared" si="101"/>
        <v/>
      </c>
      <c r="N1342" t="str">
        <f t="shared" si="102"/>
        <v/>
      </c>
      <c r="O1342" t="str">
        <f t="shared" si="103"/>
        <v/>
      </c>
    </row>
    <row r="1343" spans="11:15" x14ac:dyDescent="0.3">
      <c r="K1343" t="str">
        <f t="shared" si="104"/>
        <v/>
      </c>
      <c r="L1343" t="str">
        <f t="shared" si="100"/>
        <v/>
      </c>
      <c r="M1343" t="str">
        <f t="shared" si="101"/>
        <v/>
      </c>
      <c r="N1343" t="str">
        <f t="shared" si="102"/>
        <v/>
      </c>
      <c r="O1343" t="str">
        <f t="shared" si="103"/>
        <v/>
      </c>
    </row>
    <row r="1344" spans="11:15" x14ac:dyDescent="0.3">
      <c r="K1344" t="str">
        <f t="shared" si="104"/>
        <v/>
      </c>
      <c r="L1344" t="str">
        <f t="shared" si="100"/>
        <v/>
      </c>
      <c r="M1344" t="str">
        <f t="shared" si="101"/>
        <v/>
      </c>
      <c r="N1344" t="str">
        <f t="shared" si="102"/>
        <v/>
      </c>
      <c r="O1344" t="str">
        <f t="shared" si="103"/>
        <v/>
      </c>
    </row>
    <row r="1345" spans="11:15" x14ac:dyDescent="0.3">
      <c r="K1345" t="str">
        <f t="shared" si="104"/>
        <v/>
      </c>
      <c r="L1345" t="str">
        <f t="shared" ref="L1345:L1408" si="105">IF(A1345="","",IF(ISNUMBER(--LEFT(A1345,FIND(" - ",A1345&amp;" - ")-1)),LEFT(A1345,FIND(" - ",A1345&amp;" - ")-1),TRIM(A1345)))</f>
        <v/>
      </c>
      <c r="M1345" t="str">
        <f t="shared" ref="M1345:M1408" si="106">IF(OR(K1345="",K1345=A1345,A1345=""),"",K1345&amp;"|"&amp;L1345)</f>
        <v/>
      </c>
      <c r="N1345" t="str">
        <f t="shared" ref="N1345:N1408" si="107">IF(M1345="","",IF(ISNUMBER(B1345),B1345,IFERROR(_xlfn.NUMBERVALUE(B1345,".",","),0)))</f>
        <v/>
      </c>
      <c r="O1345" t="str">
        <f t="shared" ref="O1345:O1408" si="108">IF(M1345="","",IF(ISNUMBER(C1345),C1345,IFERROR(_xlfn.NUMBERVALUE(C1345,".",","),0)))</f>
        <v/>
      </c>
    </row>
    <row r="1346" spans="11:15" x14ac:dyDescent="0.3">
      <c r="K1346" t="str">
        <f t="shared" ref="K1346:K1409" si="109">IF(OR(LEFT(B1346,9)="DOANH THU",LEFT(B1346,8)="SỐ LƯỢNG"),A1346,K1345)</f>
        <v/>
      </c>
      <c r="L1346" t="str">
        <f t="shared" si="105"/>
        <v/>
      </c>
      <c r="M1346" t="str">
        <f t="shared" si="106"/>
        <v/>
      </c>
      <c r="N1346" t="str">
        <f t="shared" si="107"/>
        <v/>
      </c>
      <c r="O1346" t="str">
        <f t="shared" si="108"/>
        <v/>
      </c>
    </row>
    <row r="1347" spans="11:15" x14ac:dyDescent="0.3">
      <c r="K1347" t="str">
        <f t="shared" si="109"/>
        <v/>
      </c>
      <c r="L1347" t="str">
        <f t="shared" si="105"/>
        <v/>
      </c>
      <c r="M1347" t="str">
        <f t="shared" si="106"/>
        <v/>
      </c>
      <c r="N1347" t="str">
        <f t="shared" si="107"/>
        <v/>
      </c>
      <c r="O1347" t="str">
        <f t="shared" si="108"/>
        <v/>
      </c>
    </row>
    <row r="1348" spans="11:15" x14ac:dyDescent="0.3">
      <c r="K1348" t="str">
        <f t="shared" si="109"/>
        <v/>
      </c>
      <c r="L1348" t="str">
        <f t="shared" si="105"/>
        <v/>
      </c>
      <c r="M1348" t="str">
        <f t="shared" si="106"/>
        <v/>
      </c>
      <c r="N1348" t="str">
        <f t="shared" si="107"/>
        <v/>
      </c>
      <c r="O1348" t="str">
        <f t="shared" si="108"/>
        <v/>
      </c>
    </row>
    <row r="1349" spans="11:15" x14ac:dyDescent="0.3">
      <c r="K1349" t="str">
        <f t="shared" si="109"/>
        <v/>
      </c>
      <c r="L1349" t="str">
        <f t="shared" si="105"/>
        <v/>
      </c>
      <c r="M1349" t="str">
        <f t="shared" si="106"/>
        <v/>
      </c>
      <c r="N1349" t="str">
        <f t="shared" si="107"/>
        <v/>
      </c>
      <c r="O1349" t="str">
        <f t="shared" si="108"/>
        <v/>
      </c>
    </row>
    <row r="1350" spans="11:15" x14ac:dyDescent="0.3">
      <c r="K1350" t="str">
        <f t="shared" si="109"/>
        <v/>
      </c>
      <c r="L1350" t="str">
        <f t="shared" si="105"/>
        <v/>
      </c>
      <c r="M1350" t="str">
        <f t="shared" si="106"/>
        <v/>
      </c>
      <c r="N1350" t="str">
        <f t="shared" si="107"/>
        <v/>
      </c>
      <c r="O1350" t="str">
        <f t="shared" si="108"/>
        <v/>
      </c>
    </row>
    <row r="1351" spans="11:15" x14ac:dyDescent="0.3">
      <c r="K1351" t="str">
        <f t="shared" si="109"/>
        <v/>
      </c>
      <c r="L1351" t="str">
        <f t="shared" si="105"/>
        <v/>
      </c>
      <c r="M1351" t="str">
        <f t="shared" si="106"/>
        <v/>
      </c>
      <c r="N1351" t="str">
        <f t="shared" si="107"/>
        <v/>
      </c>
      <c r="O1351" t="str">
        <f t="shared" si="108"/>
        <v/>
      </c>
    </row>
    <row r="1352" spans="11:15" x14ac:dyDescent="0.3">
      <c r="K1352" t="str">
        <f t="shared" si="109"/>
        <v/>
      </c>
      <c r="L1352" t="str">
        <f t="shared" si="105"/>
        <v/>
      </c>
      <c r="M1352" t="str">
        <f t="shared" si="106"/>
        <v/>
      </c>
      <c r="N1352" t="str">
        <f t="shared" si="107"/>
        <v/>
      </c>
      <c r="O1352" t="str">
        <f t="shared" si="108"/>
        <v/>
      </c>
    </row>
    <row r="1353" spans="11:15" x14ac:dyDescent="0.3">
      <c r="K1353" t="str">
        <f t="shared" si="109"/>
        <v/>
      </c>
      <c r="L1353" t="str">
        <f t="shared" si="105"/>
        <v/>
      </c>
      <c r="M1353" t="str">
        <f t="shared" si="106"/>
        <v/>
      </c>
      <c r="N1353" t="str">
        <f t="shared" si="107"/>
        <v/>
      </c>
      <c r="O1353" t="str">
        <f t="shared" si="108"/>
        <v/>
      </c>
    </row>
    <row r="1354" spans="11:15" x14ac:dyDescent="0.3">
      <c r="K1354" t="str">
        <f t="shared" si="109"/>
        <v/>
      </c>
      <c r="L1354" t="str">
        <f t="shared" si="105"/>
        <v/>
      </c>
      <c r="M1354" t="str">
        <f t="shared" si="106"/>
        <v/>
      </c>
      <c r="N1354" t="str">
        <f t="shared" si="107"/>
        <v/>
      </c>
      <c r="O1354" t="str">
        <f t="shared" si="108"/>
        <v/>
      </c>
    </row>
    <row r="1355" spans="11:15" x14ac:dyDescent="0.3">
      <c r="K1355" t="str">
        <f t="shared" si="109"/>
        <v/>
      </c>
      <c r="L1355" t="str">
        <f t="shared" si="105"/>
        <v/>
      </c>
      <c r="M1355" t="str">
        <f t="shared" si="106"/>
        <v/>
      </c>
      <c r="N1355" t="str">
        <f t="shared" si="107"/>
        <v/>
      </c>
      <c r="O1355" t="str">
        <f t="shared" si="108"/>
        <v/>
      </c>
    </row>
    <row r="1356" spans="11:15" x14ac:dyDescent="0.3">
      <c r="K1356" t="str">
        <f t="shared" si="109"/>
        <v/>
      </c>
      <c r="L1356" t="str">
        <f t="shared" si="105"/>
        <v/>
      </c>
      <c r="M1356" t="str">
        <f t="shared" si="106"/>
        <v/>
      </c>
      <c r="N1356" t="str">
        <f t="shared" si="107"/>
        <v/>
      </c>
      <c r="O1356" t="str">
        <f t="shared" si="108"/>
        <v/>
      </c>
    </row>
    <row r="1357" spans="11:15" x14ac:dyDescent="0.3">
      <c r="K1357" t="str">
        <f t="shared" si="109"/>
        <v/>
      </c>
      <c r="L1357" t="str">
        <f t="shared" si="105"/>
        <v/>
      </c>
      <c r="M1357" t="str">
        <f t="shared" si="106"/>
        <v/>
      </c>
      <c r="N1357" t="str">
        <f t="shared" si="107"/>
        <v/>
      </c>
      <c r="O1357" t="str">
        <f t="shared" si="108"/>
        <v/>
      </c>
    </row>
    <row r="1358" spans="11:15" x14ac:dyDescent="0.3">
      <c r="K1358" t="str">
        <f t="shared" si="109"/>
        <v/>
      </c>
      <c r="L1358" t="str">
        <f t="shared" si="105"/>
        <v/>
      </c>
      <c r="M1358" t="str">
        <f t="shared" si="106"/>
        <v/>
      </c>
      <c r="N1358" t="str">
        <f t="shared" si="107"/>
        <v/>
      </c>
      <c r="O1358" t="str">
        <f t="shared" si="108"/>
        <v/>
      </c>
    </row>
    <row r="1359" spans="11:15" x14ac:dyDescent="0.3">
      <c r="K1359" t="str">
        <f t="shared" si="109"/>
        <v/>
      </c>
      <c r="L1359" t="str">
        <f t="shared" si="105"/>
        <v/>
      </c>
      <c r="M1359" t="str">
        <f t="shared" si="106"/>
        <v/>
      </c>
      <c r="N1359" t="str">
        <f t="shared" si="107"/>
        <v/>
      </c>
      <c r="O1359" t="str">
        <f t="shared" si="108"/>
        <v/>
      </c>
    </row>
    <row r="1360" spans="11:15" x14ac:dyDescent="0.3">
      <c r="K1360" t="str">
        <f t="shared" si="109"/>
        <v/>
      </c>
      <c r="L1360" t="str">
        <f t="shared" si="105"/>
        <v/>
      </c>
      <c r="M1360" t="str">
        <f t="shared" si="106"/>
        <v/>
      </c>
      <c r="N1360" t="str">
        <f t="shared" si="107"/>
        <v/>
      </c>
      <c r="O1360" t="str">
        <f t="shared" si="108"/>
        <v/>
      </c>
    </row>
    <row r="1361" spans="11:15" x14ac:dyDescent="0.3">
      <c r="K1361" t="str">
        <f t="shared" si="109"/>
        <v/>
      </c>
      <c r="L1361" t="str">
        <f t="shared" si="105"/>
        <v/>
      </c>
      <c r="M1361" t="str">
        <f t="shared" si="106"/>
        <v/>
      </c>
      <c r="N1361" t="str">
        <f t="shared" si="107"/>
        <v/>
      </c>
      <c r="O1361" t="str">
        <f t="shared" si="108"/>
        <v/>
      </c>
    </row>
    <row r="1362" spans="11:15" x14ac:dyDescent="0.3">
      <c r="K1362" t="str">
        <f t="shared" si="109"/>
        <v/>
      </c>
      <c r="L1362" t="str">
        <f t="shared" si="105"/>
        <v/>
      </c>
      <c r="M1362" t="str">
        <f t="shared" si="106"/>
        <v/>
      </c>
      <c r="N1362" t="str">
        <f t="shared" si="107"/>
        <v/>
      </c>
      <c r="O1362" t="str">
        <f t="shared" si="108"/>
        <v/>
      </c>
    </row>
    <row r="1363" spans="11:15" x14ac:dyDescent="0.3">
      <c r="K1363" t="str">
        <f t="shared" si="109"/>
        <v/>
      </c>
      <c r="L1363" t="str">
        <f t="shared" si="105"/>
        <v/>
      </c>
      <c r="M1363" t="str">
        <f t="shared" si="106"/>
        <v/>
      </c>
      <c r="N1363" t="str">
        <f t="shared" si="107"/>
        <v/>
      </c>
      <c r="O1363" t="str">
        <f t="shared" si="108"/>
        <v/>
      </c>
    </row>
    <row r="1364" spans="11:15" x14ac:dyDescent="0.3">
      <c r="K1364" t="str">
        <f t="shared" si="109"/>
        <v/>
      </c>
      <c r="L1364" t="str">
        <f t="shared" si="105"/>
        <v/>
      </c>
      <c r="M1364" t="str">
        <f t="shared" si="106"/>
        <v/>
      </c>
      <c r="N1364" t="str">
        <f t="shared" si="107"/>
        <v/>
      </c>
      <c r="O1364" t="str">
        <f t="shared" si="108"/>
        <v/>
      </c>
    </row>
    <row r="1365" spans="11:15" x14ac:dyDescent="0.3">
      <c r="K1365" t="str">
        <f t="shared" si="109"/>
        <v/>
      </c>
      <c r="L1365" t="str">
        <f t="shared" si="105"/>
        <v/>
      </c>
      <c r="M1365" t="str">
        <f t="shared" si="106"/>
        <v/>
      </c>
      <c r="N1365" t="str">
        <f t="shared" si="107"/>
        <v/>
      </c>
      <c r="O1365" t="str">
        <f t="shared" si="108"/>
        <v/>
      </c>
    </row>
    <row r="1366" spans="11:15" x14ac:dyDescent="0.3">
      <c r="K1366" t="str">
        <f t="shared" si="109"/>
        <v/>
      </c>
      <c r="L1366" t="str">
        <f t="shared" si="105"/>
        <v/>
      </c>
      <c r="M1366" t="str">
        <f t="shared" si="106"/>
        <v/>
      </c>
      <c r="N1366" t="str">
        <f t="shared" si="107"/>
        <v/>
      </c>
      <c r="O1366" t="str">
        <f t="shared" si="108"/>
        <v/>
      </c>
    </row>
    <row r="1367" spans="11:15" x14ac:dyDescent="0.3">
      <c r="K1367" t="str">
        <f t="shared" si="109"/>
        <v/>
      </c>
      <c r="L1367" t="str">
        <f t="shared" si="105"/>
        <v/>
      </c>
      <c r="M1367" t="str">
        <f t="shared" si="106"/>
        <v/>
      </c>
      <c r="N1367" t="str">
        <f t="shared" si="107"/>
        <v/>
      </c>
      <c r="O1367" t="str">
        <f t="shared" si="108"/>
        <v/>
      </c>
    </row>
    <row r="1368" spans="11:15" x14ac:dyDescent="0.3">
      <c r="K1368" t="str">
        <f t="shared" si="109"/>
        <v/>
      </c>
      <c r="L1368" t="str">
        <f t="shared" si="105"/>
        <v/>
      </c>
      <c r="M1368" t="str">
        <f t="shared" si="106"/>
        <v/>
      </c>
      <c r="N1368" t="str">
        <f t="shared" si="107"/>
        <v/>
      </c>
      <c r="O1368" t="str">
        <f t="shared" si="108"/>
        <v/>
      </c>
    </row>
    <row r="1369" spans="11:15" x14ac:dyDescent="0.3">
      <c r="K1369" t="str">
        <f t="shared" si="109"/>
        <v/>
      </c>
      <c r="L1369" t="str">
        <f t="shared" si="105"/>
        <v/>
      </c>
      <c r="M1369" t="str">
        <f t="shared" si="106"/>
        <v/>
      </c>
      <c r="N1369" t="str">
        <f t="shared" si="107"/>
        <v/>
      </c>
      <c r="O1369" t="str">
        <f t="shared" si="108"/>
        <v/>
      </c>
    </row>
    <row r="1370" spans="11:15" x14ac:dyDescent="0.3">
      <c r="K1370" t="str">
        <f t="shared" si="109"/>
        <v/>
      </c>
      <c r="L1370" t="str">
        <f t="shared" si="105"/>
        <v/>
      </c>
      <c r="M1370" t="str">
        <f t="shared" si="106"/>
        <v/>
      </c>
      <c r="N1370" t="str">
        <f t="shared" si="107"/>
        <v/>
      </c>
      <c r="O1370" t="str">
        <f t="shared" si="108"/>
        <v/>
      </c>
    </row>
    <row r="1371" spans="11:15" x14ac:dyDescent="0.3">
      <c r="K1371" t="str">
        <f t="shared" si="109"/>
        <v/>
      </c>
      <c r="L1371" t="str">
        <f t="shared" si="105"/>
        <v/>
      </c>
      <c r="M1371" t="str">
        <f t="shared" si="106"/>
        <v/>
      </c>
      <c r="N1371" t="str">
        <f t="shared" si="107"/>
        <v/>
      </c>
      <c r="O1371" t="str">
        <f t="shared" si="108"/>
        <v/>
      </c>
    </row>
    <row r="1372" spans="11:15" x14ac:dyDescent="0.3">
      <c r="K1372" t="str">
        <f t="shared" si="109"/>
        <v/>
      </c>
      <c r="L1372" t="str">
        <f t="shared" si="105"/>
        <v/>
      </c>
      <c r="M1372" t="str">
        <f t="shared" si="106"/>
        <v/>
      </c>
      <c r="N1372" t="str">
        <f t="shared" si="107"/>
        <v/>
      </c>
      <c r="O1372" t="str">
        <f t="shared" si="108"/>
        <v/>
      </c>
    </row>
    <row r="1373" spans="11:15" x14ac:dyDescent="0.3">
      <c r="K1373" t="str">
        <f t="shared" si="109"/>
        <v/>
      </c>
      <c r="L1373" t="str">
        <f t="shared" si="105"/>
        <v/>
      </c>
      <c r="M1373" t="str">
        <f t="shared" si="106"/>
        <v/>
      </c>
      <c r="N1373" t="str">
        <f t="shared" si="107"/>
        <v/>
      </c>
      <c r="O1373" t="str">
        <f t="shared" si="108"/>
        <v/>
      </c>
    </row>
    <row r="1374" spans="11:15" x14ac:dyDescent="0.3">
      <c r="K1374" t="str">
        <f t="shared" si="109"/>
        <v/>
      </c>
      <c r="L1374" t="str">
        <f t="shared" si="105"/>
        <v/>
      </c>
      <c r="M1374" t="str">
        <f t="shared" si="106"/>
        <v/>
      </c>
      <c r="N1374" t="str">
        <f t="shared" si="107"/>
        <v/>
      </c>
      <c r="O1374" t="str">
        <f t="shared" si="108"/>
        <v/>
      </c>
    </row>
    <row r="1375" spans="11:15" x14ac:dyDescent="0.3">
      <c r="K1375" t="str">
        <f t="shared" si="109"/>
        <v/>
      </c>
      <c r="L1375" t="str">
        <f t="shared" si="105"/>
        <v/>
      </c>
      <c r="M1375" t="str">
        <f t="shared" si="106"/>
        <v/>
      </c>
      <c r="N1375" t="str">
        <f t="shared" si="107"/>
        <v/>
      </c>
      <c r="O1375" t="str">
        <f t="shared" si="108"/>
        <v/>
      </c>
    </row>
    <row r="1376" spans="11:15" x14ac:dyDescent="0.3">
      <c r="K1376" t="str">
        <f t="shared" si="109"/>
        <v/>
      </c>
      <c r="L1376" t="str">
        <f t="shared" si="105"/>
        <v/>
      </c>
      <c r="M1376" t="str">
        <f t="shared" si="106"/>
        <v/>
      </c>
      <c r="N1376" t="str">
        <f t="shared" si="107"/>
        <v/>
      </c>
      <c r="O1376" t="str">
        <f t="shared" si="108"/>
        <v/>
      </c>
    </row>
    <row r="1377" spans="11:15" x14ac:dyDescent="0.3">
      <c r="K1377" t="str">
        <f t="shared" si="109"/>
        <v/>
      </c>
      <c r="L1377" t="str">
        <f t="shared" si="105"/>
        <v/>
      </c>
      <c r="M1377" t="str">
        <f t="shared" si="106"/>
        <v/>
      </c>
      <c r="N1377" t="str">
        <f t="shared" si="107"/>
        <v/>
      </c>
      <c r="O1377" t="str">
        <f t="shared" si="108"/>
        <v/>
      </c>
    </row>
    <row r="1378" spans="11:15" x14ac:dyDescent="0.3">
      <c r="K1378" t="str">
        <f t="shared" si="109"/>
        <v/>
      </c>
      <c r="L1378" t="str">
        <f t="shared" si="105"/>
        <v/>
      </c>
      <c r="M1378" t="str">
        <f t="shared" si="106"/>
        <v/>
      </c>
      <c r="N1378" t="str">
        <f t="shared" si="107"/>
        <v/>
      </c>
      <c r="O1378" t="str">
        <f t="shared" si="108"/>
        <v/>
      </c>
    </row>
    <row r="1379" spans="11:15" x14ac:dyDescent="0.3">
      <c r="K1379" t="str">
        <f t="shared" si="109"/>
        <v/>
      </c>
      <c r="L1379" t="str">
        <f t="shared" si="105"/>
        <v/>
      </c>
      <c r="M1379" t="str">
        <f t="shared" si="106"/>
        <v/>
      </c>
      <c r="N1379" t="str">
        <f t="shared" si="107"/>
        <v/>
      </c>
      <c r="O1379" t="str">
        <f t="shared" si="108"/>
        <v/>
      </c>
    </row>
    <row r="1380" spans="11:15" x14ac:dyDescent="0.3">
      <c r="K1380" t="str">
        <f t="shared" si="109"/>
        <v/>
      </c>
      <c r="L1380" t="str">
        <f t="shared" si="105"/>
        <v/>
      </c>
      <c r="M1380" t="str">
        <f t="shared" si="106"/>
        <v/>
      </c>
      <c r="N1380" t="str">
        <f t="shared" si="107"/>
        <v/>
      </c>
      <c r="O1380" t="str">
        <f t="shared" si="108"/>
        <v/>
      </c>
    </row>
    <row r="1381" spans="11:15" x14ac:dyDescent="0.3">
      <c r="K1381" t="str">
        <f t="shared" si="109"/>
        <v/>
      </c>
      <c r="L1381" t="str">
        <f t="shared" si="105"/>
        <v/>
      </c>
      <c r="M1381" t="str">
        <f t="shared" si="106"/>
        <v/>
      </c>
      <c r="N1381" t="str">
        <f t="shared" si="107"/>
        <v/>
      </c>
      <c r="O1381" t="str">
        <f t="shared" si="108"/>
        <v/>
      </c>
    </row>
    <row r="1382" spans="11:15" x14ac:dyDescent="0.3">
      <c r="K1382" t="str">
        <f t="shared" si="109"/>
        <v/>
      </c>
      <c r="L1382" t="str">
        <f t="shared" si="105"/>
        <v/>
      </c>
      <c r="M1382" t="str">
        <f t="shared" si="106"/>
        <v/>
      </c>
      <c r="N1382" t="str">
        <f t="shared" si="107"/>
        <v/>
      </c>
      <c r="O1382" t="str">
        <f t="shared" si="108"/>
        <v/>
      </c>
    </row>
    <row r="1383" spans="11:15" x14ac:dyDescent="0.3">
      <c r="K1383" t="str">
        <f t="shared" si="109"/>
        <v/>
      </c>
      <c r="L1383" t="str">
        <f t="shared" si="105"/>
        <v/>
      </c>
      <c r="M1383" t="str">
        <f t="shared" si="106"/>
        <v/>
      </c>
      <c r="N1383" t="str">
        <f t="shared" si="107"/>
        <v/>
      </c>
      <c r="O1383" t="str">
        <f t="shared" si="108"/>
        <v/>
      </c>
    </row>
    <row r="1384" spans="11:15" x14ac:dyDescent="0.3">
      <c r="K1384" t="str">
        <f t="shared" si="109"/>
        <v/>
      </c>
      <c r="L1384" t="str">
        <f t="shared" si="105"/>
        <v/>
      </c>
      <c r="M1384" t="str">
        <f t="shared" si="106"/>
        <v/>
      </c>
      <c r="N1384" t="str">
        <f t="shared" si="107"/>
        <v/>
      </c>
      <c r="O1384" t="str">
        <f t="shared" si="108"/>
        <v/>
      </c>
    </row>
    <row r="1385" spans="11:15" x14ac:dyDescent="0.3">
      <c r="K1385" t="str">
        <f t="shared" si="109"/>
        <v/>
      </c>
      <c r="L1385" t="str">
        <f t="shared" si="105"/>
        <v/>
      </c>
      <c r="M1385" t="str">
        <f t="shared" si="106"/>
        <v/>
      </c>
      <c r="N1385" t="str">
        <f t="shared" si="107"/>
        <v/>
      </c>
      <c r="O1385" t="str">
        <f t="shared" si="108"/>
        <v/>
      </c>
    </row>
    <row r="1386" spans="11:15" x14ac:dyDescent="0.3">
      <c r="K1386" t="str">
        <f t="shared" si="109"/>
        <v/>
      </c>
      <c r="L1386" t="str">
        <f t="shared" si="105"/>
        <v/>
      </c>
      <c r="M1386" t="str">
        <f t="shared" si="106"/>
        <v/>
      </c>
      <c r="N1386" t="str">
        <f t="shared" si="107"/>
        <v/>
      </c>
      <c r="O1386" t="str">
        <f t="shared" si="108"/>
        <v/>
      </c>
    </row>
    <row r="1387" spans="11:15" x14ac:dyDescent="0.3">
      <c r="K1387" t="str">
        <f t="shared" si="109"/>
        <v/>
      </c>
      <c r="L1387" t="str">
        <f t="shared" si="105"/>
        <v/>
      </c>
      <c r="M1387" t="str">
        <f t="shared" si="106"/>
        <v/>
      </c>
      <c r="N1387" t="str">
        <f t="shared" si="107"/>
        <v/>
      </c>
      <c r="O1387" t="str">
        <f t="shared" si="108"/>
        <v/>
      </c>
    </row>
    <row r="1388" spans="11:15" x14ac:dyDescent="0.3">
      <c r="K1388" t="str">
        <f t="shared" si="109"/>
        <v/>
      </c>
      <c r="L1388" t="str">
        <f t="shared" si="105"/>
        <v/>
      </c>
      <c r="M1388" t="str">
        <f t="shared" si="106"/>
        <v/>
      </c>
      <c r="N1388" t="str">
        <f t="shared" si="107"/>
        <v/>
      </c>
      <c r="O1388" t="str">
        <f t="shared" si="108"/>
        <v/>
      </c>
    </row>
    <row r="1389" spans="11:15" x14ac:dyDescent="0.3">
      <c r="K1389" t="str">
        <f t="shared" si="109"/>
        <v/>
      </c>
      <c r="L1389" t="str">
        <f t="shared" si="105"/>
        <v/>
      </c>
      <c r="M1389" t="str">
        <f t="shared" si="106"/>
        <v/>
      </c>
      <c r="N1389" t="str">
        <f t="shared" si="107"/>
        <v/>
      </c>
      <c r="O1389" t="str">
        <f t="shared" si="108"/>
        <v/>
      </c>
    </row>
    <row r="1390" spans="11:15" x14ac:dyDescent="0.3">
      <c r="K1390" t="str">
        <f t="shared" si="109"/>
        <v/>
      </c>
      <c r="L1390" t="str">
        <f t="shared" si="105"/>
        <v/>
      </c>
      <c r="M1390" t="str">
        <f t="shared" si="106"/>
        <v/>
      </c>
      <c r="N1390" t="str">
        <f t="shared" si="107"/>
        <v/>
      </c>
      <c r="O1390" t="str">
        <f t="shared" si="108"/>
        <v/>
      </c>
    </row>
    <row r="1391" spans="11:15" x14ac:dyDescent="0.3">
      <c r="K1391" t="str">
        <f t="shared" si="109"/>
        <v/>
      </c>
      <c r="L1391" t="str">
        <f t="shared" si="105"/>
        <v/>
      </c>
      <c r="M1391" t="str">
        <f t="shared" si="106"/>
        <v/>
      </c>
      <c r="N1391" t="str">
        <f t="shared" si="107"/>
        <v/>
      </c>
      <c r="O1391" t="str">
        <f t="shared" si="108"/>
        <v/>
      </c>
    </row>
    <row r="1392" spans="11:15" x14ac:dyDescent="0.3">
      <c r="K1392" t="str">
        <f t="shared" si="109"/>
        <v/>
      </c>
      <c r="L1392" t="str">
        <f t="shared" si="105"/>
        <v/>
      </c>
      <c r="M1392" t="str">
        <f t="shared" si="106"/>
        <v/>
      </c>
      <c r="N1392" t="str">
        <f t="shared" si="107"/>
        <v/>
      </c>
      <c r="O1392" t="str">
        <f t="shared" si="108"/>
        <v/>
      </c>
    </row>
    <row r="1393" spans="11:15" x14ac:dyDescent="0.3">
      <c r="K1393" t="str">
        <f t="shared" si="109"/>
        <v/>
      </c>
      <c r="L1393" t="str">
        <f t="shared" si="105"/>
        <v/>
      </c>
      <c r="M1393" t="str">
        <f t="shared" si="106"/>
        <v/>
      </c>
      <c r="N1393" t="str">
        <f t="shared" si="107"/>
        <v/>
      </c>
      <c r="O1393" t="str">
        <f t="shared" si="108"/>
        <v/>
      </c>
    </row>
    <row r="1394" spans="11:15" x14ac:dyDescent="0.3">
      <c r="K1394" t="str">
        <f t="shared" si="109"/>
        <v/>
      </c>
      <c r="L1394" t="str">
        <f t="shared" si="105"/>
        <v/>
      </c>
      <c r="M1394" t="str">
        <f t="shared" si="106"/>
        <v/>
      </c>
      <c r="N1394" t="str">
        <f t="shared" si="107"/>
        <v/>
      </c>
      <c r="O1394" t="str">
        <f t="shared" si="108"/>
        <v/>
      </c>
    </row>
    <row r="1395" spans="11:15" x14ac:dyDescent="0.3">
      <c r="K1395" t="str">
        <f t="shared" si="109"/>
        <v/>
      </c>
      <c r="L1395" t="str">
        <f t="shared" si="105"/>
        <v/>
      </c>
      <c r="M1395" t="str">
        <f t="shared" si="106"/>
        <v/>
      </c>
      <c r="N1395" t="str">
        <f t="shared" si="107"/>
        <v/>
      </c>
      <c r="O1395" t="str">
        <f t="shared" si="108"/>
        <v/>
      </c>
    </row>
    <row r="1396" spans="11:15" x14ac:dyDescent="0.3">
      <c r="K1396" t="str">
        <f t="shared" si="109"/>
        <v/>
      </c>
      <c r="L1396" t="str">
        <f t="shared" si="105"/>
        <v/>
      </c>
      <c r="M1396" t="str">
        <f t="shared" si="106"/>
        <v/>
      </c>
      <c r="N1396" t="str">
        <f t="shared" si="107"/>
        <v/>
      </c>
      <c r="O1396" t="str">
        <f t="shared" si="108"/>
        <v/>
      </c>
    </row>
    <row r="1397" spans="11:15" x14ac:dyDescent="0.3">
      <c r="K1397" t="str">
        <f t="shared" si="109"/>
        <v/>
      </c>
      <c r="L1397" t="str">
        <f t="shared" si="105"/>
        <v/>
      </c>
      <c r="M1397" t="str">
        <f t="shared" si="106"/>
        <v/>
      </c>
      <c r="N1397" t="str">
        <f t="shared" si="107"/>
        <v/>
      </c>
      <c r="O1397" t="str">
        <f t="shared" si="108"/>
        <v/>
      </c>
    </row>
    <row r="1398" spans="11:15" x14ac:dyDescent="0.3">
      <c r="K1398" t="str">
        <f t="shared" si="109"/>
        <v/>
      </c>
      <c r="L1398" t="str">
        <f t="shared" si="105"/>
        <v/>
      </c>
      <c r="M1398" t="str">
        <f t="shared" si="106"/>
        <v/>
      </c>
      <c r="N1398" t="str">
        <f t="shared" si="107"/>
        <v/>
      </c>
      <c r="O1398" t="str">
        <f t="shared" si="108"/>
        <v/>
      </c>
    </row>
    <row r="1399" spans="11:15" x14ac:dyDescent="0.3">
      <c r="K1399" t="str">
        <f t="shared" si="109"/>
        <v/>
      </c>
      <c r="L1399" t="str">
        <f t="shared" si="105"/>
        <v/>
      </c>
      <c r="M1399" t="str">
        <f t="shared" si="106"/>
        <v/>
      </c>
      <c r="N1399" t="str">
        <f t="shared" si="107"/>
        <v/>
      </c>
      <c r="O1399" t="str">
        <f t="shared" si="108"/>
        <v/>
      </c>
    </row>
    <row r="1400" spans="11:15" x14ac:dyDescent="0.3">
      <c r="K1400" t="str">
        <f t="shared" si="109"/>
        <v/>
      </c>
      <c r="L1400" t="str">
        <f t="shared" si="105"/>
        <v/>
      </c>
      <c r="M1400" t="str">
        <f t="shared" si="106"/>
        <v/>
      </c>
      <c r="N1400" t="str">
        <f t="shared" si="107"/>
        <v/>
      </c>
      <c r="O1400" t="str">
        <f t="shared" si="108"/>
        <v/>
      </c>
    </row>
    <row r="1401" spans="11:15" x14ac:dyDescent="0.3">
      <c r="K1401" t="str">
        <f t="shared" si="109"/>
        <v/>
      </c>
      <c r="L1401" t="str">
        <f t="shared" si="105"/>
        <v/>
      </c>
      <c r="M1401" t="str">
        <f t="shared" si="106"/>
        <v/>
      </c>
      <c r="N1401" t="str">
        <f t="shared" si="107"/>
        <v/>
      </c>
      <c r="O1401" t="str">
        <f t="shared" si="108"/>
        <v/>
      </c>
    </row>
    <row r="1402" spans="11:15" x14ac:dyDescent="0.3">
      <c r="K1402" t="str">
        <f t="shared" si="109"/>
        <v/>
      </c>
      <c r="L1402" t="str">
        <f t="shared" si="105"/>
        <v/>
      </c>
      <c r="M1402" t="str">
        <f t="shared" si="106"/>
        <v/>
      </c>
      <c r="N1402" t="str">
        <f t="shared" si="107"/>
        <v/>
      </c>
      <c r="O1402" t="str">
        <f t="shared" si="108"/>
        <v/>
      </c>
    </row>
    <row r="1403" spans="11:15" x14ac:dyDescent="0.3">
      <c r="K1403" t="str">
        <f t="shared" si="109"/>
        <v/>
      </c>
      <c r="L1403" t="str">
        <f t="shared" si="105"/>
        <v/>
      </c>
      <c r="M1403" t="str">
        <f t="shared" si="106"/>
        <v/>
      </c>
      <c r="N1403" t="str">
        <f t="shared" si="107"/>
        <v/>
      </c>
      <c r="O1403" t="str">
        <f t="shared" si="108"/>
        <v/>
      </c>
    </row>
    <row r="1404" spans="11:15" x14ac:dyDescent="0.3">
      <c r="K1404" t="str">
        <f t="shared" si="109"/>
        <v/>
      </c>
      <c r="L1404" t="str">
        <f t="shared" si="105"/>
        <v/>
      </c>
      <c r="M1404" t="str">
        <f t="shared" si="106"/>
        <v/>
      </c>
      <c r="N1404" t="str">
        <f t="shared" si="107"/>
        <v/>
      </c>
      <c r="O1404" t="str">
        <f t="shared" si="108"/>
        <v/>
      </c>
    </row>
    <row r="1405" spans="11:15" x14ac:dyDescent="0.3">
      <c r="K1405" t="str">
        <f t="shared" si="109"/>
        <v/>
      </c>
      <c r="L1405" t="str">
        <f t="shared" si="105"/>
        <v/>
      </c>
      <c r="M1405" t="str">
        <f t="shared" si="106"/>
        <v/>
      </c>
      <c r="N1405" t="str">
        <f t="shared" si="107"/>
        <v/>
      </c>
      <c r="O1405" t="str">
        <f t="shared" si="108"/>
        <v/>
      </c>
    </row>
    <row r="1406" spans="11:15" x14ac:dyDescent="0.3">
      <c r="K1406" t="str">
        <f t="shared" si="109"/>
        <v/>
      </c>
      <c r="L1406" t="str">
        <f t="shared" si="105"/>
        <v/>
      </c>
      <c r="M1406" t="str">
        <f t="shared" si="106"/>
        <v/>
      </c>
      <c r="N1406" t="str">
        <f t="shared" si="107"/>
        <v/>
      </c>
      <c r="O1406" t="str">
        <f t="shared" si="108"/>
        <v/>
      </c>
    </row>
    <row r="1407" spans="11:15" x14ac:dyDescent="0.3">
      <c r="K1407" t="str">
        <f t="shared" si="109"/>
        <v/>
      </c>
      <c r="L1407" t="str">
        <f t="shared" si="105"/>
        <v/>
      </c>
      <c r="M1407" t="str">
        <f t="shared" si="106"/>
        <v/>
      </c>
      <c r="N1407" t="str">
        <f t="shared" si="107"/>
        <v/>
      </c>
      <c r="O1407" t="str">
        <f t="shared" si="108"/>
        <v/>
      </c>
    </row>
    <row r="1408" spans="11:15" x14ac:dyDescent="0.3">
      <c r="K1408" t="str">
        <f t="shared" si="109"/>
        <v/>
      </c>
      <c r="L1408" t="str">
        <f t="shared" si="105"/>
        <v/>
      </c>
      <c r="M1408" t="str">
        <f t="shared" si="106"/>
        <v/>
      </c>
      <c r="N1408" t="str">
        <f t="shared" si="107"/>
        <v/>
      </c>
      <c r="O1408" t="str">
        <f t="shared" si="108"/>
        <v/>
      </c>
    </row>
    <row r="1409" spans="11:15" x14ac:dyDescent="0.3">
      <c r="K1409" t="str">
        <f t="shared" si="109"/>
        <v/>
      </c>
      <c r="L1409" t="str">
        <f t="shared" ref="L1409:L1472" si="110">IF(A1409="","",IF(ISNUMBER(--LEFT(A1409,FIND(" - ",A1409&amp;" - ")-1)),LEFT(A1409,FIND(" - ",A1409&amp;" - ")-1),TRIM(A1409)))</f>
        <v/>
      </c>
      <c r="M1409" t="str">
        <f t="shared" ref="M1409:M1472" si="111">IF(OR(K1409="",K1409=A1409,A1409=""),"",K1409&amp;"|"&amp;L1409)</f>
        <v/>
      </c>
      <c r="N1409" t="str">
        <f t="shared" ref="N1409:N1472" si="112">IF(M1409="","",IF(ISNUMBER(B1409),B1409,IFERROR(_xlfn.NUMBERVALUE(B1409,".",","),0)))</f>
        <v/>
      </c>
      <c r="O1409" t="str">
        <f t="shared" ref="O1409:O1472" si="113">IF(M1409="","",IF(ISNUMBER(C1409),C1409,IFERROR(_xlfn.NUMBERVALUE(C1409,".",","),0)))</f>
        <v/>
      </c>
    </row>
    <row r="1410" spans="11:15" x14ac:dyDescent="0.3">
      <c r="K1410" t="str">
        <f t="shared" ref="K1410:K1473" si="114">IF(OR(LEFT(B1410,9)="DOANH THU",LEFT(B1410,8)="SỐ LƯỢNG"),A1410,K1409)</f>
        <v/>
      </c>
      <c r="L1410" t="str">
        <f t="shared" si="110"/>
        <v/>
      </c>
      <c r="M1410" t="str">
        <f t="shared" si="111"/>
        <v/>
      </c>
      <c r="N1410" t="str">
        <f t="shared" si="112"/>
        <v/>
      </c>
      <c r="O1410" t="str">
        <f t="shared" si="113"/>
        <v/>
      </c>
    </row>
    <row r="1411" spans="11:15" x14ac:dyDescent="0.3">
      <c r="K1411" t="str">
        <f t="shared" si="114"/>
        <v/>
      </c>
      <c r="L1411" t="str">
        <f t="shared" si="110"/>
        <v/>
      </c>
      <c r="M1411" t="str">
        <f t="shared" si="111"/>
        <v/>
      </c>
      <c r="N1411" t="str">
        <f t="shared" si="112"/>
        <v/>
      </c>
      <c r="O1411" t="str">
        <f t="shared" si="113"/>
        <v/>
      </c>
    </row>
    <row r="1412" spans="11:15" x14ac:dyDescent="0.3">
      <c r="K1412" t="str">
        <f t="shared" si="114"/>
        <v/>
      </c>
      <c r="L1412" t="str">
        <f t="shared" si="110"/>
        <v/>
      </c>
      <c r="M1412" t="str">
        <f t="shared" si="111"/>
        <v/>
      </c>
      <c r="N1412" t="str">
        <f t="shared" si="112"/>
        <v/>
      </c>
      <c r="O1412" t="str">
        <f t="shared" si="113"/>
        <v/>
      </c>
    </row>
    <row r="1413" spans="11:15" x14ac:dyDescent="0.3">
      <c r="K1413" t="str">
        <f t="shared" si="114"/>
        <v/>
      </c>
      <c r="L1413" t="str">
        <f t="shared" si="110"/>
        <v/>
      </c>
      <c r="M1413" t="str">
        <f t="shared" si="111"/>
        <v/>
      </c>
      <c r="N1413" t="str">
        <f t="shared" si="112"/>
        <v/>
      </c>
      <c r="O1413" t="str">
        <f t="shared" si="113"/>
        <v/>
      </c>
    </row>
    <row r="1414" spans="11:15" x14ac:dyDescent="0.3">
      <c r="K1414" t="str">
        <f t="shared" si="114"/>
        <v/>
      </c>
      <c r="L1414" t="str">
        <f t="shared" si="110"/>
        <v/>
      </c>
      <c r="M1414" t="str">
        <f t="shared" si="111"/>
        <v/>
      </c>
      <c r="N1414" t="str">
        <f t="shared" si="112"/>
        <v/>
      </c>
      <c r="O1414" t="str">
        <f t="shared" si="113"/>
        <v/>
      </c>
    </row>
    <row r="1415" spans="11:15" x14ac:dyDescent="0.3">
      <c r="K1415" t="str">
        <f t="shared" si="114"/>
        <v/>
      </c>
      <c r="L1415" t="str">
        <f t="shared" si="110"/>
        <v/>
      </c>
      <c r="M1415" t="str">
        <f t="shared" si="111"/>
        <v/>
      </c>
      <c r="N1415" t="str">
        <f t="shared" si="112"/>
        <v/>
      </c>
      <c r="O1415" t="str">
        <f t="shared" si="113"/>
        <v/>
      </c>
    </row>
    <row r="1416" spans="11:15" x14ac:dyDescent="0.3">
      <c r="K1416" t="str">
        <f t="shared" si="114"/>
        <v/>
      </c>
      <c r="L1416" t="str">
        <f t="shared" si="110"/>
        <v/>
      </c>
      <c r="M1416" t="str">
        <f t="shared" si="111"/>
        <v/>
      </c>
      <c r="N1416" t="str">
        <f t="shared" si="112"/>
        <v/>
      </c>
      <c r="O1416" t="str">
        <f t="shared" si="113"/>
        <v/>
      </c>
    </row>
    <row r="1417" spans="11:15" x14ac:dyDescent="0.3">
      <c r="K1417" t="str">
        <f t="shared" si="114"/>
        <v/>
      </c>
      <c r="L1417" t="str">
        <f t="shared" si="110"/>
        <v/>
      </c>
      <c r="M1417" t="str">
        <f t="shared" si="111"/>
        <v/>
      </c>
      <c r="N1417" t="str">
        <f t="shared" si="112"/>
        <v/>
      </c>
      <c r="O1417" t="str">
        <f t="shared" si="113"/>
        <v/>
      </c>
    </row>
    <row r="1418" spans="11:15" x14ac:dyDescent="0.3">
      <c r="K1418" t="str">
        <f t="shared" si="114"/>
        <v/>
      </c>
      <c r="L1418" t="str">
        <f t="shared" si="110"/>
        <v/>
      </c>
      <c r="M1418" t="str">
        <f t="shared" si="111"/>
        <v/>
      </c>
      <c r="N1418" t="str">
        <f t="shared" si="112"/>
        <v/>
      </c>
      <c r="O1418" t="str">
        <f t="shared" si="113"/>
        <v/>
      </c>
    </row>
    <row r="1419" spans="11:15" x14ac:dyDescent="0.3">
      <c r="K1419" t="str">
        <f t="shared" si="114"/>
        <v/>
      </c>
      <c r="L1419" t="str">
        <f t="shared" si="110"/>
        <v/>
      </c>
      <c r="M1419" t="str">
        <f t="shared" si="111"/>
        <v/>
      </c>
      <c r="N1419" t="str">
        <f t="shared" si="112"/>
        <v/>
      </c>
      <c r="O1419" t="str">
        <f t="shared" si="113"/>
        <v/>
      </c>
    </row>
    <row r="1420" spans="11:15" x14ac:dyDescent="0.3">
      <c r="K1420" t="str">
        <f t="shared" si="114"/>
        <v/>
      </c>
      <c r="L1420" t="str">
        <f t="shared" si="110"/>
        <v/>
      </c>
      <c r="M1420" t="str">
        <f t="shared" si="111"/>
        <v/>
      </c>
      <c r="N1420" t="str">
        <f t="shared" si="112"/>
        <v/>
      </c>
      <c r="O1420" t="str">
        <f t="shared" si="113"/>
        <v/>
      </c>
    </row>
    <row r="1421" spans="11:15" x14ac:dyDescent="0.3">
      <c r="K1421" t="str">
        <f t="shared" si="114"/>
        <v/>
      </c>
      <c r="L1421" t="str">
        <f t="shared" si="110"/>
        <v/>
      </c>
      <c r="M1421" t="str">
        <f t="shared" si="111"/>
        <v/>
      </c>
      <c r="N1421" t="str">
        <f t="shared" si="112"/>
        <v/>
      </c>
      <c r="O1421" t="str">
        <f t="shared" si="113"/>
        <v/>
      </c>
    </row>
    <row r="1422" spans="11:15" x14ac:dyDescent="0.3">
      <c r="K1422" t="str">
        <f t="shared" si="114"/>
        <v/>
      </c>
      <c r="L1422" t="str">
        <f t="shared" si="110"/>
        <v/>
      </c>
      <c r="M1422" t="str">
        <f t="shared" si="111"/>
        <v/>
      </c>
      <c r="N1422" t="str">
        <f t="shared" si="112"/>
        <v/>
      </c>
      <c r="O1422" t="str">
        <f t="shared" si="113"/>
        <v/>
      </c>
    </row>
    <row r="1423" spans="11:15" x14ac:dyDescent="0.3">
      <c r="K1423" t="str">
        <f t="shared" si="114"/>
        <v/>
      </c>
      <c r="L1423" t="str">
        <f t="shared" si="110"/>
        <v/>
      </c>
      <c r="M1423" t="str">
        <f t="shared" si="111"/>
        <v/>
      </c>
      <c r="N1423" t="str">
        <f t="shared" si="112"/>
        <v/>
      </c>
      <c r="O1423" t="str">
        <f t="shared" si="113"/>
        <v/>
      </c>
    </row>
    <row r="1424" spans="11:15" x14ac:dyDescent="0.3">
      <c r="K1424" t="str">
        <f t="shared" si="114"/>
        <v/>
      </c>
      <c r="L1424" t="str">
        <f t="shared" si="110"/>
        <v/>
      </c>
      <c r="M1424" t="str">
        <f t="shared" si="111"/>
        <v/>
      </c>
      <c r="N1424" t="str">
        <f t="shared" si="112"/>
        <v/>
      </c>
      <c r="O1424" t="str">
        <f t="shared" si="113"/>
        <v/>
      </c>
    </row>
    <row r="1425" spans="11:15" x14ac:dyDescent="0.3">
      <c r="K1425" t="str">
        <f t="shared" si="114"/>
        <v/>
      </c>
      <c r="L1425" t="str">
        <f t="shared" si="110"/>
        <v/>
      </c>
      <c r="M1425" t="str">
        <f t="shared" si="111"/>
        <v/>
      </c>
      <c r="N1425" t="str">
        <f t="shared" si="112"/>
        <v/>
      </c>
      <c r="O1425" t="str">
        <f t="shared" si="113"/>
        <v/>
      </c>
    </row>
    <row r="1426" spans="11:15" x14ac:dyDescent="0.3">
      <c r="K1426" t="str">
        <f t="shared" si="114"/>
        <v/>
      </c>
      <c r="L1426" t="str">
        <f t="shared" si="110"/>
        <v/>
      </c>
      <c r="M1426" t="str">
        <f t="shared" si="111"/>
        <v/>
      </c>
      <c r="N1426" t="str">
        <f t="shared" si="112"/>
        <v/>
      </c>
      <c r="O1426" t="str">
        <f t="shared" si="113"/>
        <v/>
      </c>
    </row>
    <row r="1427" spans="11:15" x14ac:dyDescent="0.3">
      <c r="K1427" t="str">
        <f t="shared" si="114"/>
        <v/>
      </c>
      <c r="L1427" t="str">
        <f t="shared" si="110"/>
        <v/>
      </c>
      <c r="M1427" t="str">
        <f t="shared" si="111"/>
        <v/>
      </c>
      <c r="N1427" t="str">
        <f t="shared" si="112"/>
        <v/>
      </c>
      <c r="O1427" t="str">
        <f t="shared" si="113"/>
        <v/>
      </c>
    </row>
    <row r="1428" spans="11:15" x14ac:dyDescent="0.3">
      <c r="K1428" t="str">
        <f t="shared" si="114"/>
        <v/>
      </c>
      <c r="L1428" t="str">
        <f t="shared" si="110"/>
        <v/>
      </c>
      <c r="M1428" t="str">
        <f t="shared" si="111"/>
        <v/>
      </c>
      <c r="N1428" t="str">
        <f t="shared" si="112"/>
        <v/>
      </c>
      <c r="O1428" t="str">
        <f t="shared" si="113"/>
        <v/>
      </c>
    </row>
    <row r="1429" spans="11:15" x14ac:dyDescent="0.3">
      <c r="K1429" t="str">
        <f t="shared" si="114"/>
        <v/>
      </c>
      <c r="L1429" t="str">
        <f t="shared" si="110"/>
        <v/>
      </c>
      <c r="M1429" t="str">
        <f t="shared" si="111"/>
        <v/>
      </c>
      <c r="N1429" t="str">
        <f t="shared" si="112"/>
        <v/>
      </c>
      <c r="O1429" t="str">
        <f t="shared" si="113"/>
        <v/>
      </c>
    </row>
    <row r="1430" spans="11:15" x14ac:dyDescent="0.3">
      <c r="K1430" t="str">
        <f t="shared" si="114"/>
        <v/>
      </c>
      <c r="L1430" t="str">
        <f t="shared" si="110"/>
        <v/>
      </c>
      <c r="M1430" t="str">
        <f t="shared" si="111"/>
        <v/>
      </c>
      <c r="N1430" t="str">
        <f t="shared" si="112"/>
        <v/>
      </c>
      <c r="O1430" t="str">
        <f t="shared" si="113"/>
        <v/>
      </c>
    </row>
    <row r="1431" spans="11:15" x14ac:dyDescent="0.3">
      <c r="K1431" t="str">
        <f t="shared" si="114"/>
        <v/>
      </c>
      <c r="L1431" t="str">
        <f t="shared" si="110"/>
        <v/>
      </c>
      <c r="M1431" t="str">
        <f t="shared" si="111"/>
        <v/>
      </c>
      <c r="N1431" t="str">
        <f t="shared" si="112"/>
        <v/>
      </c>
      <c r="O1431" t="str">
        <f t="shared" si="113"/>
        <v/>
      </c>
    </row>
    <row r="1432" spans="11:15" x14ac:dyDescent="0.3">
      <c r="K1432" t="str">
        <f t="shared" si="114"/>
        <v/>
      </c>
      <c r="L1432" t="str">
        <f t="shared" si="110"/>
        <v/>
      </c>
      <c r="M1432" t="str">
        <f t="shared" si="111"/>
        <v/>
      </c>
      <c r="N1432" t="str">
        <f t="shared" si="112"/>
        <v/>
      </c>
      <c r="O1432" t="str">
        <f t="shared" si="113"/>
        <v/>
      </c>
    </row>
    <row r="1433" spans="11:15" x14ac:dyDescent="0.3">
      <c r="K1433" t="str">
        <f t="shared" si="114"/>
        <v/>
      </c>
      <c r="L1433" t="str">
        <f t="shared" si="110"/>
        <v/>
      </c>
      <c r="M1433" t="str">
        <f t="shared" si="111"/>
        <v/>
      </c>
      <c r="N1433" t="str">
        <f t="shared" si="112"/>
        <v/>
      </c>
      <c r="O1433" t="str">
        <f t="shared" si="113"/>
        <v/>
      </c>
    </row>
    <row r="1434" spans="11:15" x14ac:dyDescent="0.3">
      <c r="K1434" t="str">
        <f t="shared" si="114"/>
        <v/>
      </c>
      <c r="L1434" t="str">
        <f t="shared" si="110"/>
        <v/>
      </c>
      <c r="M1434" t="str">
        <f t="shared" si="111"/>
        <v/>
      </c>
      <c r="N1434" t="str">
        <f t="shared" si="112"/>
        <v/>
      </c>
      <c r="O1434" t="str">
        <f t="shared" si="113"/>
        <v/>
      </c>
    </row>
    <row r="1435" spans="11:15" x14ac:dyDescent="0.3">
      <c r="K1435" t="str">
        <f t="shared" si="114"/>
        <v/>
      </c>
      <c r="L1435" t="str">
        <f t="shared" si="110"/>
        <v/>
      </c>
      <c r="M1435" t="str">
        <f t="shared" si="111"/>
        <v/>
      </c>
      <c r="N1435" t="str">
        <f t="shared" si="112"/>
        <v/>
      </c>
      <c r="O1435" t="str">
        <f t="shared" si="113"/>
        <v/>
      </c>
    </row>
    <row r="1436" spans="11:15" x14ac:dyDescent="0.3">
      <c r="K1436" t="str">
        <f t="shared" si="114"/>
        <v/>
      </c>
      <c r="L1436" t="str">
        <f t="shared" si="110"/>
        <v/>
      </c>
      <c r="M1436" t="str">
        <f t="shared" si="111"/>
        <v/>
      </c>
      <c r="N1436" t="str">
        <f t="shared" si="112"/>
        <v/>
      </c>
      <c r="O1436" t="str">
        <f t="shared" si="113"/>
        <v/>
      </c>
    </row>
    <row r="1437" spans="11:15" x14ac:dyDescent="0.3">
      <c r="K1437" t="str">
        <f t="shared" si="114"/>
        <v/>
      </c>
      <c r="L1437" t="str">
        <f t="shared" si="110"/>
        <v/>
      </c>
      <c r="M1437" t="str">
        <f t="shared" si="111"/>
        <v/>
      </c>
      <c r="N1437" t="str">
        <f t="shared" si="112"/>
        <v/>
      </c>
      <c r="O1437" t="str">
        <f t="shared" si="113"/>
        <v/>
      </c>
    </row>
    <row r="1438" spans="11:15" x14ac:dyDescent="0.3">
      <c r="K1438" t="str">
        <f t="shared" si="114"/>
        <v/>
      </c>
      <c r="L1438" t="str">
        <f t="shared" si="110"/>
        <v/>
      </c>
      <c r="M1438" t="str">
        <f t="shared" si="111"/>
        <v/>
      </c>
      <c r="N1438" t="str">
        <f t="shared" si="112"/>
        <v/>
      </c>
      <c r="O1438" t="str">
        <f t="shared" si="113"/>
        <v/>
      </c>
    </row>
    <row r="1439" spans="11:15" x14ac:dyDescent="0.3">
      <c r="K1439" t="str">
        <f t="shared" si="114"/>
        <v/>
      </c>
      <c r="L1439" t="str">
        <f t="shared" si="110"/>
        <v/>
      </c>
      <c r="M1439" t="str">
        <f t="shared" si="111"/>
        <v/>
      </c>
      <c r="N1439" t="str">
        <f t="shared" si="112"/>
        <v/>
      </c>
      <c r="O1439" t="str">
        <f t="shared" si="113"/>
        <v/>
      </c>
    </row>
    <row r="1440" spans="11:15" x14ac:dyDescent="0.3">
      <c r="K1440" t="str">
        <f t="shared" si="114"/>
        <v/>
      </c>
      <c r="L1440" t="str">
        <f t="shared" si="110"/>
        <v/>
      </c>
      <c r="M1440" t="str">
        <f t="shared" si="111"/>
        <v/>
      </c>
      <c r="N1440" t="str">
        <f t="shared" si="112"/>
        <v/>
      </c>
      <c r="O1440" t="str">
        <f t="shared" si="113"/>
        <v/>
      </c>
    </row>
    <row r="1441" spans="11:15" x14ac:dyDescent="0.3">
      <c r="K1441" t="str">
        <f t="shared" si="114"/>
        <v/>
      </c>
      <c r="L1441" t="str">
        <f t="shared" si="110"/>
        <v/>
      </c>
      <c r="M1441" t="str">
        <f t="shared" si="111"/>
        <v/>
      </c>
      <c r="N1441" t="str">
        <f t="shared" si="112"/>
        <v/>
      </c>
      <c r="O1441" t="str">
        <f t="shared" si="113"/>
        <v/>
      </c>
    </row>
    <row r="1442" spans="11:15" x14ac:dyDescent="0.3">
      <c r="K1442" t="str">
        <f t="shared" si="114"/>
        <v/>
      </c>
      <c r="L1442" t="str">
        <f t="shared" si="110"/>
        <v/>
      </c>
      <c r="M1442" t="str">
        <f t="shared" si="111"/>
        <v/>
      </c>
      <c r="N1442" t="str">
        <f t="shared" si="112"/>
        <v/>
      </c>
      <c r="O1442" t="str">
        <f t="shared" si="113"/>
        <v/>
      </c>
    </row>
    <row r="1443" spans="11:15" x14ac:dyDescent="0.3">
      <c r="K1443" t="str">
        <f t="shared" si="114"/>
        <v/>
      </c>
      <c r="L1443" t="str">
        <f t="shared" si="110"/>
        <v/>
      </c>
      <c r="M1443" t="str">
        <f t="shared" si="111"/>
        <v/>
      </c>
      <c r="N1443" t="str">
        <f t="shared" si="112"/>
        <v/>
      </c>
      <c r="O1443" t="str">
        <f t="shared" si="113"/>
        <v/>
      </c>
    </row>
    <row r="1444" spans="11:15" x14ac:dyDescent="0.3">
      <c r="K1444" t="str">
        <f t="shared" si="114"/>
        <v/>
      </c>
      <c r="L1444" t="str">
        <f t="shared" si="110"/>
        <v/>
      </c>
      <c r="M1444" t="str">
        <f t="shared" si="111"/>
        <v/>
      </c>
      <c r="N1444" t="str">
        <f t="shared" si="112"/>
        <v/>
      </c>
      <c r="O1444" t="str">
        <f t="shared" si="113"/>
        <v/>
      </c>
    </row>
    <row r="1445" spans="11:15" x14ac:dyDescent="0.3">
      <c r="K1445" t="str">
        <f t="shared" si="114"/>
        <v/>
      </c>
      <c r="L1445" t="str">
        <f t="shared" si="110"/>
        <v/>
      </c>
      <c r="M1445" t="str">
        <f t="shared" si="111"/>
        <v/>
      </c>
      <c r="N1445" t="str">
        <f t="shared" si="112"/>
        <v/>
      </c>
      <c r="O1445" t="str">
        <f t="shared" si="113"/>
        <v/>
      </c>
    </row>
    <row r="1446" spans="11:15" x14ac:dyDescent="0.3">
      <c r="K1446" t="str">
        <f t="shared" si="114"/>
        <v/>
      </c>
      <c r="L1446" t="str">
        <f t="shared" si="110"/>
        <v/>
      </c>
      <c r="M1446" t="str">
        <f t="shared" si="111"/>
        <v/>
      </c>
      <c r="N1446" t="str">
        <f t="shared" si="112"/>
        <v/>
      </c>
      <c r="O1446" t="str">
        <f t="shared" si="113"/>
        <v/>
      </c>
    </row>
    <row r="1447" spans="11:15" x14ac:dyDescent="0.3">
      <c r="K1447" t="str">
        <f t="shared" si="114"/>
        <v/>
      </c>
      <c r="L1447" t="str">
        <f t="shared" si="110"/>
        <v/>
      </c>
      <c r="M1447" t="str">
        <f t="shared" si="111"/>
        <v/>
      </c>
      <c r="N1447" t="str">
        <f t="shared" si="112"/>
        <v/>
      </c>
      <c r="O1447" t="str">
        <f t="shared" si="113"/>
        <v/>
      </c>
    </row>
    <row r="1448" spans="11:15" x14ac:dyDescent="0.3">
      <c r="K1448" t="str">
        <f t="shared" si="114"/>
        <v/>
      </c>
      <c r="L1448" t="str">
        <f t="shared" si="110"/>
        <v/>
      </c>
      <c r="M1448" t="str">
        <f t="shared" si="111"/>
        <v/>
      </c>
      <c r="N1448" t="str">
        <f t="shared" si="112"/>
        <v/>
      </c>
      <c r="O1448" t="str">
        <f t="shared" si="113"/>
        <v/>
      </c>
    </row>
    <row r="1449" spans="11:15" x14ac:dyDescent="0.3">
      <c r="K1449" t="str">
        <f t="shared" si="114"/>
        <v/>
      </c>
      <c r="L1449" t="str">
        <f t="shared" si="110"/>
        <v/>
      </c>
      <c r="M1449" t="str">
        <f t="shared" si="111"/>
        <v/>
      </c>
      <c r="N1449" t="str">
        <f t="shared" si="112"/>
        <v/>
      </c>
      <c r="O1449" t="str">
        <f t="shared" si="113"/>
        <v/>
      </c>
    </row>
    <row r="1450" spans="11:15" x14ac:dyDescent="0.3">
      <c r="K1450" t="str">
        <f t="shared" si="114"/>
        <v/>
      </c>
      <c r="L1450" t="str">
        <f t="shared" si="110"/>
        <v/>
      </c>
      <c r="M1450" t="str">
        <f t="shared" si="111"/>
        <v/>
      </c>
      <c r="N1450" t="str">
        <f t="shared" si="112"/>
        <v/>
      </c>
      <c r="O1450" t="str">
        <f t="shared" si="113"/>
        <v/>
      </c>
    </row>
    <row r="1451" spans="11:15" x14ac:dyDescent="0.3">
      <c r="K1451" t="str">
        <f t="shared" si="114"/>
        <v/>
      </c>
      <c r="L1451" t="str">
        <f t="shared" si="110"/>
        <v/>
      </c>
      <c r="M1451" t="str">
        <f t="shared" si="111"/>
        <v/>
      </c>
      <c r="N1451" t="str">
        <f t="shared" si="112"/>
        <v/>
      </c>
      <c r="O1451" t="str">
        <f t="shared" si="113"/>
        <v/>
      </c>
    </row>
    <row r="1452" spans="11:15" x14ac:dyDescent="0.3">
      <c r="K1452" t="str">
        <f t="shared" si="114"/>
        <v/>
      </c>
      <c r="L1452" t="str">
        <f t="shared" si="110"/>
        <v/>
      </c>
      <c r="M1452" t="str">
        <f t="shared" si="111"/>
        <v/>
      </c>
      <c r="N1452" t="str">
        <f t="shared" si="112"/>
        <v/>
      </c>
      <c r="O1452" t="str">
        <f t="shared" si="113"/>
        <v/>
      </c>
    </row>
    <row r="1453" spans="11:15" x14ac:dyDescent="0.3">
      <c r="K1453" t="str">
        <f t="shared" si="114"/>
        <v/>
      </c>
      <c r="L1453" t="str">
        <f t="shared" si="110"/>
        <v/>
      </c>
      <c r="M1453" t="str">
        <f t="shared" si="111"/>
        <v/>
      </c>
      <c r="N1453" t="str">
        <f t="shared" si="112"/>
        <v/>
      </c>
      <c r="O1453" t="str">
        <f t="shared" si="113"/>
        <v/>
      </c>
    </row>
    <row r="1454" spans="11:15" x14ac:dyDescent="0.3">
      <c r="K1454" t="str">
        <f t="shared" si="114"/>
        <v/>
      </c>
      <c r="L1454" t="str">
        <f t="shared" si="110"/>
        <v/>
      </c>
      <c r="M1454" t="str">
        <f t="shared" si="111"/>
        <v/>
      </c>
      <c r="N1454" t="str">
        <f t="shared" si="112"/>
        <v/>
      </c>
      <c r="O1454" t="str">
        <f t="shared" si="113"/>
        <v/>
      </c>
    </row>
    <row r="1455" spans="11:15" x14ac:dyDescent="0.3">
      <c r="K1455" t="str">
        <f t="shared" si="114"/>
        <v/>
      </c>
      <c r="L1455" t="str">
        <f t="shared" si="110"/>
        <v/>
      </c>
      <c r="M1455" t="str">
        <f t="shared" si="111"/>
        <v/>
      </c>
      <c r="N1455" t="str">
        <f t="shared" si="112"/>
        <v/>
      </c>
      <c r="O1455" t="str">
        <f t="shared" si="113"/>
        <v/>
      </c>
    </row>
    <row r="1456" spans="11:15" x14ac:dyDescent="0.3">
      <c r="K1456" t="str">
        <f t="shared" si="114"/>
        <v/>
      </c>
      <c r="L1456" t="str">
        <f t="shared" si="110"/>
        <v/>
      </c>
      <c r="M1456" t="str">
        <f t="shared" si="111"/>
        <v/>
      </c>
      <c r="N1456" t="str">
        <f t="shared" si="112"/>
        <v/>
      </c>
      <c r="O1456" t="str">
        <f t="shared" si="113"/>
        <v/>
      </c>
    </row>
    <row r="1457" spans="11:15" x14ac:dyDescent="0.3">
      <c r="K1457" t="str">
        <f t="shared" si="114"/>
        <v/>
      </c>
      <c r="L1457" t="str">
        <f t="shared" si="110"/>
        <v/>
      </c>
      <c r="M1457" t="str">
        <f t="shared" si="111"/>
        <v/>
      </c>
      <c r="N1457" t="str">
        <f t="shared" si="112"/>
        <v/>
      </c>
      <c r="O1457" t="str">
        <f t="shared" si="113"/>
        <v/>
      </c>
    </row>
    <row r="1458" spans="11:15" x14ac:dyDescent="0.3">
      <c r="K1458" t="str">
        <f t="shared" si="114"/>
        <v/>
      </c>
      <c r="L1458" t="str">
        <f t="shared" si="110"/>
        <v/>
      </c>
      <c r="M1458" t="str">
        <f t="shared" si="111"/>
        <v/>
      </c>
      <c r="N1458" t="str">
        <f t="shared" si="112"/>
        <v/>
      </c>
      <c r="O1458" t="str">
        <f t="shared" si="113"/>
        <v/>
      </c>
    </row>
    <row r="1459" spans="11:15" x14ac:dyDescent="0.3">
      <c r="K1459" t="str">
        <f t="shared" si="114"/>
        <v/>
      </c>
      <c r="L1459" t="str">
        <f t="shared" si="110"/>
        <v/>
      </c>
      <c r="M1459" t="str">
        <f t="shared" si="111"/>
        <v/>
      </c>
      <c r="N1459" t="str">
        <f t="shared" si="112"/>
        <v/>
      </c>
      <c r="O1459" t="str">
        <f t="shared" si="113"/>
        <v/>
      </c>
    </row>
    <row r="1460" spans="11:15" x14ac:dyDescent="0.3">
      <c r="K1460" t="str">
        <f t="shared" si="114"/>
        <v/>
      </c>
      <c r="L1460" t="str">
        <f t="shared" si="110"/>
        <v/>
      </c>
      <c r="M1460" t="str">
        <f t="shared" si="111"/>
        <v/>
      </c>
      <c r="N1460" t="str">
        <f t="shared" si="112"/>
        <v/>
      </c>
      <c r="O1460" t="str">
        <f t="shared" si="113"/>
        <v/>
      </c>
    </row>
    <row r="1461" spans="11:15" x14ac:dyDescent="0.3">
      <c r="K1461" t="str">
        <f t="shared" si="114"/>
        <v/>
      </c>
      <c r="L1461" t="str">
        <f t="shared" si="110"/>
        <v/>
      </c>
      <c r="M1461" t="str">
        <f t="shared" si="111"/>
        <v/>
      </c>
      <c r="N1461" t="str">
        <f t="shared" si="112"/>
        <v/>
      </c>
      <c r="O1461" t="str">
        <f t="shared" si="113"/>
        <v/>
      </c>
    </row>
    <row r="1462" spans="11:15" x14ac:dyDescent="0.3">
      <c r="K1462" t="str">
        <f t="shared" si="114"/>
        <v/>
      </c>
      <c r="L1462" t="str">
        <f t="shared" si="110"/>
        <v/>
      </c>
      <c r="M1462" t="str">
        <f t="shared" si="111"/>
        <v/>
      </c>
      <c r="N1462" t="str">
        <f t="shared" si="112"/>
        <v/>
      </c>
      <c r="O1462" t="str">
        <f t="shared" si="113"/>
        <v/>
      </c>
    </row>
    <row r="1463" spans="11:15" x14ac:dyDescent="0.3">
      <c r="K1463" t="str">
        <f t="shared" si="114"/>
        <v/>
      </c>
      <c r="L1463" t="str">
        <f t="shared" si="110"/>
        <v/>
      </c>
      <c r="M1463" t="str">
        <f t="shared" si="111"/>
        <v/>
      </c>
      <c r="N1463" t="str">
        <f t="shared" si="112"/>
        <v/>
      </c>
      <c r="O1463" t="str">
        <f t="shared" si="113"/>
        <v/>
      </c>
    </row>
    <row r="1464" spans="11:15" x14ac:dyDescent="0.3">
      <c r="K1464" t="str">
        <f t="shared" si="114"/>
        <v/>
      </c>
      <c r="L1464" t="str">
        <f t="shared" si="110"/>
        <v/>
      </c>
      <c r="M1464" t="str">
        <f t="shared" si="111"/>
        <v/>
      </c>
      <c r="N1464" t="str">
        <f t="shared" si="112"/>
        <v/>
      </c>
      <c r="O1464" t="str">
        <f t="shared" si="113"/>
        <v/>
      </c>
    </row>
    <row r="1465" spans="11:15" x14ac:dyDescent="0.3">
      <c r="K1465" t="str">
        <f t="shared" si="114"/>
        <v/>
      </c>
      <c r="L1465" t="str">
        <f t="shared" si="110"/>
        <v/>
      </c>
      <c r="M1465" t="str">
        <f t="shared" si="111"/>
        <v/>
      </c>
      <c r="N1465" t="str">
        <f t="shared" si="112"/>
        <v/>
      </c>
      <c r="O1465" t="str">
        <f t="shared" si="113"/>
        <v/>
      </c>
    </row>
    <row r="1466" spans="11:15" x14ac:dyDescent="0.3">
      <c r="K1466" t="str">
        <f t="shared" si="114"/>
        <v/>
      </c>
      <c r="L1466" t="str">
        <f t="shared" si="110"/>
        <v/>
      </c>
      <c r="M1466" t="str">
        <f t="shared" si="111"/>
        <v/>
      </c>
      <c r="N1466" t="str">
        <f t="shared" si="112"/>
        <v/>
      </c>
      <c r="O1466" t="str">
        <f t="shared" si="113"/>
        <v/>
      </c>
    </row>
    <row r="1467" spans="11:15" x14ac:dyDescent="0.3">
      <c r="K1467" t="str">
        <f t="shared" si="114"/>
        <v/>
      </c>
      <c r="L1467" t="str">
        <f t="shared" si="110"/>
        <v/>
      </c>
      <c r="M1467" t="str">
        <f t="shared" si="111"/>
        <v/>
      </c>
      <c r="N1467" t="str">
        <f t="shared" si="112"/>
        <v/>
      </c>
      <c r="O1467" t="str">
        <f t="shared" si="113"/>
        <v/>
      </c>
    </row>
    <row r="1468" spans="11:15" x14ac:dyDescent="0.3">
      <c r="K1468" t="str">
        <f t="shared" si="114"/>
        <v/>
      </c>
      <c r="L1468" t="str">
        <f t="shared" si="110"/>
        <v/>
      </c>
      <c r="M1468" t="str">
        <f t="shared" si="111"/>
        <v/>
      </c>
      <c r="N1468" t="str">
        <f t="shared" si="112"/>
        <v/>
      </c>
      <c r="O1468" t="str">
        <f t="shared" si="113"/>
        <v/>
      </c>
    </row>
    <row r="1469" spans="11:15" x14ac:dyDescent="0.3">
      <c r="K1469" t="str">
        <f t="shared" si="114"/>
        <v/>
      </c>
      <c r="L1469" t="str">
        <f t="shared" si="110"/>
        <v/>
      </c>
      <c r="M1469" t="str">
        <f t="shared" si="111"/>
        <v/>
      </c>
      <c r="N1469" t="str">
        <f t="shared" si="112"/>
        <v/>
      </c>
      <c r="O1469" t="str">
        <f t="shared" si="113"/>
        <v/>
      </c>
    </row>
    <row r="1470" spans="11:15" x14ac:dyDescent="0.3">
      <c r="K1470" t="str">
        <f t="shared" si="114"/>
        <v/>
      </c>
      <c r="L1470" t="str">
        <f t="shared" si="110"/>
        <v/>
      </c>
      <c r="M1470" t="str">
        <f t="shared" si="111"/>
        <v/>
      </c>
      <c r="N1470" t="str">
        <f t="shared" si="112"/>
        <v/>
      </c>
      <c r="O1470" t="str">
        <f t="shared" si="113"/>
        <v/>
      </c>
    </row>
    <row r="1471" spans="11:15" x14ac:dyDescent="0.3">
      <c r="K1471" t="str">
        <f t="shared" si="114"/>
        <v/>
      </c>
      <c r="L1471" t="str">
        <f t="shared" si="110"/>
        <v/>
      </c>
      <c r="M1471" t="str">
        <f t="shared" si="111"/>
        <v/>
      </c>
      <c r="N1471" t="str">
        <f t="shared" si="112"/>
        <v/>
      </c>
      <c r="O1471" t="str">
        <f t="shared" si="113"/>
        <v/>
      </c>
    </row>
    <row r="1472" spans="11:15" x14ac:dyDescent="0.3">
      <c r="K1472" t="str">
        <f t="shared" si="114"/>
        <v/>
      </c>
      <c r="L1472" t="str">
        <f t="shared" si="110"/>
        <v/>
      </c>
      <c r="M1472" t="str">
        <f t="shared" si="111"/>
        <v/>
      </c>
      <c r="N1472" t="str">
        <f t="shared" si="112"/>
        <v/>
      </c>
      <c r="O1472" t="str">
        <f t="shared" si="113"/>
        <v/>
      </c>
    </row>
    <row r="1473" spans="11:15" x14ac:dyDescent="0.3">
      <c r="K1473" t="str">
        <f t="shared" si="114"/>
        <v/>
      </c>
      <c r="L1473" t="str">
        <f t="shared" ref="L1473:L1500" si="115">IF(A1473="","",IF(ISNUMBER(--LEFT(A1473,FIND(" - ",A1473&amp;" - ")-1)),LEFT(A1473,FIND(" - ",A1473&amp;" - ")-1),TRIM(A1473)))</f>
        <v/>
      </c>
      <c r="M1473" t="str">
        <f t="shared" ref="M1473:M1536" si="116">IF(OR(K1473="",K1473=A1473,A1473=""),"",K1473&amp;"|"&amp;L1473)</f>
        <v/>
      </c>
      <c r="N1473" t="str">
        <f t="shared" ref="N1473:N1536" si="117">IF(M1473="","",IF(ISNUMBER(B1473),B1473,IFERROR(_xlfn.NUMBERVALUE(B1473,".",","),0)))</f>
        <v/>
      </c>
      <c r="O1473" t="str">
        <f t="shared" ref="O1473:O1500" si="118">IF(M1473="","",IF(ISNUMBER(C1473),C1473,IFERROR(_xlfn.NUMBERVALUE(C1473,".",","),0)))</f>
        <v/>
      </c>
    </row>
    <row r="1474" spans="11:15" x14ac:dyDescent="0.3">
      <c r="K1474" t="str">
        <f t="shared" ref="K1474:K1500" si="119">IF(OR(LEFT(B1474,9)="DOANH THU",LEFT(B1474,8)="SỐ LƯỢNG"),A1474,K1473)</f>
        <v/>
      </c>
      <c r="L1474" t="str">
        <f t="shared" si="115"/>
        <v/>
      </c>
      <c r="M1474" t="str">
        <f t="shared" si="116"/>
        <v/>
      </c>
      <c r="N1474" t="str">
        <f t="shared" si="117"/>
        <v/>
      </c>
      <c r="O1474" t="str">
        <f t="shared" si="118"/>
        <v/>
      </c>
    </row>
    <row r="1475" spans="11:15" x14ac:dyDescent="0.3">
      <c r="K1475" t="str">
        <f t="shared" si="119"/>
        <v/>
      </c>
      <c r="L1475" t="str">
        <f t="shared" si="115"/>
        <v/>
      </c>
      <c r="M1475" t="str">
        <f t="shared" si="116"/>
        <v/>
      </c>
      <c r="N1475" t="str">
        <f t="shared" si="117"/>
        <v/>
      </c>
      <c r="O1475" t="str">
        <f t="shared" si="118"/>
        <v/>
      </c>
    </row>
    <row r="1476" spans="11:15" x14ac:dyDescent="0.3">
      <c r="K1476" t="str">
        <f t="shared" si="119"/>
        <v/>
      </c>
      <c r="L1476" t="str">
        <f t="shared" si="115"/>
        <v/>
      </c>
      <c r="M1476" t="str">
        <f t="shared" si="116"/>
        <v/>
      </c>
      <c r="N1476" t="str">
        <f t="shared" si="117"/>
        <v/>
      </c>
      <c r="O1476" t="str">
        <f t="shared" si="118"/>
        <v/>
      </c>
    </row>
    <row r="1477" spans="11:15" x14ac:dyDescent="0.3">
      <c r="K1477" t="str">
        <f t="shared" si="119"/>
        <v/>
      </c>
      <c r="L1477" t="str">
        <f t="shared" si="115"/>
        <v/>
      </c>
      <c r="M1477" t="str">
        <f t="shared" si="116"/>
        <v/>
      </c>
      <c r="N1477" t="str">
        <f t="shared" si="117"/>
        <v/>
      </c>
      <c r="O1477" t="str">
        <f t="shared" si="118"/>
        <v/>
      </c>
    </row>
    <row r="1478" spans="11:15" x14ac:dyDescent="0.3">
      <c r="K1478" t="str">
        <f t="shared" si="119"/>
        <v/>
      </c>
      <c r="L1478" t="str">
        <f t="shared" si="115"/>
        <v/>
      </c>
      <c r="M1478" t="str">
        <f t="shared" si="116"/>
        <v/>
      </c>
      <c r="N1478" t="str">
        <f t="shared" si="117"/>
        <v/>
      </c>
      <c r="O1478" t="str">
        <f t="shared" si="118"/>
        <v/>
      </c>
    </row>
    <row r="1479" spans="11:15" x14ac:dyDescent="0.3">
      <c r="K1479" t="str">
        <f t="shared" si="119"/>
        <v/>
      </c>
      <c r="L1479" t="str">
        <f t="shared" si="115"/>
        <v/>
      </c>
      <c r="M1479" t="str">
        <f t="shared" si="116"/>
        <v/>
      </c>
      <c r="N1479" t="str">
        <f t="shared" si="117"/>
        <v/>
      </c>
      <c r="O1479" t="str">
        <f t="shared" si="118"/>
        <v/>
      </c>
    </row>
    <row r="1480" spans="11:15" x14ac:dyDescent="0.3">
      <c r="K1480" t="str">
        <f t="shared" si="119"/>
        <v/>
      </c>
      <c r="L1480" t="str">
        <f t="shared" si="115"/>
        <v/>
      </c>
      <c r="M1480" t="str">
        <f t="shared" si="116"/>
        <v/>
      </c>
      <c r="N1480" t="str">
        <f t="shared" si="117"/>
        <v/>
      </c>
      <c r="O1480" t="str">
        <f t="shared" si="118"/>
        <v/>
      </c>
    </row>
    <row r="1481" spans="11:15" x14ac:dyDescent="0.3">
      <c r="K1481" t="str">
        <f t="shared" si="119"/>
        <v/>
      </c>
      <c r="L1481" t="str">
        <f t="shared" si="115"/>
        <v/>
      </c>
      <c r="M1481" t="str">
        <f t="shared" si="116"/>
        <v/>
      </c>
      <c r="N1481" t="str">
        <f t="shared" si="117"/>
        <v/>
      </c>
      <c r="O1481" t="str">
        <f t="shared" si="118"/>
        <v/>
      </c>
    </row>
    <row r="1482" spans="11:15" x14ac:dyDescent="0.3">
      <c r="K1482" t="str">
        <f t="shared" si="119"/>
        <v/>
      </c>
      <c r="L1482" t="str">
        <f t="shared" si="115"/>
        <v/>
      </c>
      <c r="M1482" t="str">
        <f t="shared" si="116"/>
        <v/>
      </c>
      <c r="N1482" t="str">
        <f t="shared" si="117"/>
        <v/>
      </c>
      <c r="O1482" t="str">
        <f t="shared" si="118"/>
        <v/>
      </c>
    </row>
    <row r="1483" spans="11:15" x14ac:dyDescent="0.3">
      <c r="K1483" t="str">
        <f t="shared" si="119"/>
        <v/>
      </c>
      <c r="L1483" t="str">
        <f t="shared" si="115"/>
        <v/>
      </c>
      <c r="M1483" t="str">
        <f t="shared" si="116"/>
        <v/>
      </c>
      <c r="N1483" t="str">
        <f t="shared" si="117"/>
        <v/>
      </c>
      <c r="O1483" t="str">
        <f t="shared" si="118"/>
        <v/>
      </c>
    </row>
    <row r="1484" spans="11:15" x14ac:dyDescent="0.3">
      <c r="K1484" t="str">
        <f t="shared" si="119"/>
        <v/>
      </c>
      <c r="L1484" t="str">
        <f t="shared" si="115"/>
        <v/>
      </c>
      <c r="M1484" t="str">
        <f t="shared" si="116"/>
        <v/>
      </c>
      <c r="N1484" t="str">
        <f t="shared" si="117"/>
        <v/>
      </c>
      <c r="O1484" t="str">
        <f t="shared" si="118"/>
        <v/>
      </c>
    </row>
    <row r="1485" spans="11:15" x14ac:dyDescent="0.3">
      <c r="K1485" t="str">
        <f t="shared" si="119"/>
        <v/>
      </c>
      <c r="L1485" t="str">
        <f t="shared" si="115"/>
        <v/>
      </c>
      <c r="M1485" t="str">
        <f t="shared" si="116"/>
        <v/>
      </c>
      <c r="N1485" t="str">
        <f t="shared" si="117"/>
        <v/>
      </c>
      <c r="O1485" t="str">
        <f t="shared" si="118"/>
        <v/>
      </c>
    </row>
    <row r="1486" spans="11:15" x14ac:dyDescent="0.3">
      <c r="K1486" t="str">
        <f t="shared" si="119"/>
        <v/>
      </c>
      <c r="L1486" t="str">
        <f t="shared" si="115"/>
        <v/>
      </c>
      <c r="M1486" t="str">
        <f t="shared" si="116"/>
        <v/>
      </c>
      <c r="N1486" t="str">
        <f t="shared" si="117"/>
        <v/>
      </c>
      <c r="O1486" t="str">
        <f t="shared" si="118"/>
        <v/>
      </c>
    </row>
    <row r="1487" spans="11:15" x14ac:dyDescent="0.3">
      <c r="K1487" t="str">
        <f t="shared" si="119"/>
        <v/>
      </c>
      <c r="L1487" t="str">
        <f t="shared" si="115"/>
        <v/>
      </c>
      <c r="M1487" t="str">
        <f t="shared" si="116"/>
        <v/>
      </c>
      <c r="N1487" t="str">
        <f t="shared" si="117"/>
        <v/>
      </c>
      <c r="O1487" t="str">
        <f t="shared" si="118"/>
        <v/>
      </c>
    </row>
    <row r="1488" spans="11:15" x14ac:dyDescent="0.3">
      <c r="K1488" t="str">
        <f t="shared" si="119"/>
        <v/>
      </c>
      <c r="L1488" t="str">
        <f t="shared" si="115"/>
        <v/>
      </c>
      <c r="M1488" t="str">
        <f t="shared" si="116"/>
        <v/>
      </c>
      <c r="N1488" t="str">
        <f t="shared" si="117"/>
        <v/>
      </c>
      <c r="O1488" t="str">
        <f t="shared" si="118"/>
        <v/>
      </c>
    </row>
    <row r="1489" spans="11:15" x14ac:dyDescent="0.3">
      <c r="K1489" t="str">
        <f t="shared" si="119"/>
        <v/>
      </c>
      <c r="L1489" t="str">
        <f t="shared" si="115"/>
        <v/>
      </c>
      <c r="M1489" t="str">
        <f t="shared" si="116"/>
        <v/>
      </c>
      <c r="N1489" t="str">
        <f t="shared" si="117"/>
        <v/>
      </c>
      <c r="O1489" t="str">
        <f t="shared" si="118"/>
        <v/>
      </c>
    </row>
    <row r="1490" spans="11:15" x14ac:dyDescent="0.3">
      <c r="K1490" t="str">
        <f t="shared" si="119"/>
        <v/>
      </c>
      <c r="L1490" t="str">
        <f t="shared" si="115"/>
        <v/>
      </c>
      <c r="M1490" t="str">
        <f t="shared" si="116"/>
        <v/>
      </c>
      <c r="N1490" t="str">
        <f t="shared" si="117"/>
        <v/>
      </c>
      <c r="O1490" t="str">
        <f t="shared" si="118"/>
        <v/>
      </c>
    </row>
    <row r="1491" spans="11:15" x14ac:dyDescent="0.3">
      <c r="K1491" t="str">
        <f t="shared" si="119"/>
        <v/>
      </c>
      <c r="L1491" t="str">
        <f t="shared" si="115"/>
        <v/>
      </c>
      <c r="M1491" t="str">
        <f t="shared" si="116"/>
        <v/>
      </c>
      <c r="N1491" t="str">
        <f t="shared" si="117"/>
        <v/>
      </c>
      <c r="O1491" t="str">
        <f t="shared" si="118"/>
        <v/>
      </c>
    </row>
    <row r="1492" spans="11:15" x14ac:dyDescent="0.3">
      <c r="K1492" t="str">
        <f t="shared" si="119"/>
        <v/>
      </c>
      <c r="L1492" t="str">
        <f t="shared" si="115"/>
        <v/>
      </c>
      <c r="M1492" t="str">
        <f t="shared" si="116"/>
        <v/>
      </c>
      <c r="N1492" t="str">
        <f t="shared" si="117"/>
        <v/>
      </c>
      <c r="O1492" t="str">
        <f t="shared" si="118"/>
        <v/>
      </c>
    </row>
    <row r="1493" spans="11:15" x14ac:dyDescent="0.3">
      <c r="K1493" t="str">
        <f t="shared" si="119"/>
        <v/>
      </c>
      <c r="L1493" t="str">
        <f t="shared" si="115"/>
        <v/>
      </c>
      <c r="M1493" t="str">
        <f t="shared" si="116"/>
        <v/>
      </c>
      <c r="N1493" t="str">
        <f t="shared" si="117"/>
        <v/>
      </c>
      <c r="O1493" t="str">
        <f t="shared" si="118"/>
        <v/>
      </c>
    </row>
    <row r="1494" spans="11:15" x14ac:dyDescent="0.3">
      <c r="K1494" t="str">
        <f t="shared" si="119"/>
        <v/>
      </c>
      <c r="L1494" t="str">
        <f t="shared" si="115"/>
        <v/>
      </c>
      <c r="M1494" t="str">
        <f t="shared" si="116"/>
        <v/>
      </c>
      <c r="N1494" t="str">
        <f t="shared" si="117"/>
        <v/>
      </c>
      <c r="O1494" t="str">
        <f t="shared" si="118"/>
        <v/>
      </c>
    </row>
    <row r="1495" spans="11:15" x14ac:dyDescent="0.3">
      <c r="K1495" t="str">
        <f t="shared" si="119"/>
        <v/>
      </c>
      <c r="L1495" t="str">
        <f t="shared" si="115"/>
        <v/>
      </c>
      <c r="M1495" t="str">
        <f t="shared" si="116"/>
        <v/>
      </c>
      <c r="N1495" t="str">
        <f t="shared" si="117"/>
        <v/>
      </c>
      <c r="O1495" t="str">
        <f t="shared" si="118"/>
        <v/>
      </c>
    </row>
    <row r="1496" spans="11:15" x14ac:dyDescent="0.3">
      <c r="K1496" t="str">
        <f t="shared" si="119"/>
        <v/>
      </c>
      <c r="L1496" t="str">
        <f t="shared" si="115"/>
        <v/>
      </c>
      <c r="M1496" t="str">
        <f t="shared" si="116"/>
        <v/>
      </c>
      <c r="N1496" t="str">
        <f t="shared" si="117"/>
        <v/>
      </c>
      <c r="O1496" t="str">
        <f t="shared" si="118"/>
        <v/>
      </c>
    </row>
    <row r="1497" spans="11:15" x14ac:dyDescent="0.3">
      <c r="K1497" t="str">
        <f t="shared" si="119"/>
        <v/>
      </c>
      <c r="L1497" t="str">
        <f t="shared" si="115"/>
        <v/>
      </c>
      <c r="M1497" t="str">
        <f t="shared" si="116"/>
        <v/>
      </c>
      <c r="N1497" t="str">
        <f t="shared" si="117"/>
        <v/>
      </c>
      <c r="O1497" t="str">
        <f t="shared" si="118"/>
        <v/>
      </c>
    </row>
    <row r="1498" spans="11:15" x14ac:dyDescent="0.3">
      <c r="K1498" t="str">
        <f t="shared" si="119"/>
        <v/>
      </c>
      <c r="L1498" t="str">
        <f t="shared" si="115"/>
        <v/>
      </c>
      <c r="M1498" t="str">
        <f t="shared" si="116"/>
        <v/>
      </c>
      <c r="N1498" t="str">
        <f t="shared" si="117"/>
        <v/>
      </c>
      <c r="O1498" t="str">
        <f t="shared" si="118"/>
        <v/>
      </c>
    </row>
    <row r="1499" spans="11:15" x14ac:dyDescent="0.3">
      <c r="K1499" t="str">
        <f t="shared" si="119"/>
        <v/>
      </c>
      <c r="L1499" t="str">
        <f t="shared" si="115"/>
        <v/>
      </c>
      <c r="M1499" t="str">
        <f t="shared" si="116"/>
        <v/>
      </c>
      <c r="N1499" t="str">
        <f t="shared" si="117"/>
        <v/>
      </c>
      <c r="O1499" t="str">
        <f t="shared" si="118"/>
        <v/>
      </c>
    </row>
    <row r="1500" spans="11:15" x14ac:dyDescent="0.3">
      <c r="K1500" t="str">
        <f t="shared" si="119"/>
        <v/>
      </c>
      <c r="L1500" t="str">
        <f t="shared" si="115"/>
        <v/>
      </c>
      <c r="M1500" t="str">
        <f t="shared" si="116"/>
        <v/>
      </c>
      <c r="N1500" t="str">
        <f t="shared" si="117"/>
        <v/>
      </c>
      <c r="O1500" t="str">
        <f t="shared" si="118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J1:O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5" x14ac:dyDescent="0.3">
      <c r="J1" s="45" t="s">
        <v>98</v>
      </c>
      <c r="K1" t="str">
        <f>IF(OR(LEFT(B1,9)="DOANH THU",LEFT(B1,8)="SỐ LƯỢNG"),A1,"")</f>
        <v/>
      </c>
      <c r="L1" t="str">
        <f t="shared" ref="L1:L64" si="0">IF(A1="","",IF(ISNUMBER(--LEFT(A1,FIND(" - ",A1&amp;" - ")-1)),LEFT(A1,FIND(" - ",A1&amp;" - ")-1),TRIM(A1)))</f>
        <v/>
      </c>
      <c r="M1" t="str">
        <f t="shared" ref="M1:M64" si="1">IF(OR(K1="",K1=A1,A1=""),"",K1&amp;"|"&amp;L1)</f>
        <v/>
      </c>
      <c r="N1" t="str">
        <f t="shared" ref="N1:N64" si="2">IF(M1="","",IF(ISNUMBER(B1),B1,IFERROR(_xlfn.NUMBERVALUE(B1,".",","),0)))</f>
        <v/>
      </c>
      <c r="O1" t="str">
        <f t="shared" ref="O1:O64" si="3">IF(M1="","",IF(ISNUMBER(C1),C1,IFERROR(_xlfn.NUMBERVALUE(C1,".",","),0)))</f>
        <v/>
      </c>
    </row>
    <row r="2" spans="10:15" x14ac:dyDescent="0.3">
      <c r="J2" s="46" t="s">
        <v>103</v>
      </c>
      <c r="K2" t="str">
        <f t="shared" ref="K2:K65" si="4">IF(OR(LEFT(B2,9)="DOANH THU",LEFT(B2,8)="SỐ LƯỢNG"),A2,K1)</f>
        <v/>
      </c>
      <c r="L2" t="str">
        <f t="shared" si="0"/>
        <v/>
      </c>
      <c r="M2" t="str">
        <f t="shared" si="1"/>
        <v/>
      </c>
      <c r="N2" t="str">
        <f t="shared" si="2"/>
        <v/>
      </c>
      <c r="O2" t="str">
        <f t="shared" si="3"/>
        <v/>
      </c>
    </row>
    <row r="3" spans="10:15" x14ac:dyDescent="0.3">
      <c r="J3" s="47" t="s">
        <v>104</v>
      </c>
      <c r="K3" t="str">
        <f t="shared" si="4"/>
        <v/>
      </c>
      <c r="L3" t="str">
        <f t="shared" si="0"/>
        <v/>
      </c>
      <c r="M3" t="str">
        <f t="shared" si="1"/>
        <v/>
      </c>
      <c r="N3" t="str">
        <f t="shared" si="2"/>
        <v/>
      </c>
      <c r="O3" t="str">
        <f t="shared" si="3"/>
        <v/>
      </c>
    </row>
    <row r="4" spans="10:15" x14ac:dyDescent="0.3">
      <c r="K4" t="str">
        <f t="shared" si="4"/>
        <v/>
      </c>
      <c r="L4" t="str">
        <f t="shared" si="0"/>
        <v/>
      </c>
      <c r="M4" t="str">
        <f t="shared" si="1"/>
        <v/>
      </c>
      <c r="N4" t="str">
        <f t="shared" si="2"/>
        <v/>
      </c>
      <c r="O4" t="str">
        <f t="shared" si="3"/>
        <v/>
      </c>
    </row>
    <row r="5" spans="10:15" x14ac:dyDescent="0.3">
      <c r="K5" t="str">
        <f t="shared" si="4"/>
        <v/>
      </c>
      <c r="L5" t="str">
        <f t="shared" si="0"/>
        <v/>
      </c>
      <c r="M5" t="str">
        <f t="shared" si="1"/>
        <v/>
      </c>
      <c r="N5" t="str">
        <f t="shared" si="2"/>
        <v/>
      </c>
      <c r="O5" t="str">
        <f t="shared" si="3"/>
        <v/>
      </c>
    </row>
    <row r="6" spans="10:15" x14ac:dyDescent="0.3">
      <c r="K6" t="str">
        <f t="shared" si="4"/>
        <v/>
      </c>
      <c r="L6" t="str">
        <f t="shared" si="0"/>
        <v/>
      </c>
      <c r="M6" t="str">
        <f t="shared" si="1"/>
        <v/>
      </c>
      <c r="N6" t="str">
        <f t="shared" si="2"/>
        <v/>
      </c>
      <c r="O6" t="str">
        <f t="shared" si="3"/>
        <v/>
      </c>
    </row>
    <row r="7" spans="10:15" x14ac:dyDescent="0.3">
      <c r="K7" t="str">
        <f t="shared" si="4"/>
        <v/>
      </c>
      <c r="L7" t="str">
        <f t="shared" si="0"/>
        <v/>
      </c>
      <c r="M7" t="str">
        <f t="shared" si="1"/>
        <v/>
      </c>
      <c r="N7" t="str">
        <f t="shared" si="2"/>
        <v/>
      </c>
      <c r="O7" t="str">
        <f t="shared" si="3"/>
        <v/>
      </c>
    </row>
    <row r="8" spans="10:15" x14ac:dyDescent="0.3">
      <c r="K8" t="str">
        <f t="shared" si="4"/>
        <v/>
      </c>
      <c r="L8" t="str">
        <f t="shared" si="0"/>
        <v/>
      </c>
      <c r="M8" t="str">
        <f t="shared" si="1"/>
        <v/>
      </c>
      <c r="N8" t="str">
        <f t="shared" si="2"/>
        <v/>
      </c>
      <c r="O8" t="str">
        <f t="shared" si="3"/>
        <v/>
      </c>
    </row>
    <row r="9" spans="10:15" x14ac:dyDescent="0.3">
      <c r="K9" t="str">
        <f t="shared" si="4"/>
        <v/>
      </c>
      <c r="L9" t="str">
        <f t="shared" si="0"/>
        <v/>
      </c>
      <c r="M9" t="str">
        <f t="shared" si="1"/>
        <v/>
      </c>
      <c r="N9" t="str">
        <f t="shared" si="2"/>
        <v/>
      </c>
      <c r="O9" t="str">
        <f t="shared" si="3"/>
        <v/>
      </c>
    </row>
    <row r="10" spans="10:15" x14ac:dyDescent="0.3">
      <c r="K10" t="str">
        <f t="shared" si="4"/>
        <v/>
      </c>
      <c r="L10" t="str">
        <f t="shared" si="0"/>
        <v/>
      </c>
      <c r="M10" t="str">
        <f t="shared" si="1"/>
        <v/>
      </c>
      <c r="N10" t="str">
        <f t="shared" si="2"/>
        <v/>
      </c>
      <c r="O10" t="str">
        <f t="shared" si="3"/>
        <v/>
      </c>
    </row>
    <row r="11" spans="10:15" x14ac:dyDescent="0.3">
      <c r="K11" t="str">
        <f t="shared" si="4"/>
        <v/>
      </c>
      <c r="L11" t="str">
        <f t="shared" si="0"/>
        <v/>
      </c>
      <c r="M11" t="str">
        <f t="shared" si="1"/>
        <v/>
      </c>
      <c r="N11" t="str">
        <f t="shared" si="2"/>
        <v/>
      </c>
      <c r="O11" t="str">
        <f t="shared" si="3"/>
        <v/>
      </c>
    </row>
    <row r="12" spans="10:15" x14ac:dyDescent="0.3">
      <c r="K12" t="str">
        <f t="shared" si="4"/>
        <v/>
      </c>
      <c r="L12" t="str">
        <f t="shared" si="0"/>
        <v/>
      </c>
      <c r="M12" t="str">
        <f t="shared" si="1"/>
        <v/>
      </c>
      <c r="N12" t="str">
        <f t="shared" si="2"/>
        <v/>
      </c>
      <c r="O12" t="str">
        <f t="shared" si="3"/>
        <v/>
      </c>
    </row>
    <row r="13" spans="10:15" x14ac:dyDescent="0.3">
      <c r="K13" t="str">
        <f t="shared" si="4"/>
        <v/>
      </c>
      <c r="L13" t="str">
        <f t="shared" si="0"/>
        <v/>
      </c>
      <c r="M13" t="str">
        <f t="shared" si="1"/>
        <v/>
      </c>
      <c r="N13" t="str">
        <f t="shared" si="2"/>
        <v/>
      </c>
      <c r="O13" t="str">
        <f t="shared" si="3"/>
        <v/>
      </c>
    </row>
    <row r="14" spans="10:15" x14ac:dyDescent="0.3">
      <c r="K14" t="str">
        <f t="shared" si="4"/>
        <v/>
      </c>
      <c r="L14" t="str">
        <f t="shared" si="0"/>
        <v/>
      </c>
      <c r="M14" t="str">
        <f t="shared" si="1"/>
        <v/>
      </c>
      <c r="N14" t="str">
        <f t="shared" si="2"/>
        <v/>
      </c>
      <c r="O14" t="str">
        <f t="shared" si="3"/>
        <v/>
      </c>
    </row>
    <row r="15" spans="10:15" x14ac:dyDescent="0.3">
      <c r="K15" t="str">
        <f t="shared" si="4"/>
        <v/>
      </c>
      <c r="L15" t="str">
        <f t="shared" si="0"/>
        <v/>
      </c>
      <c r="M15" t="str">
        <f t="shared" si="1"/>
        <v/>
      </c>
      <c r="N15" t="str">
        <f t="shared" si="2"/>
        <v/>
      </c>
      <c r="O15" t="str">
        <f t="shared" si="3"/>
        <v/>
      </c>
    </row>
    <row r="16" spans="10:15" x14ac:dyDescent="0.3">
      <c r="K16" t="str">
        <f t="shared" si="4"/>
        <v/>
      </c>
      <c r="L16" t="str">
        <f t="shared" si="0"/>
        <v/>
      </c>
      <c r="M16" t="str">
        <f t="shared" si="1"/>
        <v/>
      </c>
      <c r="N16" t="str">
        <f t="shared" si="2"/>
        <v/>
      </c>
      <c r="O16" t="str">
        <f t="shared" si="3"/>
        <v/>
      </c>
    </row>
    <row r="17" spans="11:15" x14ac:dyDescent="0.3">
      <c r="K17" t="str">
        <f t="shared" si="4"/>
        <v/>
      </c>
      <c r="L17" t="str">
        <f t="shared" si="0"/>
        <v/>
      </c>
      <c r="M17" t="str">
        <f t="shared" si="1"/>
        <v/>
      </c>
      <c r="N17" t="str">
        <f t="shared" si="2"/>
        <v/>
      </c>
      <c r="O17" t="str">
        <f t="shared" si="3"/>
        <v/>
      </c>
    </row>
    <row r="18" spans="11:15" x14ac:dyDescent="0.3">
      <c r="K18" t="str">
        <f t="shared" si="4"/>
        <v/>
      </c>
      <c r="L18" t="str">
        <f t="shared" si="0"/>
        <v/>
      </c>
      <c r="M18" t="str">
        <f t="shared" si="1"/>
        <v/>
      </c>
      <c r="N18" t="str">
        <f t="shared" si="2"/>
        <v/>
      </c>
      <c r="O18" t="str">
        <f t="shared" si="3"/>
        <v/>
      </c>
    </row>
    <row r="19" spans="11:15" x14ac:dyDescent="0.3">
      <c r="K19" t="str">
        <f t="shared" si="4"/>
        <v/>
      </c>
      <c r="L19" t="str">
        <f t="shared" si="0"/>
        <v/>
      </c>
      <c r="M19" t="str">
        <f t="shared" si="1"/>
        <v/>
      </c>
      <c r="N19" t="str">
        <f t="shared" si="2"/>
        <v/>
      </c>
      <c r="O19" t="str">
        <f t="shared" si="3"/>
        <v/>
      </c>
    </row>
    <row r="20" spans="11:15" x14ac:dyDescent="0.3">
      <c r="K20" t="str">
        <f t="shared" si="4"/>
        <v/>
      </c>
      <c r="L20" t="str">
        <f t="shared" si="0"/>
        <v/>
      </c>
      <c r="M20" t="str">
        <f t="shared" si="1"/>
        <v/>
      </c>
      <c r="N20" t="str">
        <f t="shared" si="2"/>
        <v/>
      </c>
      <c r="O20" t="str">
        <f t="shared" si="3"/>
        <v/>
      </c>
    </row>
    <row r="21" spans="11:15" x14ac:dyDescent="0.3">
      <c r="K21" t="str">
        <f t="shared" si="4"/>
        <v/>
      </c>
      <c r="L21" t="str">
        <f t="shared" si="0"/>
        <v/>
      </c>
      <c r="M21" t="str">
        <f t="shared" si="1"/>
        <v/>
      </c>
      <c r="N21" t="str">
        <f t="shared" si="2"/>
        <v/>
      </c>
      <c r="O21" t="str">
        <f t="shared" si="3"/>
        <v/>
      </c>
    </row>
    <row r="22" spans="11:15" x14ac:dyDescent="0.3">
      <c r="K22" t="str">
        <f t="shared" si="4"/>
        <v/>
      </c>
      <c r="L22" t="str">
        <f t="shared" si="0"/>
        <v/>
      </c>
      <c r="M22" t="str">
        <f t="shared" si="1"/>
        <v/>
      </c>
      <c r="N22" t="str">
        <f t="shared" si="2"/>
        <v/>
      </c>
      <c r="O22" t="str">
        <f t="shared" si="3"/>
        <v/>
      </c>
    </row>
    <row r="23" spans="11:15" x14ac:dyDescent="0.3">
      <c r="K23" t="str">
        <f t="shared" si="4"/>
        <v/>
      </c>
      <c r="L23" t="str">
        <f t="shared" si="0"/>
        <v/>
      </c>
      <c r="M23" t="str">
        <f t="shared" si="1"/>
        <v/>
      </c>
      <c r="N23" t="str">
        <f t="shared" si="2"/>
        <v/>
      </c>
      <c r="O23" t="str">
        <f t="shared" si="3"/>
        <v/>
      </c>
    </row>
    <row r="24" spans="11:15" x14ac:dyDescent="0.3">
      <c r="K24" t="str">
        <f t="shared" si="4"/>
        <v/>
      </c>
      <c r="L24" t="str">
        <f t="shared" si="0"/>
        <v/>
      </c>
      <c r="M24" t="str">
        <f t="shared" si="1"/>
        <v/>
      </c>
      <c r="N24" t="str">
        <f t="shared" si="2"/>
        <v/>
      </c>
      <c r="O24" t="str">
        <f t="shared" si="3"/>
        <v/>
      </c>
    </row>
    <row r="25" spans="11:15" x14ac:dyDescent="0.3">
      <c r="K25" t="str">
        <f t="shared" si="4"/>
        <v/>
      </c>
      <c r="L25" t="str">
        <f t="shared" si="0"/>
        <v/>
      </c>
      <c r="M25" t="str">
        <f t="shared" si="1"/>
        <v/>
      </c>
      <c r="N25" t="str">
        <f t="shared" si="2"/>
        <v/>
      </c>
      <c r="O25" t="str">
        <f t="shared" si="3"/>
        <v/>
      </c>
    </row>
    <row r="26" spans="11:15" x14ac:dyDescent="0.3">
      <c r="K26" t="str">
        <f t="shared" si="4"/>
        <v/>
      </c>
      <c r="L26" t="str">
        <f t="shared" si="0"/>
        <v/>
      </c>
      <c r="M26" t="str">
        <f t="shared" si="1"/>
        <v/>
      </c>
      <c r="N26" t="str">
        <f t="shared" si="2"/>
        <v/>
      </c>
      <c r="O26" t="str">
        <f t="shared" si="3"/>
        <v/>
      </c>
    </row>
    <row r="27" spans="11:15" x14ac:dyDescent="0.3">
      <c r="K27" t="str">
        <f t="shared" si="4"/>
        <v/>
      </c>
      <c r="L27" t="str">
        <f t="shared" si="0"/>
        <v/>
      </c>
      <c r="M27" t="str">
        <f t="shared" si="1"/>
        <v/>
      </c>
      <c r="N27" t="str">
        <f t="shared" si="2"/>
        <v/>
      </c>
      <c r="O27" t="str">
        <f t="shared" si="3"/>
        <v/>
      </c>
    </row>
    <row r="28" spans="11:15" x14ac:dyDescent="0.3">
      <c r="K28" t="str">
        <f t="shared" si="4"/>
        <v/>
      </c>
      <c r="L28" t="str">
        <f t="shared" si="0"/>
        <v/>
      </c>
      <c r="M28" t="str">
        <f t="shared" si="1"/>
        <v/>
      </c>
      <c r="N28" t="str">
        <f t="shared" si="2"/>
        <v/>
      </c>
      <c r="O28" t="str">
        <f t="shared" si="3"/>
        <v/>
      </c>
    </row>
    <row r="29" spans="11:15" x14ac:dyDescent="0.3">
      <c r="K29" t="str">
        <f t="shared" si="4"/>
        <v/>
      </c>
      <c r="L29" t="str">
        <f t="shared" si="0"/>
        <v/>
      </c>
      <c r="M29" t="str">
        <f t="shared" si="1"/>
        <v/>
      </c>
      <c r="N29" t="str">
        <f t="shared" si="2"/>
        <v/>
      </c>
      <c r="O29" t="str">
        <f t="shared" si="3"/>
        <v/>
      </c>
    </row>
    <row r="30" spans="11:15" x14ac:dyDescent="0.3">
      <c r="K30" t="str">
        <f t="shared" si="4"/>
        <v/>
      </c>
      <c r="L30" t="str">
        <f t="shared" si="0"/>
        <v/>
      </c>
      <c r="M30" t="str">
        <f t="shared" si="1"/>
        <v/>
      </c>
      <c r="N30" t="str">
        <f t="shared" si="2"/>
        <v/>
      </c>
      <c r="O30" t="str">
        <f t="shared" si="3"/>
        <v/>
      </c>
    </row>
    <row r="31" spans="11:15" x14ac:dyDescent="0.3">
      <c r="K31" t="str">
        <f t="shared" si="4"/>
        <v/>
      </c>
      <c r="L31" t="str">
        <f t="shared" si="0"/>
        <v/>
      </c>
      <c r="M31" t="str">
        <f t="shared" si="1"/>
        <v/>
      </c>
      <c r="N31" t="str">
        <f t="shared" si="2"/>
        <v/>
      </c>
      <c r="O31" t="str">
        <f t="shared" si="3"/>
        <v/>
      </c>
    </row>
    <row r="32" spans="11:15" x14ac:dyDescent="0.3">
      <c r="K32" t="str">
        <f t="shared" si="4"/>
        <v/>
      </c>
      <c r="L32" t="str">
        <f t="shared" si="0"/>
        <v/>
      </c>
      <c r="M32" t="str">
        <f t="shared" si="1"/>
        <v/>
      </c>
      <c r="N32" t="str">
        <f t="shared" si="2"/>
        <v/>
      </c>
      <c r="O32" t="str">
        <f t="shared" si="3"/>
        <v/>
      </c>
    </row>
    <row r="33" spans="11:15" x14ac:dyDescent="0.3">
      <c r="K33" t="str">
        <f t="shared" si="4"/>
        <v/>
      </c>
      <c r="L33" t="str">
        <f t="shared" si="0"/>
        <v/>
      </c>
      <c r="M33" t="str">
        <f t="shared" si="1"/>
        <v/>
      </c>
      <c r="N33" t="str">
        <f t="shared" si="2"/>
        <v/>
      </c>
      <c r="O33" t="str">
        <f t="shared" si="3"/>
        <v/>
      </c>
    </row>
    <row r="34" spans="11:15" x14ac:dyDescent="0.3">
      <c r="K34" t="str">
        <f t="shared" si="4"/>
        <v/>
      </c>
      <c r="L34" t="str">
        <f t="shared" si="0"/>
        <v/>
      </c>
      <c r="M34" t="str">
        <f t="shared" si="1"/>
        <v/>
      </c>
      <c r="N34" t="str">
        <f t="shared" si="2"/>
        <v/>
      </c>
      <c r="O34" t="str">
        <f t="shared" si="3"/>
        <v/>
      </c>
    </row>
    <row r="35" spans="11:15" x14ac:dyDescent="0.3">
      <c r="K35" t="str">
        <f t="shared" si="4"/>
        <v/>
      </c>
      <c r="L35" t="str">
        <f t="shared" si="0"/>
        <v/>
      </c>
      <c r="M35" t="str">
        <f t="shared" si="1"/>
        <v/>
      </c>
      <c r="N35" t="str">
        <f t="shared" si="2"/>
        <v/>
      </c>
      <c r="O35" t="str">
        <f t="shared" si="3"/>
        <v/>
      </c>
    </row>
    <row r="36" spans="11:15" x14ac:dyDescent="0.3">
      <c r="K36" t="str">
        <f t="shared" si="4"/>
        <v/>
      </c>
      <c r="L36" t="str">
        <f t="shared" si="0"/>
        <v/>
      </c>
      <c r="M36" t="str">
        <f t="shared" si="1"/>
        <v/>
      </c>
      <c r="N36" t="str">
        <f t="shared" si="2"/>
        <v/>
      </c>
      <c r="O36" t="str">
        <f t="shared" si="3"/>
        <v/>
      </c>
    </row>
    <row r="37" spans="11:15" x14ac:dyDescent="0.3">
      <c r="K37" t="str">
        <f t="shared" si="4"/>
        <v/>
      </c>
      <c r="L37" t="str">
        <f t="shared" si="0"/>
        <v/>
      </c>
      <c r="M37" t="str">
        <f t="shared" si="1"/>
        <v/>
      </c>
      <c r="N37" t="str">
        <f t="shared" si="2"/>
        <v/>
      </c>
      <c r="O37" t="str">
        <f t="shared" si="3"/>
        <v/>
      </c>
    </row>
    <row r="38" spans="11:15" x14ac:dyDescent="0.3">
      <c r="K38" t="str">
        <f t="shared" si="4"/>
        <v/>
      </c>
      <c r="L38" t="str">
        <f t="shared" si="0"/>
        <v/>
      </c>
      <c r="M38" t="str">
        <f t="shared" si="1"/>
        <v/>
      </c>
      <c r="N38" t="str">
        <f t="shared" si="2"/>
        <v/>
      </c>
      <c r="O38" t="str">
        <f t="shared" si="3"/>
        <v/>
      </c>
    </row>
    <row r="39" spans="11:15" x14ac:dyDescent="0.3">
      <c r="K39" t="str">
        <f t="shared" si="4"/>
        <v/>
      </c>
      <c r="L39" t="str">
        <f t="shared" si="0"/>
        <v/>
      </c>
      <c r="M39" t="str">
        <f t="shared" si="1"/>
        <v/>
      </c>
      <c r="N39" t="str">
        <f t="shared" si="2"/>
        <v/>
      </c>
      <c r="O39" t="str">
        <f t="shared" si="3"/>
        <v/>
      </c>
    </row>
    <row r="40" spans="11:15" x14ac:dyDescent="0.3">
      <c r="K40" t="str">
        <f t="shared" si="4"/>
        <v/>
      </c>
      <c r="L40" t="str">
        <f t="shared" si="0"/>
        <v/>
      </c>
      <c r="M40" t="str">
        <f t="shared" si="1"/>
        <v/>
      </c>
      <c r="N40" t="str">
        <f t="shared" si="2"/>
        <v/>
      </c>
      <c r="O40" t="str">
        <f t="shared" si="3"/>
        <v/>
      </c>
    </row>
    <row r="41" spans="11:15" x14ac:dyDescent="0.3">
      <c r="K41" t="str">
        <f t="shared" si="4"/>
        <v/>
      </c>
      <c r="L41" t="str">
        <f t="shared" si="0"/>
        <v/>
      </c>
      <c r="M41" t="str">
        <f t="shared" si="1"/>
        <v/>
      </c>
      <c r="N41" t="str">
        <f t="shared" si="2"/>
        <v/>
      </c>
      <c r="O41" t="str">
        <f t="shared" si="3"/>
        <v/>
      </c>
    </row>
    <row r="42" spans="11:15" x14ac:dyDescent="0.3">
      <c r="K42" t="str">
        <f t="shared" si="4"/>
        <v/>
      </c>
      <c r="L42" t="str">
        <f t="shared" si="0"/>
        <v/>
      </c>
      <c r="M42" t="str">
        <f t="shared" si="1"/>
        <v/>
      </c>
      <c r="N42" t="str">
        <f t="shared" si="2"/>
        <v/>
      </c>
      <c r="O42" t="str">
        <f t="shared" si="3"/>
        <v/>
      </c>
    </row>
    <row r="43" spans="11:15" x14ac:dyDescent="0.3">
      <c r="K43" t="str">
        <f t="shared" si="4"/>
        <v/>
      </c>
      <c r="L43" t="str">
        <f t="shared" si="0"/>
        <v/>
      </c>
      <c r="M43" t="str">
        <f t="shared" si="1"/>
        <v/>
      </c>
      <c r="N43" t="str">
        <f t="shared" si="2"/>
        <v/>
      </c>
      <c r="O43" t="str">
        <f t="shared" si="3"/>
        <v/>
      </c>
    </row>
    <row r="44" spans="11:15" x14ac:dyDescent="0.3">
      <c r="K44" t="str">
        <f t="shared" si="4"/>
        <v/>
      </c>
      <c r="L44" t="str">
        <f t="shared" si="0"/>
        <v/>
      </c>
      <c r="M44" t="str">
        <f t="shared" si="1"/>
        <v/>
      </c>
      <c r="N44" t="str">
        <f t="shared" si="2"/>
        <v/>
      </c>
      <c r="O44" t="str">
        <f t="shared" si="3"/>
        <v/>
      </c>
    </row>
    <row r="45" spans="11:15" x14ac:dyDescent="0.3">
      <c r="K45" t="str">
        <f t="shared" si="4"/>
        <v/>
      </c>
      <c r="L45" t="str">
        <f t="shared" si="0"/>
        <v/>
      </c>
      <c r="M45" t="str">
        <f t="shared" si="1"/>
        <v/>
      </c>
      <c r="N45" t="str">
        <f t="shared" si="2"/>
        <v/>
      </c>
      <c r="O45" t="str">
        <f t="shared" si="3"/>
        <v/>
      </c>
    </row>
    <row r="46" spans="11:15" x14ac:dyDescent="0.3">
      <c r="K46" t="str">
        <f t="shared" si="4"/>
        <v/>
      </c>
      <c r="L46" t="str">
        <f t="shared" si="0"/>
        <v/>
      </c>
      <c r="M46" t="str">
        <f t="shared" si="1"/>
        <v/>
      </c>
      <c r="N46" t="str">
        <f t="shared" si="2"/>
        <v/>
      </c>
      <c r="O46" t="str">
        <f t="shared" si="3"/>
        <v/>
      </c>
    </row>
    <row r="47" spans="11:15" x14ac:dyDescent="0.3">
      <c r="K47" t="str">
        <f t="shared" si="4"/>
        <v/>
      </c>
      <c r="L47" t="str">
        <f t="shared" si="0"/>
        <v/>
      </c>
      <c r="M47" t="str">
        <f t="shared" si="1"/>
        <v/>
      </c>
      <c r="N47" t="str">
        <f t="shared" si="2"/>
        <v/>
      </c>
      <c r="O47" t="str">
        <f t="shared" si="3"/>
        <v/>
      </c>
    </row>
    <row r="48" spans="11:15" x14ac:dyDescent="0.3">
      <c r="K48" t="str">
        <f t="shared" si="4"/>
        <v/>
      </c>
      <c r="L48" t="str">
        <f t="shared" si="0"/>
        <v/>
      </c>
      <c r="M48" t="str">
        <f t="shared" si="1"/>
        <v/>
      </c>
      <c r="N48" t="str">
        <f t="shared" si="2"/>
        <v/>
      </c>
      <c r="O48" t="str">
        <f t="shared" si="3"/>
        <v/>
      </c>
    </row>
    <row r="49" spans="11:15" x14ac:dyDescent="0.3">
      <c r="K49" t="str">
        <f t="shared" si="4"/>
        <v/>
      </c>
      <c r="L49" t="str">
        <f t="shared" si="0"/>
        <v/>
      </c>
      <c r="M49" t="str">
        <f t="shared" si="1"/>
        <v/>
      </c>
      <c r="N49" t="str">
        <f t="shared" si="2"/>
        <v/>
      </c>
      <c r="O49" t="str">
        <f t="shared" si="3"/>
        <v/>
      </c>
    </row>
    <row r="50" spans="11:15" x14ac:dyDescent="0.3">
      <c r="K50" t="str">
        <f t="shared" si="4"/>
        <v/>
      </c>
      <c r="L50" t="str">
        <f t="shared" si="0"/>
        <v/>
      </c>
      <c r="M50" t="str">
        <f t="shared" si="1"/>
        <v/>
      </c>
      <c r="N50" t="str">
        <f t="shared" si="2"/>
        <v/>
      </c>
      <c r="O50" t="str">
        <f t="shared" si="3"/>
        <v/>
      </c>
    </row>
    <row r="51" spans="11:15" x14ac:dyDescent="0.3">
      <c r="K51" t="str">
        <f t="shared" si="4"/>
        <v/>
      </c>
      <c r="L51" t="str">
        <f t="shared" si="0"/>
        <v/>
      </c>
      <c r="M51" t="str">
        <f t="shared" si="1"/>
        <v/>
      </c>
      <c r="N51" t="str">
        <f t="shared" si="2"/>
        <v/>
      </c>
      <c r="O51" t="str">
        <f t="shared" si="3"/>
        <v/>
      </c>
    </row>
    <row r="52" spans="11:15" x14ac:dyDescent="0.3">
      <c r="K52" t="str">
        <f t="shared" si="4"/>
        <v/>
      </c>
      <c r="L52" t="str">
        <f t="shared" si="0"/>
        <v/>
      </c>
      <c r="M52" t="str">
        <f t="shared" si="1"/>
        <v/>
      </c>
      <c r="N52" t="str">
        <f t="shared" si="2"/>
        <v/>
      </c>
      <c r="O52" t="str">
        <f t="shared" si="3"/>
        <v/>
      </c>
    </row>
    <row r="53" spans="11:15" x14ac:dyDescent="0.3">
      <c r="K53" t="str">
        <f t="shared" si="4"/>
        <v/>
      </c>
      <c r="L53" t="str">
        <f t="shared" si="0"/>
        <v/>
      </c>
      <c r="M53" t="str">
        <f t="shared" si="1"/>
        <v/>
      </c>
      <c r="N53" t="str">
        <f t="shared" si="2"/>
        <v/>
      </c>
      <c r="O53" t="str">
        <f t="shared" si="3"/>
        <v/>
      </c>
    </row>
    <row r="54" spans="11:15" x14ac:dyDescent="0.3">
      <c r="K54" t="str">
        <f t="shared" si="4"/>
        <v/>
      </c>
      <c r="L54" t="str">
        <f t="shared" si="0"/>
        <v/>
      </c>
      <c r="M54" t="str">
        <f t="shared" si="1"/>
        <v/>
      </c>
      <c r="N54" t="str">
        <f t="shared" si="2"/>
        <v/>
      </c>
      <c r="O54" t="str">
        <f t="shared" si="3"/>
        <v/>
      </c>
    </row>
    <row r="55" spans="11:15" x14ac:dyDescent="0.3">
      <c r="K55" t="str">
        <f t="shared" si="4"/>
        <v/>
      </c>
      <c r="L55" t="str">
        <f t="shared" si="0"/>
        <v/>
      </c>
      <c r="M55" t="str">
        <f t="shared" si="1"/>
        <v/>
      </c>
      <c r="N55" t="str">
        <f t="shared" si="2"/>
        <v/>
      </c>
      <c r="O55" t="str">
        <f t="shared" si="3"/>
        <v/>
      </c>
    </row>
    <row r="56" spans="11:15" x14ac:dyDescent="0.3">
      <c r="K56" t="str">
        <f t="shared" si="4"/>
        <v/>
      </c>
      <c r="L56" t="str">
        <f t="shared" si="0"/>
        <v/>
      </c>
      <c r="M56" t="str">
        <f t="shared" si="1"/>
        <v/>
      </c>
      <c r="N56" t="str">
        <f t="shared" si="2"/>
        <v/>
      </c>
      <c r="O56" t="str">
        <f t="shared" si="3"/>
        <v/>
      </c>
    </row>
    <row r="57" spans="11:15" x14ac:dyDescent="0.3">
      <c r="K57" t="str">
        <f t="shared" si="4"/>
        <v/>
      </c>
      <c r="L57" t="str">
        <f t="shared" si="0"/>
        <v/>
      </c>
      <c r="M57" t="str">
        <f t="shared" si="1"/>
        <v/>
      </c>
      <c r="N57" t="str">
        <f t="shared" si="2"/>
        <v/>
      </c>
      <c r="O57" t="str">
        <f t="shared" si="3"/>
        <v/>
      </c>
    </row>
    <row r="58" spans="11:15" x14ac:dyDescent="0.3">
      <c r="K58" t="str">
        <f t="shared" si="4"/>
        <v/>
      </c>
      <c r="L58" t="str">
        <f t="shared" si="0"/>
        <v/>
      </c>
      <c r="M58" t="str">
        <f t="shared" si="1"/>
        <v/>
      </c>
      <c r="N58" t="str">
        <f t="shared" si="2"/>
        <v/>
      </c>
      <c r="O58" t="str">
        <f t="shared" si="3"/>
        <v/>
      </c>
    </row>
    <row r="59" spans="11:15" x14ac:dyDescent="0.3">
      <c r="K59" t="str">
        <f t="shared" si="4"/>
        <v/>
      </c>
      <c r="L59" t="str">
        <f t="shared" si="0"/>
        <v/>
      </c>
      <c r="M59" t="str">
        <f t="shared" si="1"/>
        <v/>
      </c>
      <c r="N59" t="str">
        <f t="shared" si="2"/>
        <v/>
      </c>
      <c r="O59" t="str">
        <f t="shared" si="3"/>
        <v/>
      </c>
    </row>
    <row r="60" spans="11:15" x14ac:dyDescent="0.3">
      <c r="K60" t="str">
        <f t="shared" si="4"/>
        <v/>
      </c>
      <c r="L60" t="str">
        <f t="shared" si="0"/>
        <v/>
      </c>
      <c r="M60" t="str">
        <f t="shared" si="1"/>
        <v/>
      </c>
      <c r="N60" t="str">
        <f t="shared" si="2"/>
        <v/>
      </c>
      <c r="O60" t="str">
        <f t="shared" si="3"/>
        <v/>
      </c>
    </row>
    <row r="61" spans="11:15" x14ac:dyDescent="0.3">
      <c r="K61" t="str">
        <f t="shared" si="4"/>
        <v/>
      </c>
      <c r="L61" t="str">
        <f t="shared" si="0"/>
        <v/>
      </c>
      <c r="M61" t="str">
        <f t="shared" si="1"/>
        <v/>
      </c>
      <c r="N61" t="str">
        <f t="shared" si="2"/>
        <v/>
      </c>
      <c r="O61" t="str">
        <f t="shared" si="3"/>
        <v/>
      </c>
    </row>
    <row r="62" spans="11:15" x14ac:dyDescent="0.3">
      <c r="K62" t="str">
        <f t="shared" si="4"/>
        <v/>
      </c>
      <c r="L62" t="str">
        <f t="shared" si="0"/>
        <v/>
      </c>
      <c r="M62" t="str">
        <f t="shared" si="1"/>
        <v/>
      </c>
      <c r="N62" t="str">
        <f t="shared" si="2"/>
        <v/>
      </c>
      <c r="O62" t="str">
        <f t="shared" si="3"/>
        <v/>
      </c>
    </row>
    <row r="63" spans="11:15" x14ac:dyDescent="0.3">
      <c r="K63" t="str">
        <f t="shared" si="4"/>
        <v/>
      </c>
      <c r="L63" t="str">
        <f t="shared" si="0"/>
        <v/>
      </c>
      <c r="M63" t="str">
        <f t="shared" si="1"/>
        <v/>
      </c>
      <c r="N63" t="str">
        <f t="shared" si="2"/>
        <v/>
      </c>
      <c r="O63" t="str">
        <f t="shared" si="3"/>
        <v/>
      </c>
    </row>
    <row r="64" spans="11:15" x14ac:dyDescent="0.3">
      <c r="K64" t="str">
        <f t="shared" si="4"/>
        <v/>
      </c>
      <c r="L64" t="str">
        <f t="shared" si="0"/>
        <v/>
      </c>
      <c r="M64" t="str">
        <f t="shared" si="1"/>
        <v/>
      </c>
      <c r="N64" t="str">
        <f t="shared" si="2"/>
        <v/>
      </c>
      <c r="O64" t="str">
        <f t="shared" si="3"/>
        <v/>
      </c>
    </row>
    <row r="65" spans="11:15" x14ac:dyDescent="0.3">
      <c r="K65" t="str">
        <f t="shared" si="4"/>
        <v/>
      </c>
      <c r="L65" t="str">
        <f t="shared" ref="L65:L128" si="5">IF(A65="","",IF(ISNUMBER(--LEFT(A65,FIND(" - ",A65&amp;" - ")-1)),LEFT(A65,FIND(" - ",A65&amp;" - ")-1),TRIM(A65)))</f>
        <v/>
      </c>
      <c r="M65" t="str">
        <f t="shared" ref="M65:M128" si="6">IF(OR(K65="",K65=A65,A65=""),"",K65&amp;"|"&amp;L65)</f>
        <v/>
      </c>
      <c r="N65" t="str">
        <f t="shared" ref="N65:N128" si="7">IF(M65="","",IF(ISNUMBER(B65),B65,IFERROR(_xlfn.NUMBERVALUE(B65,".",","),0)))</f>
        <v/>
      </c>
      <c r="O65" t="str">
        <f t="shared" ref="O65:O128" si="8">IF(M65="","",IF(ISNUMBER(C65),C65,IFERROR(_xlfn.NUMBERVALUE(C65,".",","),0)))</f>
        <v/>
      </c>
    </row>
    <row r="66" spans="11:15" x14ac:dyDescent="0.3">
      <c r="K66" t="str">
        <f t="shared" ref="K66:K129" si="9">IF(OR(LEFT(B66,9)="DOANH THU",LEFT(B66,8)="SỐ LƯỢNG"),A66,K65)</f>
        <v/>
      </c>
      <c r="L66" t="str">
        <f t="shared" si="5"/>
        <v/>
      </c>
      <c r="M66" t="str">
        <f t="shared" si="6"/>
        <v/>
      </c>
      <c r="N66" t="str">
        <f t="shared" si="7"/>
        <v/>
      </c>
      <c r="O66" t="str">
        <f t="shared" si="8"/>
        <v/>
      </c>
    </row>
    <row r="67" spans="11:15" x14ac:dyDescent="0.3">
      <c r="K67" t="str">
        <f t="shared" si="9"/>
        <v/>
      </c>
      <c r="L67" t="str">
        <f t="shared" si="5"/>
        <v/>
      </c>
      <c r="M67" t="str">
        <f t="shared" si="6"/>
        <v/>
      </c>
      <c r="N67" t="str">
        <f t="shared" si="7"/>
        <v/>
      </c>
      <c r="O67" t="str">
        <f t="shared" si="8"/>
        <v/>
      </c>
    </row>
    <row r="68" spans="11:15" x14ac:dyDescent="0.3">
      <c r="K68" t="str">
        <f t="shared" si="9"/>
        <v/>
      </c>
      <c r="L68" t="str">
        <f t="shared" si="5"/>
        <v/>
      </c>
      <c r="M68" t="str">
        <f t="shared" si="6"/>
        <v/>
      </c>
      <c r="N68" t="str">
        <f t="shared" si="7"/>
        <v/>
      </c>
      <c r="O68" t="str">
        <f t="shared" si="8"/>
        <v/>
      </c>
    </row>
    <row r="69" spans="11:15" x14ac:dyDescent="0.3">
      <c r="K69" t="str">
        <f t="shared" si="9"/>
        <v/>
      </c>
      <c r="L69" t="str">
        <f t="shared" si="5"/>
        <v/>
      </c>
      <c r="M69" t="str">
        <f t="shared" si="6"/>
        <v/>
      </c>
      <c r="N69" t="str">
        <f t="shared" si="7"/>
        <v/>
      </c>
      <c r="O69" t="str">
        <f t="shared" si="8"/>
        <v/>
      </c>
    </row>
    <row r="70" spans="11:15" x14ac:dyDescent="0.3">
      <c r="K70" t="str">
        <f t="shared" si="9"/>
        <v/>
      </c>
      <c r="L70" t="str">
        <f t="shared" si="5"/>
        <v/>
      </c>
      <c r="M70" t="str">
        <f t="shared" si="6"/>
        <v/>
      </c>
      <c r="N70" t="str">
        <f t="shared" si="7"/>
        <v/>
      </c>
      <c r="O70" t="str">
        <f t="shared" si="8"/>
        <v/>
      </c>
    </row>
    <row r="71" spans="11:15" x14ac:dyDescent="0.3">
      <c r="K71" t="str">
        <f t="shared" si="9"/>
        <v/>
      </c>
      <c r="L71" t="str">
        <f t="shared" si="5"/>
        <v/>
      </c>
      <c r="M71" t="str">
        <f t="shared" si="6"/>
        <v/>
      </c>
      <c r="N71" t="str">
        <f t="shared" si="7"/>
        <v/>
      </c>
      <c r="O71" t="str">
        <f t="shared" si="8"/>
        <v/>
      </c>
    </row>
    <row r="72" spans="11:15" x14ac:dyDescent="0.3">
      <c r="K72" t="str">
        <f t="shared" si="9"/>
        <v/>
      </c>
      <c r="L72" t="str">
        <f t="shared" si="5"/>
        <v/>
      </c>
      <c r="M72" t="str">
        <f t="shared" si="6"/>
        <v/>
      </c>
      <c r="N72" t="str">
        <f t="shared" si="7"/>
        <v/>
      </c>
      <c r="O72" t="str">
        <f t="shared" si="8"/>
        <v/>
      </c>
    </row>
    <row r="73" spans="11:15" x14ac:dyDescent="0.3">
      <c r="K73" t="str">
        <f t="shared" si="9"/>
        <v/>
      </c>
      <c r="L73" t="str">
        <f t="shared" si="5"/>
        <v/>
      </c>
      <c r="M73" t="str">
        <f t="shared" si="6"/>
        <v/>
      </c>
      <c r="N73" t="str">
        <f t="shared" si="7"/>
        <v/>
      </c>
      <c r="O73" t="str">
        <f t="shared" si="8"/>
        <v/>
      </c>
    </row>
    <row r="74" spans="11:15" x14ac:dyDescent="0.3">
      <c r="K74" t="str">
        <f t="shared" si="9"/>
        <v/>
      </c>
      <c r="L74" t="str">
        <f t="shared" si="5"/>
        <v/>
      </c>
      <c r="M74" t="str">
        <f t="shared" si="6"/>
        <v/>
      </c>
      <c r="N74" t="str">
        <f t="shared" si="7"/>
        <v/>
      </c>
      <c r="O74" t="str">
        <f t="shared" si="8"/>
        <v/>
      </c>
    </row>
    <row r="75" spans="11:15" x14ac:dyDescent="0.3">
      <c r="K75" t="str">
        <f t="shared" si="9"/>
        <v/>
      </c>
      <c r="L75" t="str">
        <f t="shared" si="5"/>
        <v/>
      </c>
      <c r="M75" t="str">
        <f t="shared" si="6"/>
        <v/>
      </c>
      <c r="N75" t="str">
        <f t="shared" si="7"/>
        <v/>
      </c>
      <c r="O75" t="str">
        <f t="shared" si="8"/>
        <v/>
      </c>
    </row>
    <row r="76" spans="11:15" x14ac:dyDescent="0.3">
      <c r="K76" t="str">
        <f t="shared" si="9"/>
        <v/>
      </c>
      <c r="L76" t="str">
        <f t="shared" si="5"/>
        <v/>
      </c>
      <c r="M76" t="str">
        <f t="shared" si="6"/>
        <v/>
      </c>
      <c r="N76" t="str">
        <f t="shared" si="7"/>
        <v/>
      </c>
      <c r="O76" t="str">
        <f t="shared" si="8"/>
        <v/>
      </c>
    </row>
    <row r="77" spans="11:15" x14ac:dyDescent="0.3">
      <c r="K77" t="str">
        <f t="shared" si="9"/>
        <v/>
      </c>
      <c r="L77" t="str">
        <f t="shared" si="5"/>
        <v/>
      </c>
      <c r="M77" t="str">
        <f t="shared" si="6"/>
        <v/>
      </c>
      <c r="N77" t="str">
        <f t="shared" si="7"/>
        <v/>
      </c>
      <c r="O77" t="str">
        <f t="shared" si="8"/>
        <v/>
      </c>
    </row>
    <row r="78" spans="11:15" x14ac:dyDescent="0.3">
      <c r="K78" t="str">
        <f t="shared" si="9"/>
        <v/>
      </c>
      <c r="L78" t="str">
        <f t="shared" si="5"/>
        <v/>
      </c>
      <c r="M78" t="str">
        <f t="shared" si="6"/>
        <v/>
      </c>
      <c r="N78" t="str">
        <f t="shared" si="7"/>
        <v/>
      </c>
      <c r="O78" t="str">
        <f t="shared" si="8"/>
        <v/>
      </c>
    </row>
    <row r="79" spans="11:15" x14ac:dyDescent="0.3">
      <c r="K79" t="str">
        <f t="shared" si="9"/>
        <v/>
      </c>
      <c r="L79" t="str">
        <f t="shared" si="5"/>
        <v/>
      </c>
      <c r="M79" t="str">
        <f t="shared" si="6"/>
        <v/>
      </c>
      <c r="N79" t="str">
        <f t="shared" si="7"/>
        <v/>
      </c>
      <c r="O79" t="str">
        <f t="shared" si="8"/>
        <v/>
      </c>
    </row>
    <row r="80" spans="11:15" x14ac:dyDescent="0.3">
      <c r="K80" t="str">
        <f t="shared" si="9"/>
        <v/>
      </c>
      <c r="L80" t="str">
        <f t="shared" si="5"/>
        <v/>
      </c>
      <c r="M80" t="str">
        <f t="shared" si="6"/>
        <v/>
      </c>
      <c r="N80" t="str">
        <f t="shared" si="7"/>
        <v/>
      </c>
      <c r="O80" t="str">
        <f t="shared" si="8"/>
        <v/>
      </c>
    </row>
    <row r="81" spans="11:15" x14ac:dyDescent="0.3">
      <c r="K81" t="str">
        <f t="shared" si="9"/>
        <v/>
      </c>
      <c r="L81" t="str">
        <f t="shared" si="5"/>
        <v/>
      </c>
      <c r="M81" t="str">
        <f t="shared" si="6"/>
        <v/>
      </c>
      <c r="N81" t="str">
        <f t="shared" si="7"/>
        <v/>
      </c>
      <c r="O81" t="str">
        <f t="shared" si="8"/>
        <v/>
      </c>
    </row>
    <row r="82" spans="11:15" x14ac:dyDescent="0.3">
      <c r="K82" t="str">
        <f t="shared" si="9"/>
        <v/>
      </c>
      <c r="L82" t="str">
        <f t="shared" si="5"/>
        <v/>
      </c>
      <c r="M82" t="str">
        <f t="shared" si="6"/>
        <v/>
      </c>
      <c r="N82" t="str">
        <f t="shared" si="7"/>
        <v/>
      </c>
      <c r="O82" t="str">
        <f t="shared" si="8"/>
        <v/>
      </c>
    </row>
    <row r="83" spans="11:15" x14ac:dyDescent="0.3">
      <c r="K83" t="str">
        <f t="shared" si="9"/>
        <v/>
      </c>
      <c r="L83" t="str">
        <f t="shared" si="5"/>
        <v/>
      </c>
      <c r="M83" t="str">
        <f t="shared" si="6"/>
        <v/>
      </c>
      <c r="N83" t="str">
        <f t="shared" si="7"/>
        <v/>
      </c>
      <c r="O83" t="str">
        <f t="shared" si="8"/>
        <v/>
      </c>
    </row>
    <row r="84" spans="11:15" x14ac:dyDescent="0.3">
      <c r="K84" t="str">
        <f t="shared" si="9"/>
        <v/>
      </c>
      <c r="L84" t="str">
        <f t="shared" si="5"/>
        <v/>
      </c>
      <c r="M84" t="str">
        <f t="shared" si="6"/>
        <v/>
      </c>
      <c r="N84" t="str">
        <f t="shared" si="7"/>
        <v/>
      </c>
      <c r="O84" t="str">
        <f t="shared" si="8"/>
        <v/>
      </c>
    </row>
    <row r="85" spans="11:15" x14ac:dyDescent="0.3">
      <c r="K85" t="str">
        <f t="shared" si="9"/>
        <v/>
      </c>
      <c r="L85" t="str">
        <f t="shared" si="5"/>
        <v/>
      </c>
      <c r="M85" t="str">
        <f t="shared" si="6"/>
        <v/>
      </c>
      <c r="N85" t="str">
        <f t="shared" si="7"/>
        <v/>
      </c>
      <c r="O85" t="str">
        <f t="shared" si="8"/>
        <v/>
      </c>
    </row>
    <row r="86" spans="11:15" x14ac:dyDescent="0.3">
      <c r="K86" t="str">
        <f t="shared" si="9"/>
        <v/>
      </c>
      <c r="L86" t="str">
        <f t="shared" si="5"/>
        <v/>
      </c>
      <c r="M86" t="str">
        <f t="shared" si="6"/>
        <v/>
      </c>
      <c r="N86" t="str">
        <f t="shared" si="7"/>
        <v/>
      </c>
      <c r="O86" t="str">
        <f t="shared" si="8"/>
        <v/>
      </c>
    </row>
    <row r="87" spans="11:15" x14ac:dyDescent="0.3">
      <c r="K87" t="str">
        <f t="shared" si="9"/>
        <v/>
      </c>
      <c r="L87" t="str">
        <f t="shared" si="5"/>
        <v/>
      </c>
      <c r="M87" t="str">
        <f t="shared" si="6"/>
        <v/>
      </c>
      <c r="N87" t="str">
        <f t="shared" si="7"/>
        <v/>
      </c>
      <c r="O87" t="str">
        <f t="shared" si="8"/>
        <v/>
      </c>
    </row>
    <row r="88" spans="11:15" x14ac:dyDescent="0.3">
      <c r="K88" t="str">
        <f t="shared" si="9"/>
        <v/>
      </c>
      <c r="L88" t="str">
        <f t="shared" si="5"/>
        <v/>
      </c>
      <c r="M88" t="str">
        <f t="shared" si="6"/>
        <v/>
      </c>
      <c r="N88" t="str">
        <f t="shared" si="7"/>
        <v/>
      </c>
      <c r="O88" t="str">
        <f t="shared" si="8"/>
        <v/>
      </c>
    </row>
    <row r="89" spans="11:15" x14ac:dyDescent="0.3">
      <c r="K89" t="str">
        <f t="shared" si="9"/>
        <v/>
      </c>
      <c r="L89" t="str">
        <f t="shared" si="5"/>
        <v/>
      </c>
      <c r="M89" t="str">
        <f t="shared" si="6"/>
        <v/>
      </c>
      <c r="N89" t="str">
        <f t="shared" si="7"/>
        <v/>
      </c>
      <c r="O89" t="str">
        <f t="shared" si="8"/>
        <v/>
      </c>
    </row>
    <row r="90" spans="11:15" x14ac:dyDescent="0.3">
      <c r="K90" t="str">
        <f t="shared" si="9"/>
        <v/>
      </c>
      <c r="L90" t="str">
        <f t="shared" si="5"/>
        <v/>
      </c>
      <c r="M90" t="str">
        <f t="shared" si="6"/>
        <v/>
      </c>
      <c r="N90" t="str">
        <f t="shared" si="7"/>
        <v/>
      </c>
      <c r="O90" t="str">
        <f t="shared" si="8"/>
        <v/>
      </c>
    </row>
    <row r="91" spans="11:15" x14ac:dyDescent="0.3">
      <c r="K91" t="str">
        <f t="shared" si="9"/>
        <v/>
      </c>
      <c r="L91" t="str">
        <f t="shared" si="5"/>
        <v/>
      </c>
      <c r="M91" t="str">
        <f t="shared" si="6"/>
        <v/>
      </c>
      <c r="N91" t="str">
        <f t="shared" si="7"/>
        <v/>
      </c>
      <c r="O91" t="str">
        <f t="shared" si="8"/>
        <v/>
      </c>
    </row>
    <row r="92" spans="11:15" x14ac:dyDescent="0.3">
      <c r="K92" t="str">
        <f t="shared" si="9"/>
        <v/>
      </c>
      <c r="L92" t="str">
        <f t="shared" si="5"/>
        <v/>
      </c>
      <c r="M92" t="str">
        <f t="shared" si="6"/>
        <v/>
      </c>
      <c r="N92" t="str">
        <f t="shared" si="7"/>
        <v/>
      </c>
      <c r="O92" t="str">
        <f t="shared" si="8"/>
        <v/>
      </c>
    </row>
    <row r="93" spans="11:15" x14ac:dyDescent="0.3">
      <c r="K93" t="str">
        <f t="shared" si="9"/>
        <v/>
      </c>
      <c r="L93" t="str">
        <f t="shared" si="5"/>
        <v/>
      </c>
      <c r="M93" t="str">
        <f t="shared" si="6"/>
        <v/>
      </c>
      <c r="N93" t="str">
        <f t="shared" si="7"/>
        <v/>
      </c>
      <c r="O93" t="str">
        <f t="shared" si="8"/>
        <v/>
      </c>
    </row>
    <row r="94" spans="11:15" x14ac:dyDescent="0.3">
      <c r="K94" t="str">
        <f t="shared" si="9"/>
        <v/>
      </c>
      <c r="L94" t="str">
        <f t="shared" si="5"/>
        <v/>
      </c>
      <c r="M94" t="str">
        <f t="shared" si="6"/>
        <v/>
      </c>
      <c r="N94" t="str">
        <f t="shared" si="7"/>
        <v/>
      </c>
      <c r="O94" t="str">
        <f t="shared" si="8"/>
        <v/>
      </c>
    </row>
    <row r="95" spans="11:15" x14ac:dyDescent="0.3">
      <c r="K95" t="str">
        <f t="shared" si="9"/>
        <v/>
      </c>
      <c r="L95" t="str">
        <f t="shared" si="5"/>
        <v/>
      </c>
      <c r="M95" t="str">
        <f t="shared" si="6"/>
        <v/>
      </c>
      <c r="N95" t="str">
        <f t="shared" si="7"/>
        <v/>
      </c>
      <c r="O95" t="str">
        <f t="shared" si="8"/>
        <v/>
      </c>
    </row>
    <row r="96" spans="11:15" x14ac:dyDescent="0.3">
      <c r="K96" t="str">
        <f t="shared" si="9"/>
        <v/>
      </c>
      <c r="L96" t="str">
        <f t="shared" si="5"/>
        <v/>
      </c>
      <c r="M96" t="str">
        <f t="shared" si="6"/>
        <v/>
      </c>
      <c r="N96" t="str">
        <f t="shared" si="7"/>
        <v/>
      </c>
      <c r="O96" t="str">
        <f t="shared" si="8"/>
        <v/>
      </c>
    </row>
    <row r="97" spans="11:15" x14ac:dyDescent="0.3">
      <c r="K97" t="str">
        <f t="shared" si="9"/>
        <v/>
      </c>
      <c r="L97" t="str">
        <f t="shared" si="5"/>
        <v/>
      </c>
      <c r="M97" t="str">
        <f t="shared" si="6"/>
        <v/>
      </c>
      <c r="N97" t="str">
        <f t="shared" si="7"/>
        <v/>
      </c>
      <c r="O97" t="str">
        <f t="shared" si="8"/>
        <v/>
      </c>
    </row>
    <row r="98" spans="11:15" x14ac:dyDescent="0.3">
      <c r="K98" t="str">
        <f t="shared" si="9"/>
        <v/>
      </c>
      <c r="L98" t="str">
        <f t="shared" si="5"/>
        <v/>
      </c>
      <c r="M98" t="str">
        <f t="shared" si="6"/>
        <v/>
      </c>
      <c r="N98" t="str">
        <f t="shared" si="7"/>
        <v/>
      </c>
      <c r="O98" t="str">
        <f t="shared" si="8"/>
        <v/>
      </c>
    </row>
    <row r="99" spans="11:15" x14ac:dyDescent="0.3">
      <c r="K99" t="str">
        <f t="shared" si="9"/>
        <v/>
      </c>
      <c r="L99" t="str">
        <f t="shared" si="5"/>
        <v/>
      </c>
      <c r="M99" t="str">
        <f t="shared" si="6"/>
        <v/>
      </c>
      <c r="N99" t="str">
        <f t="shared" si="7"/>
        <v/>
      </c>
      <c r="O99" t="str">
        <f t="shared" si="8"/>
        <v/>
      </c>
    </row>
    <row r="100" spans="11:15" x14ac:dyDescent="0.3">
      <c r="K100" t="str">
        <f t="shared" si="9"/>
        <v/>
      </c>
      <c r="L100" t="str">
        <f t="shared" si="5"/>
        <v/>
      </c>
      <c r="M100" t="str">
        <f t="shared" si="6"/>
        <v/>
      </c>
      <c r="N100" t="str">
        <f t="shared" si="7"/>
        <v/>
      </c>
      <c r="O100" t="str">
        <f t="shared" si="8"/>
        <v/>
      </c>
    </row>
    <row r="101" spans="11:15" x14ac:dyDescent="0.3">
      <c r="K101" t="str">
        <f t="shared" si="9"/>
        <v/>
      </c>
      <c r="L101" t="str">
        <f t="shared" si="5"/>
        <v/>
      </c>
      <c r="M101" t="str">
        <f t="shared" si="6"/>
        <v/>
      </c>
      <c r="N101" t="str">
        <f t="shared" si="7"/>
        <v/>
      </c>
      <c r="O101" t="str">
        <f t="shared" si="8"/>
        <v/>
      </c>
    </row>
    <row r="102" spans="11:15" x14ac:dyDescent="0.3">
      <c r="K102" t="str">
        <f t="shared" si="9"/>
        <v/>
      </c>
      <c r="L102" t="str">
        <f t="shared" si="5"/>
        <v/>
      </c>
      <c r="M102" t="str">
        <f t="shared" si="6"/>
        <v/>
      </c>
      <c r="N102" t="str">
        <f t="shared" si="7"/>
        <v/>
      </c>
      <c r="O102" t="str">
        <f t="shared" si="8"/>
        <v/>
      </c>
    </row>
    <row r="103" spans="11:15" x14ac:dyDescent="0.3">
      <c r="K103" t="str">
        <f t="shared" si="9"/>
        <v/>
      </c>
      <c r="L103" t="str">
        <f t="shared" si="5"/>
        <v/>
      </c>
      <c r="M103" t="str">
        <f t="shared" si="6"/>
        <v/>
      </c>
      <c r="N103" t="str">
        <f t="shared" si="7"/>
        <v/>
      </c>
      <c r="O103" t="str">
        <f t="shared" si="8"/>
        <v/>
      </c>
    </row>
    <row r="104" spans="11:15" x14ac:dyDescent="0.3">
      <c r="K104" t="str">
        <f t="shared" si="9"/>
        <v/>
      </c>
      <c r="L104" t="str">
        <f t="shared" si="5"/>
        <v/>
      </c>
      <c r="M104" t="str">
        <f t="shared" si="6"/>
        <v/>
      </c>
      <c r="N104" t="str">
        <f t="shared" si="7"/>
        <v/>
      </c>
      <c r="O104" t="str">
        <f t="shared" si="8"/>
        <v/>
      </c>
    </row>
    <row r="105" spans="11:15" x14ac:dyDescent="0.3">
      <c r="K105" t="str">
        <f t="shared" si="9"/>
        <v/>
      </c>
      <c r="L105" t="str">
        <f t="shared" si="5"/>
        <v/>
      </c>
      <c r="M105" t="str">
        <f t="shared" si="6"/>
        <v/>
      </c>
      <c r="N105" t="str">
        <f t="shared" si="7"/>
        <v/>
      </c>
      <c r="O105" t="str">
        <f t="shared" si="8"/>
        <v/>
      </c>
    </row>
    <row r="106" spans="11:15" x14ac:dyDescent="0.3">
      <c r="K106" t="str">
        <f t="shared" si="9"/>
        <v/>
      </c>
      <c r="L106" t="str">
        <f t="shared" si="5"/>
        <v/>
      </c>
      <c r="M106" t="str">
        <f t="shared" si="6"/>
        <v/>
      </c>
      <c r="N106" t="str">
        <f t="shared" si="7"/>
        <v/>
      </c>
      <c r="O106" t="str">
        <f t="shared" si="8"/>
        <v/>
      </c>
    </row>
    <row r="107" spans="11:15" x14ac:dyDescent="0.3">
      <c r="K107" t="str">
        <f t="shared" si="9"/>
        <v/>
      </c>
      <c r="L107" t="str">
        <f t="shared" si="5"/>
        <v/>
      </c>
      <c r="M107" t="str">
        <f t="shared" si="6"/>
        <v/>
      </c>
      <c r="N107" t="str">
        <f t="shared" si="7"/>
        <v/>
      </c>
      <c r="O107" t="str">
        <f t="shared" si="8"/>
        <v/>
      </c>
    </row>
    <row r="108" spans="11:15" x14ac:dyDescent="0.3">
      <c r="K108" t="str">
        <f t="shared" si="9"/>
        <v/>
      </c>
      <c r="L108" t="str">
        <f t="shared" si="5"/>
        <v/>
      </c>
      <c r="M108" t="str">
        <f t="shared" si="6"/>
        <v/>
      </c>
      <c r="N108" t="str">
        <f t="shared" si="7"/>
        <v/>
      </c>
      <c r="O108" t="str">
        <f t="shared" si="8"/>
        <v/>
      </c>
    </row>
    <row r="109" spans="11:15" x14ac:dyDescent="0.3">
      <c r="K109" t="str">
        <f t="shared" si="9"/>
        <v/>
      </c>
      <c r="L109" t="str">
        <f t="shared" si="5"/>
        <v/>
      </c>
      <c r="M109" t="str">
        <f t="shared" si="6"/>
        <v/>
      </c>
      <c r="N109" t="str">
        <f t="shared" si="7"/>
        <v/>
      </c>
      <c r="O109" t="str">
        <f t="shared" si="8"/>
        <v/>
      </c>
    </row>
    <row r="110" spans="11:15" x14ac:dyDescent="0.3">
      <c r="K110" t="str">
        <f t="shared" si="9"/>
        <v/>
      </c>
      <c r="L110" t="str">
        <f t="shared" si="5"/>
        <v/>
      </c>
      <c r="M110" t="str">
        <f t="shared" si="6"/>
        <v/>
      </c>
      <c r="N110" t="str">
        <f t="shared" si="7"/>
        <v/>
      </c>
      <c r="O110" t="str">
        <f t="shared" si="8"/>
        <v/>
      </c>
    </row>
    <row r="111" spans="11:15" x14ac:dyDescent="0.3">
      <c r="K111" t="str">
        <f t="shared" si="9"/>
        <v/>
      </c>
      <c r="L111" t="str">
        <f t="shared" si="5"/>
        <v/>
      </c>
      <c r="M111" t="str">
        <f t="shared" si="6"/>
        <v/>
      </c>
      <c r="N111" t="str">
        <f t="shared" si="7"/>
        <v/>
      </c>
      <c r="O111" t="str">
        <f t="shared" si="8"/>
        <v/>
      </c>
    </row>
    <row r="112" spans="11:15" x14ac:dyDescent="0.3">
      <c r="K112" t="str">
        <f t="shared" si="9"/>
        <v/>
      </c>
      <c r="L112" t="str">
        <f t="shared" si="5"/>
        <v/>
      </c>
      <c r="M112" t="str">
        <f t="shared" si="6"/>
        <v/>
      </c>
      <c r="N112" t="str">
        <f t="shared" si="7"/>
        <v/>
      </c>
      <c r="O112" t="str">
        <f t="shared" si="8"/>
        <v/>
      </c>
    </row>
    <row r="113" spans="11:15" x14ac:dyDescent="0.3">
      <c r="K113" t="str">
        <f t="shared" si="9"/>
        <v/>
      </c>
      <c r="L113" t="str">
        <f t="shared" si="5"/>
        <v/>
      </c>
      <c r="M113" t="str">
        <f t="shared" si="6"/>
        <v/>
      </c>
      <c r="N113" t="str">
        <f t="shared" si="7"/>
        <v/>
      </c>
      <c r="O113" t="str">
        <f t="shared" si="8"/>
        <v/>
      </c>
    </row>
    <row r="114" spans="11:15" x14ac:dyDescent="0.3">
      <c r="K114" t="str">
        <f t="shared" si="9"/>
        <v/>
      </c>
      <c r="L114" t="str">
        <f t="shared" si="5"/>
        <v/>
      </c>
      <c r="M114" t="str">
        <f t="shared" si="6"/>
        <v/>
      </c>
      <c r="N114" t="str">
        <f t="shared" si="7"/>
        <v/>
      </c>
      <c r="O114" t="str">
        <f t="shared" si="8"/>
        <v/>
      </c>
    </row>
    <row r="115" spans="11:15" x14ac:dyDescent="0.3">
      <c r="K115" t="str">
        <f t="shared" si="9"/>
        <v/>
      </c>
      <c r="L115" t="str">
        <f t="shared" si="5"/>
        <v/>
      </c>
      <c r="M115" t="str">
        <f t="shared" si="6"/>
        <v/>
      </c>
      <c r="N115" t="str">
        <f t="shared" si="7"/>
        <v/>
      </c>
      <c r="O115" t="str">
        <f t="shared" si="8"/>
        <v/>
      </c>
    </row>
    <row r="116" spans="11:15" x14ac:dyDescent="0.3">
      <c r="K116" t="str">
        <f t="shared" si="9"/>
        <v/>
      </c>
      <c r="L116" t="str">
        <f t="shared" si="5"/>
        <v/>
      </c>
      <c r="M116" t="str">
        <f t="shared" si="6"/>
        <v/>
      </c>
      <c r="N116" t="str">
        <f t="shared" si="7"/>
        <v/>
      </c>
      <c r="O116" t="str">
        <f t="shared" si="8"/>
        <v/>
      </c>
    </row>
    <row r="117" spans="11:15" x14ac:dyDescent="0.3">
      <c r="K117" t="str">
        <f t="shared" si="9"/>
        <v/>
      </c>
      <c r="L117" t="str">
        <f t="shared" si="5"/>
        <v/>
      </c>
      <c r="M117" t="str">
        <f t="shared" si="6"/>
        <v/>
      </c>
      <c r="N117" t="str">
        <f t="shared" si="7"/>
        <v/>
      </c>
      <c r="O117" t="str">
        <f t="shared" si="8"/>
        <v/>
      </c>
    </row>
    <row r="118" spans="11:15" x14ac:dyDescent="0.3">
      <c r="K118" t="str">
        <f t="shared" si="9"/>
        <v/>
      </c>
      <c r="L118" t="str">
        <f t="shared" si="5"/>
        <v/>
      </c>
      <c r="M118" t="str">
        <f t="shared" si="6"/>
        <v/>
      </c>
      <c r="N118" t="str">
        <f t="shared" si="7"/>
        <v/>
      </c>
      <c r="O118" t="str">
        <f t="shared" si="8"/>
        <v/>
      </c>
    </row>
    <row r="119" spans="11:15" x14ac:dyDescent="0.3">
      <c r="K119" t="str">
        <f t="shared" si="9"/>
        <v/>
      </c>
      <c r="L119" t="str">
        <f t="shared" si="5"/>
        <v/>
      </c>
      <c r="M119" t="str">
        <f t="shared" si="6"/>
        <v/>
      </c>
      <c r="N119" t="str">
        <f t="shared" si="7"/>
        <v/>
      </c>
      <c r="O119" t="str">
        <f t="shared" si="8"/>
        <v/>
      </c>
    </row>
    <row r="120" spans="11:15" x14ac:dyDescent="0.3">
      <c r="K120" t="str">
        <f t="shared" si="9"/>
        <v/>
      </c>
      <c r="L120" t="str">
        <f t="shared" si="5"/>
        <v/>
      </c>
      <c r="M120" t="str">
        <f t="shared" si="6"/>
        <v/>
      </c>
      <c r="N120" t="str">
        <f t="shared" si="7"/>
        <v/>
      </c>
      <c r="O120" t="str">
        <f t="shared" si="8"/>
        <v/>
      </c>
    </row>
    <row r="121" spans="11:15" x14ac:dyDescent="0.3">
      <c r="K121" t="str">
        <f t="shared" si="9"/>
        <v/>
      </c>
      <c r="L121" t="str">
        <f t="shared" si="5"/>
        <v/>
      </c>
      <c r="M121" t="str">
        <f t="shared" si="6"/>
        <v/>
      </c>
      <c r="N121" t="str">
        <f t="shared" si="7"/>
        <v/>
      </c>
      <c r="O121" t="str">
        <f t="shared" si="8"/>
        <v/>
      </c>
    </row>
    <row r="122" spans="11:15" x14ac:dyDescent="0.3">
      <c r="K122" t="str">
        <f t="shared" si="9"/>
        <v/>
      </c>
      <c r="L122" t="str">
        <f t="shared" si="5"/>
        <v/>
      </c>
      <c r="M122" t="str">
        <f t="shared" si="6"/>
        <v/>
      </c>
      <c r="N122" t="str">
        <f t="shared" si="7"/>
        <v/>
      </c>
      <c r="O122" t="str">
        <f t="shared" si="8"/>
        <v/>
      </c>
    </row>
    <row r="123" spans="11:15" x14ac:dyDescent="0.3">
      <c r="K123" t="str">
        <f t="shared" si="9"/>
        <v/>
      </c>
      <c r="L123" t="str">
        <f t="shared" si="5"/>
        <v/>
      </c>
      <c r="M123" t="str">
        <f t="shared" si="6"/>
        <v/>
      </c>
      <c r="N123" t="str">
        <f t="shared" si="7"/>
        <v/>
      </c>
      <c r="O123" t="str">
        <f t="shared" si="8"/>
        <v/>
      </c>
    </row>
    <row r="124" spans="11:15" x14ac:dyDescent="0.3">
      <c r="K124" t="str">
        <f t="shared" si="9"/>
        <v/>
      </c>
      <c r="L124" t="str">
        <f t="shared" si="5"/>
        <v/>
      </c>
      <c r="M124" t="str">
        <f t="shared" si="6"/>
        <v/>
      </c>
      <c r="N124" t="str">
        <f t="shared" si="7"/>
        <v/>
      </c>
      <c r="O124" t="str">
        <f t="shared" si="8"/>
        <v/>
      </c>
    </row>
    <row r="125" spans="11:15" x14ac:dyDescent="0.3">
      <c r="K125" t="str">
        <f t="shared" si="9"/>
        <v/>
      </c>
      <c r="L125" t="str">
        <f t="shared" si="5"/>
        <v/>
      </c>
      <c r="M125" t="str">
        <f t="shared" si="6"/>
        <v/>
      </c>
      <c r="N125" t="str">
        <f t="shared" si="7"/>
        <v/>
      </c>
      <c r="O125" t="str">
        <f t="shared" si="8"/>
        <v/>
      </c>
    </row>
    <row r="126" spans="11:15" x14ac:dyDescent="0.3">
      <c r="K126" t="str">
        <f t="shared" si="9"/>
        <v/>
      </c>
      <c r="L126" t="str">
        <f t="shared" si="5"/>
        <v/>
      </c>
      <c r="M126" t="str">
        <f t="shared" si="6"/>
        <v/>
      </c>
      <c r="N126" t="str">
        <f t="shared" si="7"/>
        <v/>
      </c>
      <c r="O126" t="str">
        <f t="shared" si="8"/>
        <v/>
      </c>
    </row>
    <row r="127" spans="11:15" x14ac:dyDescent="0.3">
      <c r="K127" t="str">
        <f t="shared" si="9"/>
        <v/>
      </c>
      <c r="L127" t="str">
        <f t="shared" si="5"/>
        <v/>
      </c>
      <c r="M127" t="str">
        <f t="shared" si="6"/>
        <v/>
      </c>
      <c r="N127" t="str">
        <f t="shared" si="7"/>
        <v/>
      </c>
      <c r="O127" t="str">
        <f t="shared" si="8"/>
        <v/>
      </c>
    </row>
    <row r="128" spans="11:15" x14ac:dyDescent="0.3">
      <c r="K128" t="str">
        <f t="shared" si="9"/>
        <v/>
      </c>
      <c r="L128" t="str">
        <f t="shared" si="5"/>
        <v/>
      </c>
      <c r="M128" t="str">
        <f t="shared" si="6"/>
        <v/>
      </c>
      <c r="N128" t="str">
        <f t="shared" si="7"/>
        <v/>
      </c>
      <c r="O128" t="str">
        <f t="shared" si="8"/>
        <v/>
      </c>
    </row>
    <row r="129" spans="11:15" x14ac:dyDescent="0.3">
      <c r="K129" t="str">
        <f t="shared" si="9"/>
        <v/>
      </c>
      <c r="L129" t="str">
        <f t="shared" ref="L129:L192" si="10">IF(A129="","",IF(ISNUMBER(--LEFT(A129,FIND(" - ",A129&amp;" - ")-1)),LEFT(A129,FIND(" - ",A129&amp;" - ")-1),TRIM(A129)))</f>
        <v/>
      </c>
      <c r="M129" t="str">
        <f t="shared" ref="M129:M192" si="11">IF(OR(K129="",K129=A129,A129=""),"",K129&amp;"|"&amp;L129)</f>
        <v/>
      </c>
      <c r="N129" t="str">
        <f t="shared" ref="N129:N192" si="12">IF(M129="","",IF(ISNUMBER(B129),B129,IFERROR(_xlfn.NUMBERVALUE(B129,".",","),0)))</f>
        <v/>
      </c>
      <c r="O129" t="str">
        <f t="shared" ref="O129:O192" si="13">IF(M129="","",IF(ISNUMBER(C129),C129,IFERROR(_xlfn.NUMBERVALUE(C129,".",","),0)))</f>
        <v/>
      </c>
    </row>
    <row r="130" spans="11:15" x14ac:dyDescent="0.3">
      <c r="K130" t="str">
        <f t="shared" ref="K130:K193" si="14">IF(OR(LEFT(B130,9)="DOANH THU",LEFT(B130,8)="SỐ LƯỢNG"),A130,K129)</f>
        <v/>
      </c>
      <c r="L130" t="str">
        <f t="shared" si="10"/>
        <v/>
      </c>
      <c r="M130" t="str">
        <f t="shared" si="11"/>
        <v/>
      </c>
      <c r="N130" t="str">
        <f t="shared" si="12"/>
        <v/>
      </c>
      <c r="O130" t="str">
        <f t="shared" si="13"/>
        <v/>
      </c>
    </row>
    <row r="131" spans="11:15" x14ac:dyDescent="0.3">
      <c r="K131" t="str">
        <f t="shared" si="14"/>
        <v/>
      </c>
      <c r="L131" t="str">
        <f t="shared" si="10"/>
        <v/>
      </c>
      <c r="M131" t="str">
        <f t="shared" si="11"/>
        <v/>
      </c>
      <c r="N131" t="str">
        <f t="shared" si="12"/>
        <v/>
      </c>
      <c r="O131" t="str">
        <f t="shared" si="13"/>
        <v/>
      </c>
    </row>
    <row r="132" spans="11:15" x14ac:dyDescent="0.3">
      <c r="K132" t="str">
        <f t="shared" si="14"/>
        <v/>
      </c>
      <c r="L132" t="str">
        <f t="shared" si="10"/>
        <v/>
      </c>
      <c r="M132" t="str">
        <f t="shared" si="11"/>
        <v/>
      </c>
      <c r="N132" t="str">
        <f t="shared" si="12"/>
        <v/>
      </c>
      <c r="O132" t="str">
        <f t="shared" si="13"/>
        <v/>
      </c>
    </row>
    <row r="133" spans="11:15" x14ac:dyDescent="0.3">
      <c r="K133" t="str">
        <f t="shared" si="14"/>
        <v/>
      </c>
      <c r="L133" t="str">
        <f t="shared" si="10"/>
        <v/>
      </c>
      <c r="M133" t="str">
        <f t="shared" si="11"/>
        <v/>
      </c>
      <c r="N133" t="str">
        <f t="shared" si="12"/>
        <v/>
      </c>
      <c r="O133" t="str">
        <f t="shared" si="13"/>
        <v/>
      </c>
    </row>
    <row r="134" spans="11:15" x14ac:dyDescent="0.3">
      <c r="K134" t="str">
        <f t="shared" si="14"/>
        <v/>
      </c>
      <c r="L134" t="str">
        <f t="shared" si="10"/>
        <v/>
      </c>
      <c r="M134" t="str">
        <f t="shared" si="11"/>
        <v/>
      </c>
      <c r="N134" t="str">
        <f t="shared" si="12"/>
        <v/>
      </c>
      <c r="O134" t="str">
        <f t="shared" si="13"/>
        <v/>
      </c>
    </row>
    <row r="135" spans="11:15" x14ac:dyDescent="0.3">
      <c r="K135" t="str">
        <f t="shared" si="14"/>
        <v/>
      </c>
      <c r="L135" t="str">
        <f t="shared" si="10"/>
        <v/>
      </c>
      <c r="M135" t="str">
        <f t="shared" si="11"/>
        <v/>
      </c>
      <c r="N135" t="str">
        <f t="shared" si="12"/>
        <v/>
      </c>
      <c r="O135" t="str">
        <f t="shared" si="13"/>
        <v/>
      </c>
    </row>
    <row r="136" spans="11:15" x14ac:dyDescent="0.3">
      <c r="K136" t="str">
        <f t="shared" si="14"/>
        <v/>
      </c>
      <c r="L136" t="str">
        <f t="shared" si="10"/>
        <v/>
      </c>
      <c r="M136" t="str">
        <f t="shared" si="11"/>
        <v/>
      </c>
      <c r="N136" t="str">
        <f t="shared" si="12"/>
        <v/>
      </c>
      <c r="O136" t="str">
        <f t="shared" si="13"/>
        <v/>
      </c>
    </row>
    <row r="137" spans="11:15" x14ac:dyDescent="0.3">
      <c r="K137" t="str">
        <f t="shared" si="14"/>
        <v/>
      </c>
      <c r="L137" t="str">
        <f t="shared" si="10"/>
        <v/>
      </c>
      <c r="M137" t="str">
        <f t="shared" si="11"/>
        <v/>
      </c>
      <c r="N137" t="str">
        <f t="shared" si="12"/>
        <v/>
      </c>
      <c r="O137" t="str">
        <f t="shared" si="13"/>
        <v/>
      </c>
    </row>
    <row r="138" spans="11:15" x14ac:dyDescent="0.3">
      <c r="K138" t="str">
        <f t="shared" si="14"/>
        <v/>
      </c>
      <c r="L138" t="str">
        <f t="shared" si="10"/>
        <v/>
      </c>
      <c r="M138" t="str">
        <f t="shared" si="11"/>
        <v/>
      </c>
      <c r="N138" t="str">
        <f t="shared" si="12"/>
        <v/>
      </c>
      <c r="O138" t="str">
        <f t="shared" si="13"/>
        <v/>
      </c>
    </row>
    <row r="139" spans="11:15" x14ac:dyDescent="0.3">
      <c r="K139" t="str">
        <f t="shared" si="14"/>
        <v/>
      </c>
      <c r="L139" t="str">
        <f t="shared" si="10"/>
        <v/>
      </c>
      <c r="M139" t="str">
        <f t="shared" si="11"/>
        <v/>
      </c>
      <c r="N139" t="str">
        <f t="shared" si="12"/>
        <v/>
      </c>
      <c r="O139" t="str">
        <f t="shared" si="13"/>
        <v/>
      </c>
    </row>
    <row r="140" spans="11:15" x14ac:dyDescent="0.3">
      <c r="K140" t="str">
        <f t="shared" si="14"/>
        <v/>
      </c>
      <c r="L140" t="str">
        <f t="shared" si="10"/>
        <v/>
      </c>
      <c r="M140" t="str">
        <f t="shared" si="11"/>
        <v/>
      </c>
      <c r="N140" t="str">
        <f t="shared" si="12"/>
        <v/>
      </c>
      <c r="O140" t="str">
        <f t="shared" si="13"/>
        <v/>
      </c>
    </row>
    <row r="141" spans="11:15" x14ac:dyDescent="0.3">
      <c r="K141" t="str">
        <f t="shared" si="14"/>
        <v/>
      </c>
      <c r="L141" t="str">
        <f t="shared" si="10"/>
        <v/>
      </c>
      <c r="M141" t="str">
        <f t="shared" si="11"/>
        <v/>
      </c>
      <c r="N141" t="str">
        <f t="shared" si="12"/>
        <v/>
      </c>
      <c r="O141" t="str">
        <f t="shared" si="13"/>
        <v/>
      </c>
    </row>
    <row r="142" spans="11:15" x14ac:dyDescent="0.3">
      <c r="K142" t="str">
        <f t="shared" si="14"/>
        <v/>
      </c>
      <c r="L142" t="str">
        <f t="shared" si="10"/>
        <v/>
      </c>
      <c r="M142" t="str">
        <f t="shared" si="11"/>
        <v/>
      </c>
      <c r="N142" t="str">
        <f t="shared" si="12"/>
        <v/>
      </c>
      <c r="O142" t="str">
        <f t="shared" si="13"/>
        <v/>
      </c>
    </row>
    <row r="143" spans="11:15" x14ac:dyDescent="0.3">
      <c r="K143" t="str">
        <f t="shared" si="14"/>
        <v/>
      </c>
      <c r="L143" t="str">
        <f t="shared" si="10"/>
        <v/>
      </c>
      <c r="M143" t="str">
        <f t="shared" si="11"/>
        <v/>
      </c>
      <c r="N143" t="str">
        <f t="shared" si="12"/>
        <v/>
      </c>
      <c r="O143" t="str">
        <f t="shared" si="13"/>
        <v/>
      </c>
    </row>
    <row r="144" spans="11:15" x14ac:dyDescent="0.3">
      <c r="K144" t="str">
        <f t="shared" si="14"/>
        <v/>
      </c>
      <c r="L144" t="str">
        <f t="shared" si="10"/>
        <v/>
      </c>
      <c r="M144" t="str">
        <f t="shared" si="11"/>
        <v/>
      </c>
      <c r="N144" t="str">
        <f t="shared" si="12"/>
        <v/>
      </c>
      <c r="O144" t="str">
        <f t="shared" si="13"/>
        <v/>
      </c>
    </row>
    <row r="145" spans="11:15" x14ac:dyDescent="0.3">
      <c r="K145" t="str">
        <f t="shared" si="14"/>
        <v/>
      </c>
      <c r="L145" t="str">
        <f t="shared" si="10"/>
        <v/>
      </c>
      <c r="M145" t="str">
        <f t="shared" si="11"/>
        <v/>
      </c>
      <c r="N145" t="str">
        <f t="shared" si="12"/>
        <v/>
      </c>
      <c r="O145" t="str">
        <f t="shared" si="13"/>
        <v/>
      </c>
    </row>
    <row r="146" spans="11:15" x14ac:dyDescent="0.3">
      <c r="K146" t="str">
        <f t="shared" si="14"/>
        <v/>
      </c>
      <c r="L146" t="str">
        <f t="shared" si="10"/>
        <v/>
      </c>
      <c r="M146" t="str">
        <f t="shared" si="11"/>
        <v/>
      </c>
      <c r="N146" t="str">
        <f t="shared" si="12"/>
        <v/>
      </c>
      <c r="O146" t="str">
        <f t="shared" si="13"/>
        <v/>
      </c>
    </row>
    <row r="147" spans="11:15" x14ac:dyDescent="0.3">
      <c r="K147" t="str">
        <f t="shared" si="14"/>
        <v/>
      </c>
      <c r="L147" t="str">
        <f t="shared" si="10"/>
        <v/>
      </c>
      <c r="M147" t="str">
        <f t="shared" si="11"/>
        <v/>
      </c>
      <c r="N147" t="str">
        <f t="shared" si="12"/>
        <v/>
      </c>
      <c r="O147" t="str">
        <f t="shared" si="13"/>
        <v/>
      </c>
    </row>
    <row r="148" spans="11:15" x14ac:dyDescent="0.3">
      <c r="K148" t="str">
        <f t="shared" si="14"/>
        <v/>
      </c>
      <c r="L148" t="str">
        <f t="shared" si="10"/>
        <v/>
      </c>
      <c r="M148" t="str">
        <f t="shared" si="11"/>
        <v/>
      </c>
      <c r="N148" t="str">
        <f t="shared" si="12"/>
        <v/>
      </c>
      <c r="O148" t="str">
        <f t="shared" si="13"/>
        <v/>
      </c>
    </row>
    <row r="149" spans="11:15" x14ac:dyDescent="0.3">
      <c r="K149" t="str">
        <f t="shared" si="14"/>
        <v/>
      </c>
      <c r="L149" t="str">
        <f t="shared" si="10"/>
        <v/>
      </c>
      <c r="M149" t="str">
        <f t="shared" si="11"/>
        <v/>
      </c>
      <c r="N149" t="str">
        <f t="shared" si="12"/>
        <v/>
      </c>
      <c r="O149" t="str">
        <f t="shared" si="13"/>
        <v/>
      </c>
    </row>
    <row r="150" spans="11:15" x14ac:dyDescent="0.3">
      <c r="K150" t="str">
        <f t="shared" si="14"/>
        <v/>
      </c>
      <c r="L150" t="str">
        <f t="shared" si="10"/>
        <v/>
      </c>
      <c r="M150" t="str">
        <f t="shared" si="11"/>
        <v/>
      </c>
      <c r="N150" t="str">
        <f t="shared" si="12"/>
        <v/>
      </c>
      <c r="O150" t="str">
        <f t="shared" si="13"/>
        <v/>
      </c>
    </row>
    <row r="151" spans="11:15" x14ac:dyDescent="0.3">
      <c r="K151" t="str">
        <f t="shared" si="14"/>
        <v/>
      </c>
      <c r="L151" t="str">
        <f t="shared" si="10"/>
        <v/>
      </c>
      <c r="M151" t="str">
        <f t="shared" si="11"/>
        <v/>
      </c>
      <c r="N151" t="str">
        <f t="shared" si="12"/>
        <v/>
      </c>
      <c r="O151" t="str">
        <f t="shared" si="13"/>
        <v/>
      </c>
    </row>
    <row r="152" spans="11:15" x14ac:dyDescent="0.3">
      <c r="K152" t="str">
        <f t="shared" si="14"/>
        <v/>
      </c>
      <c r="L152" t="str">
        <f t="shared" si="10"/>
        <v/>
      </c>
      <c r="M152" t="str">
        <f t="shared" si="11"/>
        <v/>
      </c>
      <c r="N152" t="str">
        <f t="shared" si="12"/>
        <v/>
      </c>
      <c r="O152" t="str">
        <f t="shared" si="13"/>
        <v/>
      </c>
    </row>
    <row r="153" spans="11:15" x14ac:dyDescent="0.3">
      <c r="K153" t="str">
        <f t="shared" si="14"/>
        <v/>
      </c>
      <c r="L153" t="str">
        <f t="shared" si="10"/>
        <v/>
      </c>
      <c r="M153" t="str">
        <f t="shared" si="11"/>
        <v/>
      </c>
      <c r="N153" t="str">
        <f t="shared" si="12"/>
        <v/>
      </c>
      <c r="O153" t="str">
        <f t="shared" si="13"/>
        <v/>
      </c>
    </row>
    <row r="154" spans="11:15" x14ac:dyDescent="0.3">
      <c r="K154" t="str">
        <f t="shared" si="14"/>
        <v/>
      </c>
      <c r="L154" t="str">
        <f t="shared" si="10"/>
        <v/>
      </c>
      <c r="M154" t="str">
        <f t="shared" si="11"/>
        <v/>
      </c>
      <c r="N154" t="str">
        <f t="shared" si="12"/>
        <v/>
      </c>
      <c r="O154" t="str">
        <f t="shared" si="13"/>
        <v/>
      </c>
    </row>
    <row r="155" spans="11:15" x14ac:dyDescent="0.3">
      <c r="K155" t="str">
        <f t="shared" si="14"/>
        <v/>
      </c>
      <c r="L155" t="str">
        <f t="shared" si="10"/>
        <v/>
      </c>
      <c r="M155" t="str">
        <f t="shared" si="11"/>
        <v/>
      </c>
      <c r="N155" t="str">
        <f t="shared" si="12"/>
        <v/>
      </c>
      <c r="O155" t="str">
        <f t="shared" si="13"/>
        <v/>
      </c>
    </row>
    <row r="156" spans="11:15" x14ac:dyDescent="0.3">
      <c r="K156" t="str">
        <f t="shared" si="14"/>
        <v/>
      </c>
      <c r="L156" t="str">
        <f t="shared" si="10"/>
        <v/>
      </c>
      <c r="M156" t="str">
        <f t="shared" si="11"/>
        <v/>
      </c>
      <c r="N156" t="str">
        <f t="shared" si="12"/>
        <v/>
      </c>
      <c r="O156" t="str">
        <f t="shared" si="13"/>
        <v/>
      </c>
    </row>
    <row r="157" spans="11:15" x14ac:dyDescent="0.3">
      <c r="K157" t="str">
        <f t="shared" si="14"/>
        <v/>
      </c>
      <c r="L157" t="str">
        <f t="shared" si="10"/>
        <v/>
      </c>
      <c r="M157" t="str">
        <f t="shared" si="11"/>
        <v/>
      </c>
      <c r="N157" t="str">
        <f t="shared" si="12"/>
        <v/>
      </c>
      <c r="O157" t="str">
        <f t="shared" si="13"/>
        <v/>
      </c>
    </row>
    <row r="158" spans="11:15" x14ac:dyDescent="0.3">
      <c r="K158" t="str">
        <f t="shared" si="14"/>
        <v/>
      </c>
      <c r="L158" t="str">
        <f t="shared" si="10"/>
        <v/>
      </c>
      <c r="M158" t="str">
        <f t="shared" si="11"/>
        <v/>
      </c>
      <c r="N158" t="str">
        <f t="shared" si="12"/>
        <v/>
      </c>
      <c r="O158" t="str">
        <f t="shared" si="13"/>
        <v/>
      </c>
    </row>
    <row r="159" spans="11:15" x14ac:dyDescent="0.3">
      <c r="K159" t="str">
        <f t="shared" si="14"/>
        <v/>
      </c>
      <c r="L159" t="str">
        <f t="shared" si="10"/>
        <v/>
      </c>
      <c r="M159" t="str">
        <f t="shared" si="11"/>
        <v/>
      </c>
      <c r="N159" t="str">
        <f t="shared" si="12"/>
        <v/>
      </c>
      <c r="O159" t="str">
        <f t="shared" si="13"/>
        <v/>
      </c>
    </row>
    <row r="160" spans="11:15" x14ac:dyDescent="0.3">
      <c r="K160" t="str">
        <f t="shared" si="14"/>
        <v/>
      </c>
      <c r="L160" t="str">
        <f t="shared" si="10"/>
        <v/>
      </c>
      <c r="M160" t="str">
        <f t="shared" si="11"/>
        <v/>
      </c>
      <c r="N160" t="str">
        <f t="shared" si="12"/>
        <v/>
      </c>
      <c r="O160" t="str">
        <f t="shared" si="13"/>
        <v/>
      </c>
    </row>
    <row r="161" spans="11:15" x14ac:dyDescent="0.3">
      <c r="K161" t="str">
        <f t="shared" si="14"/>
        <v/>
      </c>
      <c r="L161" t="str">
        <f t="shared" si="10"/>
        <v/>
      </c>
      <c r="M161" t="str">
        <f t="shared" si="11"/>
        <v/>
      </c>
      <c r="N161" t="str">
        <f t="shared" si="12"/>
        <v/>
      </c>
      <c r="O161" t="str">
        <f t="shared" si="13"/>
        <v/>
      </c>
    </row>
    <row r="162" spans="11:15" x14ac:dyDescent="0.3">
      <c r="K162" t="str">
        <f t="shared" si="14"/>
        <v/>
      </c>
      <c r="L162" t="str">
        <f t="shared" si="10"/>
        <v/>
      </c>
      <c r="M162" t="str">
        <f t="shared" si="11"/>
        <v/>
      </c>
      <c r="N162" t="str">
        <f t="shared" si="12"/>
        <v/>
      </c>
      <c r="O162" t="str">
        <f t="shared" si="13"/>
        <v/>
      </c>
    </row>
    <row r="163" spans="11:15" x14ac:dyDescent="0.3">
      <c r="K163" t="str">
        <f t="shared" si="14"/>
        <v/>
      </c>
      <c r="L163" t="str">
        <f t="shared" si="10"/>
        <v/>
      </c>
      <c r="M163" t="str">
        <f t="shared" si="11"/>
        <v/>
      </c>
      <c r="N163" t="str">
        <f t="shared" si="12"/>
        <v/>
      </c>
      <c r="O163" t="str">
        <f t="shared" si="13"/>
        <v/>
      </c>
    </row>
    <row r="164" spans="11:15" x14ac:dyDescent="0.3">
      <c r="K164" t="str">
        <f t="shared" si="14"/>
        <v/>
      </c>
      <c r="L164" t="str">
        <f t="shared" si="10"/>
        <v/>
      </c>
      <c r="M164" t="str">
        <f t="shared" si="11"/>
        <v/>
      </c>
      <c r="N164" t="str">
        <f t="shared" si="12"/>
        <v/>
      </c>
      <c r="O164" t="str">
        <f t="shared" si="13"/>
        <v/>
      </c>
    </row>
    <row r="165" spans="11:15" x14ac:dyDescent="0.3">
      <c r="K165" t="str">
        <f t="shared" si="14"/>
        <v/>
      </c>
      <c r="L165" t="str">
        <f t="shared" si="10"/>
        <v/>
      </c>
      <c r="M165" t="str">
        <f t="shared" si="11"/>
        <v/>
      </c>
      <c r="N165" t="str">
        <f t="shared" si="12"/>
        <v/>
      </c>
      <c r="O165" t="str">
        <f t="shared" si="13"/>
        <v/>
      </c>
    </row>
    <row r="166" spans="11:15" x14ac:dyDescent="0.3">
      <c r="K166" t="str">
        <f t="shared" si="14"/>
        <v/>
      </c>
      <c r="L166" t="str">
        <f t="shared" si="10"/>
        <v/>
      </c>
      <c r="M166" t="str">
        <f t="shared" si="11"/>
        <v/>
      </c>
      <c r="N166" t="str">
        <f t="shared" si="12"/>
        <v/>
      </c>
      <c r="O166" t="str">
        <f t="shared" si="13"/>
        <v/>
      </c>
    </row>
    <row r="167" spans="11:15" x14ac:dyDescent="0.3">
      <c r="K167" t="str">
        <f t="shared" si="14"/>
        <v/>
      </c>
      <c r="L167" t="str">
        <f t="shared" si="10"/>
        <v/>
      </c>
      <c r="M167" t="str">
        <f t="shared" si="11"/>
        <v/>
      </c>
      <c r="N167" t="str">
        <f t="shared" si="12"/>
        <v/>
      </c>
      <c r="O167" t="str">
        <f t="shared" si="13"/>
        <v/>
      </c>
    </row>
    <row r="168" spans="11:15" x14ac:dyDescent="0.3">
      <c r="K168" t="str">
        <f t="shared" si="14"/>
        <v/>
      </c>
      <c r="L168" t="str">
        <f t="shared" si="10"/>
        <v/>
      </c>
      <c r="M168" t="str">
        <f t="shared" si="11"/>
        <v/>
      </c>
      <c r="N168" t="str">
        <f t="shared" si="12"/>
        <v/>
      </c>
      <c r="O168" t="str">
        <f t="shared" si="13"/>
        <v/>
      </c>
    </row>
    <row r="169" spans="11:15" x14ac:dyDescent="0.3">
      <c r="K169" t="str">
        <f t="shared" si="14"/>
        <v/>
      </c>
      <c r="L169" t="str">
        <f t="shared" si="10"/>
        <v/>
      </c>
      <c r="M169" t="str">
        <f t="shared" si="11"/>
        <v/>
      </c>
      <c r="N169" t="str">
        <f t="shared" si="12"/>
        <v/>
      </c>
      <c r="O169" t="str">
        <f t="shared" si="13"/>
        <v/>
      </c>
    </row>
    <row r="170" spans="11:15" x14ac:dyDescent="0.3">
      <c r="K170" t="str">
        <f t="shared" si="14"/>
        <v/>
      </c>
      <c r="L170" t="str">
        <f t="shared" si="10"/>
        <v/>
      </c>
      <c r="M170" t="str">
        <f t="shared" si="11"/>
        <v/>
      </c>
      <c r="N170" t="str">
        <f t="shared" si="12"/>
        <v/>
      </c>
      <c r="O170" t="str">
        <f t="shared" si="13"/>
        <v/>
      </c>
    </row>
    <row r="171" spans="11:15" x14ac:dyDescent="0.3">
      <c r="K171" t="str">
        <f t="shared" si="14"/>
        <v/>
      </c>
      <c r="L171" t="str">
        <f t="shared" si="10"/>
        <v/>
      </c>
      <c r="M171" t="str">
        <f t="shared" si="11"/>
        <v/>
      </c>
      <c r="N171" t="str">
        <f t="shared" si="12"/>
        <v/>
      </c>
      <c r="O171" t="str">
        <f t="shared" si="13"/>
        <v/>
      </c>
    </row>
    <row r="172" spans="11:15" x14ac:dyDescent="0.3">
      <c r="K172" t="str">
        <f t="shared" si="14"/>
        <v/>
      </c>
      <c r="L172" t="str">
        <f t="shared" si="10"/>
        <v/>
      </c>
      <c r="M172" t="str">
        <f t="shared" si="11"/>
        <v/>
      </c>
      <c r="N172" t="str">
        <f t="shared" si="12"/>
        <v/>
      </c>
      <c r="O172" t="str">
        <f t="shared" si="13"/>
        <v/>
      </c>
    </row>
    <row r="173" spans="11:15" x14ac:dyDescent="0.3">
      <c r="K173" t="str">
        <f t="shared" si="14"/>
        <v/>
      </c>
      <c r="L173" t="str">
        <f t="shared" si="10"/>
        <v/>
      </c>
      <c r="M173" t="str">
        <f t="shared" si="11"/>
        <v/>
      </c>
      <c r="N173" t="str">
        <f t="shared" si="12"/>
        <v/>
      </c>
      <c r="O173" t="str">
        <f t="shared" si="13"/>
        <v/>
      </c>
    </row>
    <row r="174" spans="11:15" x14ac:dyDescent="0.3">
      <c r="K174" t="str">
        <f t="shared" si="14"/>
        <v/>
      </c>
      <c r="L174" t="str">
        <f t="shared" si="10"/>
        <v/>
      </c>
      <c r="M174" t="str">
        <f t="shared" si="11"/>
        <v/>
      </c>
      <c r="N174" t="str">
        <f t="shared" si="12"/>
        <v/>
      </c>
      <c r="O174" t="str">
        <f t="shared" si="13"/>
        <v/>
      </c>
    </row>
    <row r="175" spans="11:15" x14ac:dyDescent="0.3">
      <c r="K175" t="str">
        <f t="shared" si="14"/>
        <v/>
      </c>
      <c r="L175" t="str">
        <f t="shared" si="10"/>
        <v/>
      </c>
      <c r="M175" t="str">
        <f t="shared" si="11"/>
        <v/>
      </c>
      <c r="N175" t="str">
        <f t="shared" si="12"/>
        <v/>
      </c>
      <c r="O175" t="str">
        <f t="shared" si="13"/>
        <v/>
      </c>
    </row>
    <row r="176" spans="11:15" x14ac:dyDescent="0.3">
      <c r="K176" t="str">
        <f t="shared" si="14"/>
        <v/>
      </c>
      <c r="L176" t="str">
        <f t="shared" si="10"/>
        <v/>
      </c>
      <c r="M176" t="str">
        <f t="shared" si="11"/>
        <v/>
      </c>
      <c r="N176" t="str">
        <f t="shared" si="12"/>
        <v/>
      </c>
      <c r="O176" t="str">
        <f t="shared" si="13"/>
        <v/>
      </c>
    </row>
    <row r="177" spans="11:15" x14ac:dyDescent="0.3">
      <c r="K177" t="str">
        <f t="shared" si="14"/>
        <v/>
      </c>
      <c r="L177" t="str">
        <f t="shared" si="10"/>
        <v/>
      </c>
      <c r="M177" t="str">
        <f t="shared" si="11"/>
        <v/>
      </c>
      <c r="N177" t="str">
        <f t="shared" si="12"/>
        <v/>
      </c>
      <c r="O177" t="str">
        <f t="shared" si="13"/>
        <v/>
      </c>
    </row>
    <row r="178" spans="11:15" x14ac:dyDescent="0.3">
      <c r="K178" t="str">
        <f t="shared" si="14"/>
        <v/>
      </c>
      <c r="L178" t="str">
        <f t="shared" si="10"/>
        <v/>
      </c>
      <c r="M178" t="str">
        <f t="shared" si="11"/>
        <v/>
      </c>
      <c r="N178" t="str">
        <f t="shared" si="12"/>
        <v/>
      </c>
      <c r="O178" t="str">
        <f t="shared" si="13"/>
        <v/>
      </c>
    </row>
    <row r="179" spans="11:15" x14ac:dyDescent="0.3">
      <c r="K179" t="str">
        <f t="shared" si="14"/>
        <v/>
      </c>
      <c r="L179" t="str">
        <f t="shared" si="10"/>
        <v/>
      </c>
      <c r="M179" t="str">
        <f t="shared" si="11"/>
        <v/>
      </c>
      <c r="N179" t="str">
        <f t="shared" si="12"/>
        <v/>
      </c>
      <c r="O179" t="str">
        <f t="shared" si="13"/>
        <v/>
      </c>
    </row>
    <row r="180" spans="11:15" x14ac:dyDescent="0.3">
      <c r="K180" t="str">
        <f t="shared" si="14"/>
        <v/>
      </c>
      <c r="L180" t="str">
        <f t="shared" si="10"/>
        <v/>
      </c>
      <c r="M180" t="str">
        <f t="shared" si="11"/>
        <v/>
      </c>
      <c r="N180" t="str">
        <f t="shared" si="12"/>
        <v/>
      </c>
      <c r="O180" t="str">
        <f t="shared" si="13"/>
        <v/>
      </c>
    </row>
    <row r="181" spans="11:15" x14ac:dyDescent="0.3">
      <c r="K181" t="str">
        <f t="shared" si="14"/>
        <v/>
      </c>
      <c r="L181" t="str">
        <f t="shared" si="10"/>
        <v/>
      </c>
      <c r="M181" t="str">
        <f t="shared" si="11"/>
        <v/>
      </c>
      <c r="N181" t="str">
        <f t="shared" si="12"/>
        <v/>
      </c>
      <c r="O181" t="str">
        <f t="shared" si="13"/>
        <v/>
      </c>
    </row>
    <row r="182" spans="11:15" x14ac:dyDescent="0.3">
      <c r="K182" t="str">
        <f t="shared" si="14"/>
        <v/>
      </c>
      <c r="L182" t="str">
        <f t="shared" si="10"/>
        <v/>
      </c>
      <c r="M182" t="str">
        <f t="shared" si="11"/>
        <v/>
      </c>
      <c r="N182" t="str">
        <f t="shared" si="12"/>
        <v/>
      </c>
      <c r="O182" t="str">
        <f t="shared" si="13"/>
        <v/>
      </c>
    </row>
    <row r="183" spans="11:15" x14ac:dyDescent="0.3">
      <c r="K183" t="str">
        <f t="shared" si="14"/>
        <v/>
      </c>
      <c r="L183" t="str">
        <f t="shared" si="10"/>
        <v/>
      </c>
      <c r="M183" t="str">
        <f t="shared" si="11"/>
        <v/>
      </c>
      <c r="N183" t="str">
        <f t="shared" si="12"/>
        <v/>
      </c>
      <c r="O183" t="str">
        <f t="shared" si="13"/>
        <v/>
      </c>
    </row>
    <row r="184" spans="11:15" x14ac:dyDescent="0.3">
      <c r="K184" t="str">
        <f t="shared" si="14"/>
        <v/>
      </c>
      <c r="L184" t="str">
        <f t="shared" si="10"/>
        <v/>
      </c>
      <c r="M184" t="str">
        <f t="shared" si="11"/>
        <v/>
      </c>
      <c r="N184" t="str">
        <f t="shared" si="12"/>
        <v/>
      </c>
      <c r="O184" t="str">
        <f t="shared" si="13"/>
        <v/>
      </c>
    </row>
    <row r="185" spans="11:15" x14ac:dyDescent="0.3">
      <c r="K185" t="str">
        <f t="shared" si="14"/>
        <v/>
      </c>
      <c r="L185" t="str">
        <f t="shared" si="10"/>
        <v/>
      </c>
      <c r="M185" t="str">
        <f t="shared" si="11"/>
        <v/>
      </c>
      <c r="N185" t="str">
        <f t="shared" si="12"/>
        <v/>
      </c>
      <c r="O185" t="str">
        <f t="shared" si="13"/>
        <v/>
      </c>
    </row>
    <row r="186" spans="11:15" x14ac:dyDescent="0.3">
      <c r="K186" t="str">
        <f t="shared" si="14"/>
        <v/>
      </c>
      <c r="L186" t="str">
        <f t="shared" si="10"/>
        <v/>
      </c>
      <c r="M186" t="str">
        <f t="shared" si="11"/>
        <v/>
      </c>
      <c r="N186" t="str">
        <f t="shared" si="12"/>
        <v/>
      </c>
      <c r="O186" t="str">
        <f t="shared" si="13"/>
        <v/>
      </c>
    </row>
    <row r="187" spans="11:15" x14ac:dyDescent="0.3">
      <c r="K187" t="str">
        <f t="shared" si="14"/>
        <v/>
      </c>
      <c r="L187" t="str">
        <f t="shared" si="10"/>
        <v/>
      </c>
      <c r="M187" t="str">
        <f t="shared" si="11"/>
        <v/>
      </c>
      <c r="N187" t="str">
        <f t="shared" si="12"/>
        <v/>
      </c>
      <c r="O187" t="str">
        <f t="shared" si="13"/>
        <v/>
      </c>
    </row>
    <row r="188" spans="11:15" x14ac:dyDescent="0.3">
      <c r="K188" t="str">
        <f t="shared" si="14"/>
        <v/>
      </c>
      <c r="L188" t="str">
        <f t="shared" si="10"/>
        <v/>
      </c>
      <c r="M188" t="str">
        <f t="shared" si="11"/>
        <v/>
      </c>
      <c r="N188" t="str">
        <f t="shared" si="12"/>
        <v/>
      </c>
      <c r="O188" t="str">
        <f t="shared" si="13"/>
        <v/>
      </c>
    </row>
    <row r="189" spans="11:15" x14ac:dyDescent="0.3">
      <c r="K189" t="str">
        <f t="shared" si="14"/>
        <v/>
      </c>
      <c r="L189" t="str">
        <f t="shared" si="10"/>
        <v/>
      </c>
      <c r="M189" t="str">
        <f t="shared" si="11"/>
        <v/>
      </c>
      <c r="N189" t="str">
        <f t="shared" si="12"/>
        <v/>
      </c>
      <c r="O189" t="str">
        <f t="shared" si="13"/>
        <v/>
      </c>
    </row>
    <row r="190" spans="11:15" x14ac:dyDescent="0.3">
      <c r="K190" t="str">
        <f t="shared" si="14"/>
        <v/>
      </c>
      <c r="L190" t="str">
        <f t="shared" si="10"/>
        <v/>
      </c>
      <c r="M190" t="str">
        <f t="shared" si="11"/>
        <v/>
      </c>
      <c r="N190" t="str">
        <f t="shared" si="12"/>
        <v/>
      </c>
      <c r="O190" t="str">
        <f t="shared" si="13"/>
        <v/>
      </c>
    </row>
    <row r="191" spans="11:15" x14ac:dyDescent="0.3">
      <c r="K191" t="str">
        <f t="shared" si="14"/>
        <v/>
      </c>
      <c r="L191" t="str">
        <f t="shared" si="10"/>
        <v/>
      </c>
      <c r="M191" t="str">
        <f t="shared" si="11"/>
        <v/>
      </c>
      <c r="N191" t="str">
        <f t="shared" si="12"/>
        <v/>
      </c>
      <c r="O191" t="str">
        <f t="shared" si="13"/>
        <v/>
      </c>
    </row>
    <row r="192" spans="11:15" x14ac:dyDescent="0.3">
      <c r="K192" t="str">
        <f t="shared" si="14"/>
        <v/>
      </c>
      <c r="L192" t="str">
        <f t="shared" si="10"/>
        <v/>
      </c>
      <c r="M192" t="str">
        <f t="shared" si="11"/>
        <v/>
      </c>
      <c r="N192" t="str">
        <f t="shared" si="12"/>
        <v/>
      </c>
      <c r="O192" t="str">
        <f t="shared" si="13"/>
        <v/>
      </c>
    </row>
    <row r="193" spans="11:15" x14ac:dyDescent="0.3">
      <c r="K193" t="str">
        <f t="shared" si="14"/>
        <v/>
      </c>
      <c r="L193" t="str">
        <f t="shared" ref="L193:L256" si="15">IF(A193="","",IF(ISNUMBER(--LEFT(A193,FIND(" - ",A193&amp;" - ")-1)),LEFT(A193,FIND(" - ",A193&amp;" - ")-1),TRIM(A193)))</f>
        <v/>
      </c>
      <c r="M193" t="str">
        <f t="shared" ref="M193:M256" si="16">IF(OR(K193="",K193=A193,A193=""),"",K193&amp;"|"&amp;L193)</f>
        <v/>
      </c>
      <c r="N193" t="str">
        <f t="shared" ref="N193:N256" si="17">IF(M193="","",IF(ISNUMBER(B193),B193,IFERROR(_xlfn.NUMBERVALUE(B193,".",","),0)))</f>
        <v/>
      </c>
      <c r="O193" t="str">
        <f t="shared" ref="O193:O256" si="18">IF(M193="","",IF(ISNUMBER(C193),C193,IFERROR(_xlfn.NUMBERVALUE(C193,".",","),0)))</f>
        <v/>
      </c>
    </row>
    <row r="194" spans="11:15" x14ac:dyDescent="0.3">
      <c r="K194" t="str">
        <f t="shared" ref="K194:K257" si="19">IF(OR(LEFT(B194,9)="DOANH THU",LEFT(B194,8)="SỐ LƯỢNG"),A194,K193)</f>
        <v/>
      </c>
      <c r="L194" t="str">
        <f t="shared" si="15"/>
        <v/>
      </c>
      <c r="M194" t="str">
        <f t="shared" si="16"/>
        <v/>
      </c>
      <c r="N194" t="str">
        <f t="shared" si="17"/>
        <v/>
      </c>
      <c r="O194" t="str">
        <f t="shared" si="18"/>
        <v/>
      </c>
    </row>
    <row r="195" spans="11:15" x14ac:dyDescent="0.3">
      <c r="K195" t="str">
        <f t="shared" si="19"/>
        <v/>
      </c>
      <c r="L195" t="str">
        <f t="shared" si="15"/>
        <v/>
      </c>
      <c r="M195" t="str">
        <f t="shared" si="16"/>
        <v/>
      </c>
      <c r="N195" t="str">
        <f t="shared" si="17"/>
        <v/>
      </c>
      <c r="O195" t="str">
        <f t="shared" si="18"/>
        <v/>
      </c>
    </row>
    <row r="196" spans="11:15" x14ac:dyDescent="0.3">
      <c r="K196" t="str">
        <f t="shared" si="19"/>
        <v/>
      </c>
      <c r="L196" t="str">
        <f t="shared" si="15"/>
        <v/>
      </c>
      <c r="M196" t="str">
        <f t="shared" si="16"/>
        <v/>
      </c>
      <c r="N196" t="str">
        <f t="shared" si="17"/>
        <v/>
      </c>
      <c r="O196" t="str">
        <f t="shared" si="18"/>
        <v/>
      </c>
    </row>
    <row r="197" spans="11:15" x14ac:dyDescent="0.3">
      <c r="K197" t="str">
        <f t="shared" si="19"/>
        <v/>
      </c>
      <c r="L197" t="str">
        <f t="shared" si="15"/>
        <v/>
      </c>
      <c r="M197" t="str">
        <f t="shared" si="16"/>
        <v/>
      </c>
      <c r="N197" t="str">
        <f t="shared" si="17"/>
        <v/>
      </c>
      <c r="O197" t="str">
        <f t="shared" si="18"/>
        <v/>
      </c>
    </row>
    <row r="198" spans="11:15" x14ac:dyDescent="0.3">
      <c r="K198" t="str">
        <f t="shared" si="19"/>
        <v/>
      </c>
      <c r="L198" t="str">
        <f t="shared" si="15"/>
        <v/>
      </c>
      <c r="M198" t="str">
        <f t="shared" si="16"/>
        <v/>
      </c>
      <c r="N198" t="str">
        <f t="shared" si="17"/>
        <v/>
      </c>
      <c r="O198" t="str">
        <f t="shared" si="18"/>
        <v/>
      </c>
    </row>
    <row r="199" spans="11:15" x14ac:dyDescent="0.3">
      <c r="K199" t="str">
        <f t="shared" si="19"/>
        <v/>
      </c>
      <c r="L199" t="str">
        <f t="shared" si="15"/>
        <v/>
      </c>
      <c r="M199" t="str">
        <f t="shared" si="16"/>
        <v/>
      </c>
      <c r="N199" t="str">
        <f t="shared" si="17"/>
        <v/>
      </c>
      <c r="O199" t="str">
        <f t="shared" si="18"/>
        <v/>
      </c>
    </row>
    <row r="200" spans="11:15" x14ac:dyDescent="0.3">
      <c r="K200" t="str">
        <f t="shared" si="19"/>
        <v/>
      </c>
      <c r="L200" t="str">
        <f t="shared" si="15"/>
        <v/>
      </c>
      <c r="M200" t="str">
        <f t="shared" si="16"/>
        <v/>
      </c>
      <c r="N200" t="str">
        <f t="shared" si="17"/>
        <v/>
      </c>
      <c r="O200" t="str">
        <f t="shared" si="18"/>
        <v/>
      </c>
    </row>
    <row r="201" spans="11:15" x14ac:dyDescent="0.3">
      <c r="K201" t="str">
        <f t="shared" si="19"/>
        <v/>
      </c>
      <c r="L201" t="str">
        <f t="shared" si="15"/>
        <v/>
      </c>
      <c r="M201" t="str">
        <f t="shared" si="16"/>
        <v/>
      </c>
      <c r="N201" t="str">
        <f t="shared" si="17"/>
        <v/>
      </c>
      <c r="O201" t="str">
        <f t="shared" si="18"/>
        <v/>
      </c>
    </row>
    <row r="202" spans="11:15" x14ac:dyDescent="0.3">
      <c r="K202" t="str">
        <f t="shared" si="19"/>
        <v/>
      </c>
      <c r="L202" t="str">
        <f t="shared" si="15"/>
        <v/>
      </c>
      <c r="M202" t="str">
        <f t="shared" si="16"/>
        <v/>
      </c>
      <c r="N202" t="str">
        <f t="shared" si="17"/>
        <v/>
      </c>
      <c r="O202" t="str">
        <f t="shared" si="18"/>
        <v/>
      </c>
    </row>
    <row r="203" spans="11:15" x14ac:dyDescent="0.3">
      <c r="K203" t="str">
        <f t="shared" si="19"/>
        <v/>
      </c>
      <c r="L203" t="str">
        <f t="shared" si="15"/>
        <v/>
      </c>
      <c r="M203" t="str">
        <f t="shared" si="16"/>
        <v/>
      </c>
      <c r="N203" t="str">
        <f t="shared" si="17"/>
        <v/>
      </c>
      <c r="O203" t="str">
        <f t="shared" si="18"/>
        <v/>
      </c>
    </row>
    <row r="204" spans="11:15" x14ac:dyDescent="0.3">
      <c r="K204" t="str">
        <f t="shared" si="19"/>
        <v/>
      </c>
      <c r="L204" t="str">
        <f t="shared" si="15"/>
        <v/>
      </c>
      <c r="M204" t="str">
        <f t="shared" si="16"/>
        <v/>
      </c>
      <c r="N204" t="str">
        <f t="shared" si="17"/>
        <v/>
      </c>
      <c r="O204" t="str">
        <f t="shared" si="18"/>
        <v/>
      </c>
    </row>
    <row r="205" spans="11:15" x14ac:dyDescent="0.3">
      <c r="K205" t="str">
        <f t="shared" si="19"/>
        <v/>
      </c>
      <c r="L205" t="str">
        <f t="shared" si="15"/>
        <v/>
      </c>
      <c r="M205" t="str">
        <f t="shared" si="16"/>
        <v/>
      </c>
      <c r="N205" t="str">
        <f t="shared" si="17"/>
        <v/>
      </c>
      <c r="O205" t="str">
        <f t="shared" si="18"/>
        <v/>
      </c>
    </row>
    <row r="206" spans="11:15" x14ac:dyDescent="0.3">
      <c r="K206" t="str">
        <f t="shared" si="19"/>
        <v/>
      </c>
      <c r="L206" t="str">
        <f t="shared" si="15"/>
        <v/>
      </c>
      <c r="M206" t="str">
        <f t="shared" si="16"/>
        <v/>
      </c>
      <c r="N206" t="str">
        <f t="shared" si="17"/>
        <v/>
      </c>
      <c r="O206" t="str">
        <f t="shared" si="18"/>
        <v/>
      </c>
    </row>
    <row r="207" spans="11:15" x14ac:dyDescent="0.3">
      <c r="K207" t="str">
        <f t="shared" si="19"/>
        <v/>
      </c>
      <c r="L207" t="str">
        <f t="shared" si="15"/>
        <v/>
      </c>
      <c r="M207" t="str">
        <f t="shared" si="16"/>
        <v/>
      </c>
      <c r="N207" t="str">
        <f t="shared" si="17"/>
        <v/>
      </c>
      <c r="O207" t="str">
        <f t="shared" si="18"/>
        <v/>
      </c>
    </row>
    <row r="208" spans="11:15" x14ac:dyDescent="0.3">
      <c r="K208" t="str">
        <f t="shared" si="19"/>
        <v/>
      </c>
      <c r="L208" t="str">
        <f t="shared" si="15"/>
        <v/>
      </c>
      <c r="M208" t="str">
        <f t="shared" si="16"/>
        <v/>
      </c>
      <c r="N208" t="str">
        <f t="shared" si="17"/>
        <v/>
      </c>
      <c r="O208" t="str">
        <f t="shared" si="18"/>
        <v/>
      </c>
    </row>
    <row r="209" spans="11:15" x14ac:dyDescent="0.3">
      <c r="K209" t="str">
        <f t="shared" si="19"/>
        <v/>
      </c>
      <c r="L209" t="str">
        <f t="shared" si="15"/>
        <v/>
      </c>
      <c r="M209" t="str">
        <f t="shared" si="16"/>
        <v/>
      </c>
      <c r="N209" t="str">
        <f t="shared" si="17"/>
        <v/>
      </c>
      <c r="O209" t="str">
        <f t="shared" si="18"/>
        <v/>
      </c>
    </row>
    <row r="210" spans="11:15" x14ac:dyDescent="0.3">
      <c r="K210" t="str">
        <f t="shared" si="19"/>
        <v/>
      </c>
      <c r="L210" t="str">
        <f t="shared" si="15"/>
        <v/>
      </c>
      <c r="M210" t="str">
        <f t="shared" si="16"/>
        <v/>
      </c>
      <c r="N210" t="str">
        <f t="shared" si="17"/>
        <v/>
      </c>
      <c r="O210" t="str">
        <f t="shared" si="18"/>
        <v/>
      </c>
    </row>
    <row r="211" spans="11:15" x14ac:dyDescent="0.3">
      <c r="K211" t="str">
        <f t="shared" si="19"/>
        <v/>
      </c>
      <c r="L211" t="str">
        <f t="shared" si="15"/>
        <v/>
      </c>
      <c r="M211" t="str">
        <f t="shared" si="16"/>
        <v/>
      </c>
      <c r="N211" t="str">
        <f t="shared" si="17"/>
        <v/>
      </c>
      <c r="O211" t="str">
        <f t="shared" si="18"/>
        <v/>
      </c>
    </row>
    <row r="212" spans="11:15" x14ac:dyDescent="0.3">
      <c r="K212" t="str">
        <f t="shared" si="19"/>
        <v/>
      </c>
      <c r="L212" t="str">
        <f t="shared" si="15"/>
        <v/>
      </c>
      <c r="M212" t="str">
        <f t="shared" si="16"/>
        <v/>
      </c>
      <c r="N212" t="str">
        <f t="shared" si="17"/>
        <v/>
      </c>
      <c r="O212" t="str">
        <f t="shared" si="18"/>
        <v/>
      </c>
    </row>
    <row r="213" spans="11:15" x14ac:dyDescent="0.3">
      <c r="K213" t="str">
        <f t="shared" si="19"/>
        <v/>
      </c>
      <c r="L213" t="str">
        <f t="shared" si="15"/>
        <v/>
      </c>
      <c r="M213" t="str">
        <f t="shared" si="16"/>
        <v/>
      </c>
      <c r="N213" t="str">
        <f t="shared" si="17"/>
        <v/>
      </c>
      <c r="O213" t="str">
        <f t="shared" si="18"/>
        <v/>
      </c>
    </row>
    <row r="214" spans="11:15" x14ac:dyDescent="0.3">
      <c r="K214" t="str">
        <f t="shared" si="19"/>
        <v/>
      </c>
      <c r="L214" t="str">
        <f t="shared" si="15"/>
        <v/>
      </c>
      <c r="M214" t="str">
        <f t="shared" si="16"/>
        <v/>
      </c>
      <c r="N214" t="str">
        <f t="shared" si="17"/>
        <v/>
      </c>
      <c r="O214" t="str">
        <f t="shared" si="18"/>
        <v/>
      </c>
    </row>
    <row r="215" spans="11:15" x14ac:dyDescent="0.3">
      <c r="K215" t="str">
        <f t="shared" si="19"/>
        <v/>
      </c>
      <c r="L215" t="str">
        <f t="shared" si="15"/>
        <v/>
      </c>
      <c r="M215" t="str">
        <f t="shared" si="16"/>
        <v/>
      </c>
      <c r="N215" t="str">
        <f t="shared" si="17"/>
        <v/>
      </c>
      <c r="O215" t="str">
        <f t="shared" si="18"/>
        <v/>
      </c>
    </row>
    <row r="216" spans="11:15" x14ac:dyDescent="0.3">
      <c r="K216" t="str">
        <f t="shared" si="19"/>
        <v/>
      </c>
      <c r="L216" t="str">
        <f t="shared" si="15"/>
        <v/>
      </c>
      <c r="M216" t="str">
        <f t="shared" si="16"/>
        <v/>
      </c>
      <c r="N216" t="str">
        <f t="shared" si="17"/>
        <v/>
      </c>
      <c r="O216" t="str">
        <f t="shared" si="18"/>
        <v/>
      </c>
    </row>
    <row r="217" spans="11:15" x14ac:dyDescent="0.3">
      <c r="K217" t="str">
        <f t="shared" si="19"/>
        <v/>
      </c>
      <c r="L217" t="str">
        <f t="shared" si="15"/>
        <v/>
      </c>
      <c r="M217" t="str">
        <f t="shared" si="16"/>
        <v/>
      </c>
      <c r="N217" t="str">
        <f t="shared" si="17"/>
        <v/>
      </c>
      <c r="O217" t="str">
        <f t="shared" si="18"/>
        <v/>
      </c>
    </row>
    <row r="218" spans="11:15" x14ac:dyDescent="0.3">
      <c r="K218" t="str">
        <f t="shared" si="19"/>
        <v/>
      </c>
      <c r="L218" t="str">
        <f t="shared" si="15"/>
        <v/>
      </c>
      <c r="M218" t="str">
        <f t="shared" si="16"/>
        <v/>
      </c>
      <c r="N218" t="str">
        <f t="shared" si="17"/>
        <v/>
      </c>
      <c r="O218" t="str">
        <f t="shared" si="18"/>
        <v/>
      </c>
    </row>
    <row r="219" spans="11:15" x14ac:dyDescent="0.3">
      <c r="K219" t="str">
        <f t="shared" si="19"/>
        <v/>
      </c>
      <c r="L219" t="str">
        <f t="shared" si="15"/>
        <v/>
      </c>
      <c r="M219" t="str">
        <f t="shared" si="16"/>
        <v/>
      </c>
      <c r="N219" t="str">
        <f t="shared" si="17"/>
        <v/>
      </c>
      <c r="O219" t="str">
        <f t="shared" si="18"/>
        <v/>
      </c>
    </row>
    <row r="220" spans="11:15" x14ac:dyDescent="0.3">
      <c r="K220" t="str">
        <f t="shared" si="19"/>
        <v/>
      </c>
      <c r="L220" t="str">
        <f t="shared" si="15"/>
        <v/>
      </c>
      <c r="M220" t="str">
        <f t="shared" si="16"/>
        <v/>
      </c>
      <c r="N220" t="str">
        <f t="shared" si="17"/>
        <v/>
      </c>
      <c r="O220" t="str">
        <f t="shared" si="18"/>
        <v/>
      </c>
    </row>
    <row r="221" spans="11:15" x14ac:dyDescent="0.3">
      <c r="K221" t="str">
        <f t="shared" si="19"/>
        <v/>
      </c>
      <c r="L221" t="str">
        <f t="shared" si="15"/>
        <v/>
      </c>
      <c r="M221" t="str">
        <f t="shared" si="16"/>
        <v/>
      </c>
      <c r="N221" t="str">
        <f t="shared" si="17"/>
        <v/>
      </c>
      <c r="O221" t="str">
        <f t="shared" si="18"/>
        <v/>
      </c>
    </row>
    <row r="222" spans="11:15" x14ac:dyDescent="0.3">
      <c r="K222" t="str">
        <f t="shared" si="19"/>
        <v/>
      </c>
      <c r="L222" t="str">
        <f t="shared" si="15"/>
        <v/>
      </c>
      <c r="M222" t="str">
        <f t="shared" si="16"/>
        <v/>
      </c>
      <c r="N222" t="str">
        <f t="shared" si="17"/>
        <v/>
      </c>
      <c r="O222" t="str">
        <f t="shared" si="18"/>
        <v/>
      </c>
    </row>
    <row r="223" spans="11:15" x14ac:dyDescent="0.3">
      <c r="K223" t="str">
        <f t="shared" si="19"/>
        <v/>
      </c>
      <c r="L223" t="str">
        <f t="shared" si="15"/>
        <v/>
      </c>
      <c r="M223" t="str">
        <f t="shared" si="16"/>
        <v/>
      </c>
      <c r="N223" t="str">
        <f t="shared" si="17"/>
        <v/>
      </c>
      <c r="O223" t="str">
        <f t="shared" si="18"/>
        <v/>
      </c>
    </row>
    <row r="224" spans="11:15" x14ac:dyDescent="0.3">
      <c r="K224" t="str">
        <f t="shared" si="19"/>
        <v/>
      </c>
      <c r="L224" t="str">
        <f t="shared" si="15"/>
        <v/>
      </c>
      <c r="M224" t="str">
        <f t="shared" si="16"/>
        <v/>
      </c>
      <c r="N224" t="str">
        <f t="shared" si="17"/>
        <v/>
      </c>
      <c r="O224" t="str">
        <f t="shared" si="18"/>
        <v/>
      </c>
    </row>
    <row r="225" spans="11:15" x14ac:dyDescent="0.3">
      <c r="K225" t="str">
        <f t="shared" si="19"/>
        <v/>
      </c>
      <c r="L225" t="str">
        <f t="shared" si="15"/>
        <v/>
      </c>
      <c r="M225" t="str">
        <f t="shared" si="16"/>
        <v/>
      </c>
      <c r="N225" t="str">
        <f t="shared" si="17"/>
        <v/>
      </c>
      <c r="O225" t="str">
        <f t="shared" si="18"/>
        <v/>
      </c>
    </row>
    <row r="226" spans="11:15" x14ac:dyDescent="0.3">
      <c r="K226" t="str">
        <f t="shared" si="19"/>
        <v/>
      </c>
      <c r="L226" t="str">
        <f t="shared" si="15"/>
        <v/>
      </c>
      <c r="M226" t="str">
        <f t="shared" si="16"/>
        <v/>
      </c>
      <c r="N226" t="str">
        <f t="shared" si="17"/>
        <v/>
      </c>
      <c r="O226" t="str">
        <f t="shared" si="18"/>
        <v/>
      </c>
    </row>
    <row r="227" spans="11:15" x14ac:dyDescent="0.3">
      <c r="K227" t="str">
        <f t="shared" si="19"/>
        <v/>
      </c>
      <c r="L227" t="str">
        <f t="shared" si="15"/>
        <v/>
      </c>
      <c r="M227" t="str">
        <f t="shared" si="16"/>
        <v/>
      </c>
      <c r="N227" t="str">
        <f t="shared" si="17"/>
        <v/>
      </c>
      <c r="O227" t="str">
        <f t="shared" si="18"/>
        <v/>
      </c>
    </row>
    <row r="228" spans="11:15" x14ac:dyDescent="0.3">
      <c r="K228" t="str">
        <f t="shared" si="19"/>
        <v/>
      </c>
      <c r="L228" t="str">
        <f t="shared" si="15"/>
        <v/>
      </c>
      <c r="M228" t="str">
        <f t="shared" si="16"/>
        <v/>
      </c>
      <c r="N228" t="str">
        <f t="shared" si="17"/>
        <v/>
      </c>
      <c r="O228" t="str">
        <f t="shared" si="18"/>
        <v/>
      </c>
    </row>
    <row r="229" spans="11:15" x14ac:dyDescent="0.3">
      <c r="K229" t="str">
        <f t="shared" si="19"/>
        <v/>
      </c>
      <c r="L229" t="str">
        <f t="shared" si="15"/>
        <v/>
      </c>
      <c r="M229" t="str">
        <f t="shared" si="16"/>
        <v/>
      </c>
      <c r="N229" t="str">
        <f t="shared" si="17"/>
        <v/>
      </c>
      <c r="O229" t="str">
        <f t="shared" si="18"/>
        <v/>
      </c>
    </row>
    <row r="230" spans="11:15" x14ac:dyDescent="0.3">
      <c r="K230" t="str">
        <f t="shared" si="19"/>
        <v/>
      </c>
      <c r="L230" t="str">
        <f t="shared" si="15"/>
        <v/>
      </c>
      <c r="M230" t="str">
        <f t="shared" si="16"/>
        <v/>
      </c>
      <c r="N230" t="str">
        <f t="shared" si="17"/>
        <v/>
      </c>
      <c r="O230" t="str">
        <f t="shared" si="18"/>
        <v/>
      </c>
    </row>
    <row r="231" spans="11:15" x14ac:dyDescent="0.3">
      <c r="K231" t="str">
        <f t="shared" si="19"/>
        <v/>
      </c>
      <c r="L231" t="str">
        <f t="shared" si="15"/>
        <v/>
      </c>
      <c r="M231" t="str">
        <f t="shared" si="16"/>
        <v/>
      </c>
      <c r="N231" t="str">
        <f t="shared" si="17"/>
        <v/>
      </c>
      <c r="O231" t="str">
        <f t="shared" si="18"/>
        <v/>
      </c>
    </row>
    <row r="232" spans="11:15" x14ac:dyDescent="0.3">
      <c r="K232" t="str">
        <f t="shared" si="19"/>
        <v/>
      </c>
      <c r="L232" t="str">
        <f t="shared" si="15"/>
        <v/>
      </c>
      <c r="M232" t="str">
        <f t="shared" si="16"/>
        <v/>
      </c>
      <c r="N232" t="str">
        <f t="shared" si="17"/>
        <v/>
      </c>
      <c r="O232" t="str">
        <f t="shared" si="18"/>
        <v/>
      </c>
    </row>
    <row r="233" spans="11:15" x14ac:dyDescent="0.3">
      <c r="K233" t="str">
        <f t="shared" si="19"/>
        <v/>
      </c>
      <c r="L233" t="str">
        <f t="shared" si="15"/>
        <v/>
      </c>
      <c r="M233" t="str">
        <f t="shared" si="16"/>
        <v/>
      </c>
      <c r="N233" t="str">
        <f t="shared" si="17"/>
        <v/>
      </c>
      <c r="O233" t="str">
        <f t="shared" si="18"/>
        <v/>
      </c>
    </row>
    <row r="234" spans="11:15" x14ac:dyDescent="0.3">
      <c r="K234" t="str">
        <f t="shared" si="19"/>
        <v/>
      </c>
      <c r="L234" t="str">
        <f t="shared" si="15"/>
        <v/>
      </c>
      <c r="M234" t="str">
        <f t="shared" si="16"/>
        <v/>
      </c>
      <c r="N234" t="str">
        <f t="shared" si="17"/>
        <v/>
      </c>
      <c r="O234" t="str">
        <f t="shared" si="18"/>
        <v/>
      </c>
    </row>
    <row r="235" spans="11:15" x14ac:dyDescent="0.3">
      <c r="K235" t="str">
        <f t="shared" si="19"/>
        <v/>
      </c>
      <c r="L235" t="str">
        <f t="shared" si="15"/>
        <v/>
      </c>
      <c r="M235" t="str">
        <f t="shared" si="16"/>
        <v/>
      </c>
      <c r="N235" t="str">
        <f t="shared" si="17"/>
        <v/>
      </c>
      <c r="O235" t="str">
        <f t="shared" si="18"/>
        <v/>
      </c>
    </row>
    <row r="236" spans="11:15" x14ac:dyDescent="0.3">
      <c r="K236" t="str">
        <f t="shared" si="19"/>
        <v/>
      </c>
      <c r="L236" t="str">
        <f t="shared" si="15"/>
        <v/>
      </c>
      <c r="M236" t="str">
        <f t="shared" si="16"/>
        <v/>
      </c>
      <c r="N236" t="str">
        <f t="shared" si="17"/>
        <v/>
      </c>
      <c r="O236" t="str">
        <f t="shared" si="18"/>
        <v/>
      </c>
    </row>
    <row r="237" spans="11:15" x14ac:dyDescent="0.3">
      <c r="K237" t="str">
        <f t="shared" si="19"/>
        <v/>
      </c>
      <c r="L237" t="str">
        <f t="shared" si="15"/>
        <v/>
      </c>
      <c r="M237" t="str">
        <f t="shared" si="16"/>
        <v/>
      </c>
      <c r="N237" t="str">
        <f t="shared" si="17"/>
        <v/>
      </c>
      <c r="O237" t="str">
        <f t="shared" si="18"/>
        <v/>
      </c>
    </row>
    <row r="238" spans="11:15" x14ac:dyDescent="0.3">
      <c r="K238" t="str">
        <f t="shared" si="19"/>
        <v/>
      </c>
      <c r="L238" t="str">
        <f t="shared" si="15"/>
        <v/>
      </c>
      <c r="M238" t="str">
        <f t="shared" si="16"/>
        <v/>
      </c>
      <c r="N238" t="str">
        <f t="shared" si="17"/>
        <v/>
      </c>
      <c r="O238" t="str">
        <f t="shared" si="18"/>
        <v/>
      </c>
    </row>
    <row r="239" spans="11:15" x14ac:dyDescent="0.3">
      <c r="K239" t="str">
        <f t="shared" si="19"/>
        <v/>
      </c>
      <c r="L239" t="str">
        <f t="shared" si="15"/>
        <v/>
      </c>
      <c r="M239" t="str">
        <f t="shared" si="16"/>
        <v/>
      </c>
      <c r="N239" t="str">
        <f t="shared" si="17"/>
        <v/>
      </c>
      <c r="O239" t="str">
        <f t="shared" si="18"/>
        <v/>
      </c>
    </row>
    <row r="240" spans="11:15" x14ac:dyDescent="0.3">
      <c r="K240" t="str">
        <f t="shared" si="19"/>
        <v/>
      </c>
      <c r="L240" t="str">
        <f t="shared" si="15"/>
        <v/>
      </c>
      <c r="M240" t="str">
        <f t="shared" si="16"/>
        <v/>
      </c>
      <c r="N240" t="str">
        <f t="shared" si="17"/>
        <v/>
      </c>
      <c r="O240" t="str">
        <f t="shared" si="18"/>
        <v/>
      </c>
    </row>
    <row r="241" spans="11:15" x14ac:dyDescent="0.3">
      <c r="K241" t="str">
        <f t="shared" si="19"/>
        <v/>
      </c>
      <c r="L241" t="str">
        <f t="shared" si="15"/>
        <v/>
      </c>
      <c r="M241" t="str">
        <f t="shared" si="16"/>
        <v/>
      </c>
      <c r="N241" t="str">
        <f t="shared" si="17"/>
        <v/>
      </c>
      <c r="O241" t="str">
        <f t="shared" si="18"/>
        <v/>
      </c>
    </row>
    <row r="242" spans="11:15" x14ac:dyDescent="0.3">
      <c r="K242" t="str">
        <f t="shared" si="19"/>
        <v/>
      </c>
      <c r="L242" t="str">
        <f t="shared" si="15"/>
        <v/>
      </c>
      <c r="M242" t="str">
        <f t="shared" si="16"/>
        <v/>
      </c>
      <c r="N242" t="str">
        <f t="shared" si="17"/>
        <v/>
      </c>
      <c r="O242" t="str">
        <f t="shared" si="18"/>
        <v/>
      </c>
    </row>
    <row r="243" spans="11:15" x14ac:dyDescent="0.3">
      <c r="K243" t="str">
        <f t="shared" si="19"/>
        <v/>
      </c>
      <c r="L243" t="str">
        <f t="shared" si="15"/>
        <v/>
      </c>
      <c r="M243" t="str">
        <f t="shared" si="16"/>
        <v/>
      </c>
      <c r="N243" t="str">
        <f t="shared" si="17"/>
        <v/>
      </c>
      <c r="O243" t="str">
        <f t="shared" si="18"/>
        <v/>
      </c>
    </row>
    <row r="244" spans="11:15" x14ac:dyDescent="0.3">
      <c r="K244" t="str">
        <f t="shared" si="19"/>
        <v/>
      </c>
      <c r="L244" t="str">
        <f t="shared" si="15"/>
        <v/>
      </c>
      <c r="M244" t="str">
        <f t="shared" si="16"/>
        <v/>
      </c>
      <c r="N244" t="str">
        <f t="shared" si="17"/>
        <v/>
      </c>
      <c r="O244" t="str">
        <f t="shared" si="18"/>
        <v/>
      </c>
    </row>
    <row r="245" spans="11:15" x14ac:dyDescent="0.3">
      <c r="K245" t="str">
        <f t="shared" si="19"/>
        <v/>
      </c>
      <c r="L245" t="str">
        <f t="shared" si="15"/>
        <v/>
      </c>
      <c r="M245" t="str">
        <f t="shared" si="16"/>
        <v/>
      </c>
      <c r="N245" t="str">
        <f t="shared" si="17"/>
        <v/>
      </c>
      <c r="O245" t="str">
        <f t="shared" si="18"/>
        <v/>
      </c>
    </row>
    <row r="246" spans="11:15" x14ac:dyDescent="0.3">
      <c r="K246" t="str">
        <f t="shared" si="19"/>
        <v/>
      </c>
      <c r="L246" t="str">
        <f t="shared" si="15"/>
        <v/>
      </c>
      <c r="M246" t="str">
        <f t="shared" si="16"/>
        <v/>
      </c>
      <c r="N246" t="str">
        <f t="shared" si="17"/>
        <v/>
      </c>
      <c r="O246" t="str">
        <f t="shared" si="18"/>
        <v/>
      </c>
    </row>
    <row r="247" spans="11:15" x14ac:dyDescent="0.3">
      <c r="K247" t="str">
        <f t="shared" si="19"/>
        <v/>
      </c>
      <c r="L247" t="str">
        <f t="shared" si="15"/>
        <v/>
      </c>
      <c r="M247" t="str">
        <f t="shared" si="16"/>
        <v/>
      </c>
      <c r="N247" t="str">
        <f t="shared" si="17"/>
        <v/>
      </c>
      <c r="O247" t="str">
        <f t="shared" si="18"/>
        <v/>
      </c>
    </row>
    <row r="248" spans="11:15" x14ac:dyDescent="0.3">
      <c r="K248" t="str">
        <f t="shared" si="19"/>
        <v/>
      </c>
      <c r="L248" t="str">
        <f t="shared" si="15"/>
        <v/>
      </c>
      <c r="M248" t="str">
        <f t="shared" si="16"/>
        <v/>
      </c>
      <c r="N248" t="str">
        <f t="shared" si="17"/>
        <v/>
      </c>
      <c r="O248" t="str">
        <f t="shared" si="18"/>
        <v/>
      </c>
    </row>
    <row r="249" spans="11:15" x14ac:dyDescent="0.3">
      <c r="K249" t="str">
        <f t="shared" si="19"/>
        <v/>
      </c>
      <c r="L249" t="str">
        <f t="shared" si="15"/>
        <v/>
      </c>
      <c r="M249" t="str">
        <f t="shared" si="16"/>
        <v/>
      </c>
      <c r="N249" t="str">
        <f t="shared" si="17"/>
        <v/>
      </c>
      <c r="O249" t="str">
        <f t="shared" si="18"/>
        <v/>
      </c>
    </row>
    <row r="250" spans="11:15" x14ac:dyDescent="0.3">
      <c r="K250" t="str">
        <f t="shared" si="19"/>
        <v/>
      </c>
      <c r="L250" t="str">
        <f t="shared" si="15"/>
        <v/>
      </c>
      <c r="M250" t="str">
        <f t="shared" si="16"/>
        <v/>
      </c>
      <c r="N250" t="str">
        <f t="shared" si="17"/>
        <v/>
      </c>
      <c r="O250" t="str">
        <f t="shared" si="18"/>
        <v/>
      </c>
    </row>
    <row r="251" spans="11:15" x14ac:dyDescent="0.3">
      <c r="K251" t="str">
        <f t="shared" si="19"/>
        <v/>
      </c>
      <c r="L251" t="str">
        <f t="shared" si="15"/>
        <v/>
      </c>
      <c r="M251" t="str">
        <f t="shared" si="16"/>
        <v/>
      </c>
      <c r="N251" t="str">
        <f t="shared" si="17"/>
        <v/>
      </c>
      <c r="O251" t="str">
        <f t="shared" si="18"/>
        <v/>
      </c>
    </row>
    <row r="252" spans="11:15" x14ac:dyDescent="0.3">
      <c r="K252" t="str">
        <f t="shared" si="19"/>
        <v/>
      </c>
      <c r="L252" t="str">
        <f t="shared" si="15"/>
        <v/>
      </c>
      <c r="M252" t="str">
        <f t="shared" si="16"/>
        <v/>
      </c>
      <c r="N252" t="str">
        <f t="shared" si="17"/>
        <v/>
      </c>
      <c r="O252" t="str">
        <f t="shared" si="18"/>
        <v/>
      </c>
    </row>
    <row r="253" spans="11:15" x14ac:dyDescent="0.3">
      <c r="K253" t="str">
        <f t="shared" si="19"/>
        <v/>
      </c>
      <c r="L253" t="str">
        <f t="shared" si="15"/>
        <v/>
      </c>
      <c r="M253" t="str">
        <f t="shared" si="16"/>
        <v/>
      </c>
      <c r="N253" t="str">
        <f t="shared" si="17"/>
        <v/>
      </c>
      <c r="O253" t="str">
        <f t="shared" si="18"/>
        <v/>
      </c>
    </row>
    <row r="254" spans="11:15" x14ac:dyDescent="0.3">
      <c r="K254" t="str">
        <f t="shared" si="19"/>
        <v/>
      </c>
      <c r="L254" t="str">
        <f t="shared" si="15"/>
        <v/>
      </c>
      <c r="M254" t="str">
        <f t="shared" si="16"/>
        <v/>
      </c>
      <c r="N254" t="str">
        <f t="shared" si="17"/>
        <v/>
      </c>
      <c r="O254" t="str">
        <f t="shared" si="18"/>
        <v/>
      </c>
    </row>
    <row r="255" spans="11:15" x14ac:dyDescent="0.3">
      <c r="K255" t="str">
        <f t="shared" si="19"/>
        <v/>
      </c>
      <c r="L255" t="str">
        <f t="shared" si="15"/>
        <v/>
      </c>
      <c r="M255" t="str">
        <f t="shared" si="16"/>
        <v/>
      </c>
      <c r="N255" t="str">
        <f t="shared" si="17"/>
        <v/>
      </c>
      <c r="O255" t="str">
        <f t="shared" si="18"/>
        <v/>
      </c>
    </row>
    <row r="256" spans="11:15" x14ac:dyDescent="0.3">
      <c r="K256" t="str">
        <f t="shared" si="19"/>
        <v/>
      </c>
      <c r="L256" t="str">
        <f t="shared" si="15"/>
        <v/>
      </c>
      <c r="M256" t="str">
        <f t="shared" si="16"/>
        <v/>
      </c>
      <c r="N256" t="str">
        <f t="shared" si="17"/>
        <v/>
      </c>
      <c r="O256" t="str">
        <f t="shared" si="18"/>
        <v/>
      </c>
    </row>
    <row r="257" spans="11:15" x14ac:dyDescent="0.3">
      <c r="K257" t="str">
        <f t="shared" si="19"/>
        <v/>
      </c>
      <c r="L257" t="str">
        <f t="shared" ref="L257:L320" si="20">IF(A257="","",IF(ISNUMBER(--LEFT(A257,FIND(" - ",A257&amp;" - ")-1)),LEFT(A257,FIND(" - ",A257&amp;" - ")-1),TRIM(A257)))</f>
        <v/>
      </c>
      <c r="M257" t="str">
        <f t="shared" ref="M257:M320" si="21">IF(OR(K257="",K257=A257,A257=""),"",K257&amp;"|"&amp;L257)</f>
        <v/>
      </c>
      <c r="N257" t="str">
        <f t="shared" ref="N257:N320" si="22">IF(M257="","",IF(ISNUMBER(B257),B257,IFERROR(_xlfn.NUMBERVALUE(B257,".",","),0)))</f>
        <v/>
      </c>
      <c r="O257" t="str">
        <f t="shared" ref="O257:O320" si="23">IF(M257="","",IF(ISNUMBER(C257),C257,IFERROR(_xlfn.NUMBERVALUE(C257,".",","),0)))</f>
        <v/>
      </c>
    </row>
    <row r="258" spans="11:15" x14ac:dyDescent="0.3">
      <c r="K258" t="str">
        <f t="shared" ref="K258:K321" si="24">IF(OR(LEFT(B258,9)="DOANH THU",LEFT(B258,8)="SỐ LƯỢNG"),A258,K257)</f>
        <v/>
      </c>
      <c r="L258" t="str">
        <f t="shared" si="20"/>
        <v/>
      </c>
      <c r="M258" t="str">
        <f t="shared" si="21"/>
        <v/>
      </c>
      <c r="N258" t="str">
        <f t="shared" si="22"/>
        <v/>
      </c>
      <c r="O258" t="str">
        <f t="shared" si="23"/>
        <v/>
      </c>
    </row>
    <row r="259" spans="11:15" x14ac:dyDescent="0.3">
      <c r="K259" t="str">
        <f t="shared" si="24"/>
        <v/>
      </c>
      <c r="L259" t="str">
        <f t="shared" si="20"/>
        <v/>
      </c>
      <c r="M259" t="str">
        <f t="shared" si="21"/>
        <v/>
      </c>
      <c r="N259" t="str">
        <f t="shared" si="22"/>
        <v/>
      </c>
      <c r="O259" t="str">
        <f t="shared" si="23"/>
        <v/>
      </c>
    </row>
    <row r="260" spans="11:15" x14ac:dyDescent="0.3">
      <c r="K260" t="str">
        <f t="shared" si="24"/>
        <v/>
      </c>
      <c r="L260" t="str">
        <f t="shared" si="20"/>
        <v/>
      </c>
      <c r="M260" t="str">
        <f t="shared" si="21"/>
        <v/>
      </c>
      <c r="N260" t="str">
        <f t="shared" si="22"/>
        <v/>
      </c>
      <c r="O260" t="str">
        <f t="shared" si="23"/>
        <v/>
      </c>
    </row>
    <row r="261" spans="11:15" x14ac:dyDescent="0.3">
      <c r="K261" t="str">
        <f t="shared" si="24"/>
        <v/>
      </c>
      <c r="L261" t="str">
        <f t="shared" si="20"/>
        <v/>
      </c>
      <c r="M261" t="str">
        <f t="shared" si="21"/>
        <v/>
      </c>
      <c r="N261" t="str">
        <f t="shared" si="22"/>
        <v/>
      </c>
      <c r="O261" t="str">
        <f t="shared" si="23"/>
        <v/>
      </c>
    </row>
    <row r="262" spans="11:15" x14ac:dyDescent="0.3">
      <c r="K262" t="str">
        <f t="shared" si="24"/>
        <v/>
      </c>
      <c r="L262" t="str">
        <f t="shared" si="20"/>
        <v/>
      </c>
      <c r="M262" t="str">
        <f t="shared" si="21"/>
        <v/>
      </c>
      <c r="N262" t="str">
        <f t="shared" si="22"/>
        <v/>
      </c>
      <c r="O262" t="str">
        <f t="shared" si="23"/>
        <v/>
      </c>
    </row>
    <row r="263" spans="11:15" x14ac:dyDescent="0.3">
      <c r="K263" t="str">
        <f t="shared" si="24"/>
        <v/>
      </c>
      <c r="L263" t="str">
        <f t="shared" si="20"/>
        <v/>
      </c>
      <c r="M263" t="str">
        <f t="shared" si="21"/>
        <v/>
      </c>
      <c r="N263" t="str">
        <f t="shared" si="22"/>
        <v/>
      </c>
      <c r="O263" t="str">
        <f t="shared" si="23"/>
        <v/>
      </c>
    </row>
    <row r="264" spans="11:15" x14ac:dyDescent="0.3">
      <c r="K264" t="str">
        <f t="shared" si="24"/>
        <v/>
      </c>
      <c r="L264" t="str">
        <f t="shared" si="20"/>
        <v/>
      </c>
      <c r="M264" t="str">
        <f t="shared" si="21"/>
        <v/>
      </c>
      <c r="N264" t="str">
        <f t="shared" si="22"/>
        <v/>
      </c>
      <c r="O264" t="str">
        <f t="shared" si="23"/>
        <v/>
      </c>
    </row>
    <row r="265" spans="11:15" x14ac:dyDescent="0.3">
      <c r="K265" t="str">
        <f t="shared" si="24"/>
        <v/>
      </c>
      <c r="L265" t="str">
        <f t="shared" si="20"/>
        <v/>
      </c>
      <c r="M265" t="str">
        <f t="shared" si="21"/>
        <v/>
      </c>
      <c r="N265" t="str">
        <f t="shared" si="22"/>
        <v/>
      </c>
      <c r="O265" t="str">
        <f t="shared" si="23"/>
        <v/>
      </c>
    </row>
    <row r="266" spans="11:15" x14ac:dyDescent="0.3">
      <c r="K266" t="str">
        <f t="shared" si="24"/>
        <v/>
      </c>
      <c r="L266" t="str">
        <f t="shared" si="20"/>
        <v/>
      </c>
      <c r="M266" t="str">
        <f t="shared" si="21"/>
        <v/>
      </c>
      <c r="N266" t="str">
        <f t="shared" si="22"/>
        <v/>
      </c>
      <c r="O266" t="str">
        <f t="shared" si="23"/>
        <v/>
      </c>
    </row>
    <row r="267" spans="11:15" x14ac:dyDescent="0.3">
      <c r="K267" t="str">
        <f t="shared" si="24"/>
        <v/>
      </c>
      <c r="L267" t="str">
        <f t="shared" si="20"/>
        <v/>
      </c>
      <c r="M267" t="str">
        <f t="shared" si="21"/>
        <v/>
      </c>
      <c r="N267" t="str">
        <f t="shared" si="22"/>
        <v/>
      </c>
      <c r="O267" t="str">
        <f t="shared" si="23"/>
        <v/>
      </c>
    </row>
    <row r="268" spans="11:15" x14ac:dyDescent="0.3">
      <c r="K268" t="str">
        <f t="shared" si="24"/>
        <v/>
      </c>
      <c r="L268" t="str">
        <f t="shared" si="20"/>
        <v/>
      </c>
      <c r="M268" t="str">
        <f t="shared" si="21"/>
        <v/>
      </c>
      <c r="N268" t="str">
        <f t="shared" si="22"/>
        <v/>
      </c>
      <c r="O268" t="str">
        <f t="shared" si="23"/>
        <v/>
      </c>
    </row>
    <row r="269" spans="11:15" x14ac:dyDescent="0.3">
      <c r="K269" t="str">
        <f t="shared" si="24"/>
        <v/>
      </c>
      <c r="L269" t="str">
        <f t="shared" si="20"/>
        <v/>
      </c>
      <c r="M269" t="str">
        <f t="shared" si="21"/>
        <v/>
      </c>
      <c r="N269" t="str">
        <f t="shared" si="22"/>
        <v/>
      </c>
      <c r="O269" t="str">
        <f t="shared" si="23"/>
        <v/>
      </c>
    </row>
    <row r="270" spans="11:15" x14ac:dyDescent="0.3">
      <c r="K270" t="str">
        <f t="shared" si="24"/>
        <v/>
      </c>
      <c r="L270" t="str">
        <f t="shared" si="20"/>
        <v/>
      </c>
      <c r="M270" t="str">
        <f t="shared" si="21"/>
        <v/>
      </c>
      <c r="N270" t="str">
        <f t="shared" si="22"/>
        <v/>
      </c>
      <c r="O270" t="str">
        <f t="shared" si="23"/>
        <v/>
      </c>
    </row>
    <row r="271" spans="11:15" x14ac:dyDescent="0.3">
      <c r="K271" t="str">
        <f t="shared" si="24"/>
        <v/>
      </c>
      <c r="L271" t="str">
        <f t="shared" si="20"/>
        <v/>
      </c>
      <c r="M271" t="str">
        <f t="shared" si="21"/>
        <v/>
      </c>
      <c r="N271" t="str">
        <f t="shared" si="22"/>
        <v/>
      </c>
      <c r="O271" t="str">
        <f t="shared" si="23"/>
        <v/>
      </c>
    </row>
    <row r="272" spans="11:15" x14ac:dyDescent="0.3">
      <c r="K272" t="str">
        <f t="shared" si="24"/>
        <v/>
      </c>
      <c r="L272" t="str">
        <f t="shared" si="20"/>
        <v/>
      </c>
      <c r="M272" t="str">
        <f t="shared" si="21"/>
        <v/>
      </c>
      <c r="N272" t="str">
        <f t="shared" si="22"/>
        <v/>
      </c>
      <c r="O272" t="str">
        <f t="shared" si="23"/>
        <v/>
      </c>
    </row>
    <row r="273" spans="11:15" x14ac:dyDescent="0.3">
      <c r="K273" t="str">
        <f t="shared" si="24"/>
        <v/>
      </c>
      <c r="L273" t="str">
        <f t="shared" si="20"/>
        <v/>
      </c>
      <c r="M273" t="str">
        <f t="shared" si="21"/>
        <v/>
      </c>
      <c r="N273" t="str">
        <f t="shared" si="22"/>
        <v/>
      </c>
      <c r="O273" t="str">
        <f t="shared" si="23"/>
        <v/>
      </c>
    </row>
    <row r="274" spans="11:15" x14ac:dyDescent="0.3">
      <c r="K274" t="str">
        <f t="shared" si="24"/>
        <v/>
      </c>
      <c r="L274" t="str">
        <f t="shared" si="20"/>
        <v/>
      </c>
      <c r="M274" t="str">
        <f t="shared" si="21"/>
        <v/>
      </c>
      <c r="N274" t="str">
        <f t="shared" si="22"/>
        <v/>
      </c>
      <c r="O274" t="str">
        <f t="shared" si="23"/>
        <v/>
      </c>
    </row>
    <row r="275" spans="11:15" x14ac:dyDescent="0.3">
      <c r="K275" t="str">
        <f t="shared" si="24"/>
        <v/>
      </c>
      <c r="L275" t="str">
        <f t="shared" si="20"/>
        <v/>
      </c>
      <c r="M275" t="str">
        <f t="shared" si="21"/>
        <v/>
      </c>
      <c r="N275" t="str">
        <f t="shared" si="22"/>
        <v/>
      </c>
      <c r="O275" t="str">
        <f t="shared" si="23"/>
        <v/>
      </c>
    </row>
    <row r="276" spans="11:15" x14ac:dyDescent="0.3">
      <c r="K276" t="str">
        <f t="shared" si="24"/>
        <v/>
      </c>
      <c r="L276" t="str">
        <f t="shared" si="20"/>
        <v/>
      </c>
      <c r="M276" t="str">
        <f t="shared" si="21"/>
        <v/>
      </c>
      <c r="N276" t="str">
        <f t="shared" si="22"/>
        <v/>
      </c>
      <c r="O276" t="str">
        <f t="shared" si="23"/>
        <v/>
      </c>
    </row>
    <row r="277" spans="11:15" x14ac:dyDescent="0.3">
      <c r="K277" t="str">
        <f t="shared" si="24"/>
        <v/>
      </c>
      <c r="L277" t="str">
        <f t="shared" si="20"/>
        <v/>
      </c>
      <c r="M277" t="str">
        <f t="shared" si="21"/>
        <v/>
      </c>
      <c r="N277" t="str">
        <f t="shared" si="22"/>
        <v/>
      </c>
      <c r="O277" t="str">
        <f t="shared" si="23"/>
        <v/>
      </c>
    </row>
    <row r="278" spans="11:15" x14ac:dyDescent="0.3">
      <c r="K278" t="str">
        <f t="shared" si="24"/>
        <v/>
      </c>
      <c r="L278" t="str">
        <f t="shared" si="20"/>
        <v/>
      </c>
      <c r="M278" t="str">
        <f t="shared" si="21"/>
        <v/>
      </c>
      <c r="N278" t="str">
        <f t="shared" si="22"/>
        <v/>
      </c>
      <c r="O278" t="str">
        <f t="shared" si="23"/>
        <v/>
      </c>
    </row>
    <row r="279" spans="11:15" x14ac:dyDescent="0.3">
      <c r="K279" t="str">
        <f t="shared" si="24"/>
        <v/>
      </c>
      <c r="L279" t="str">
        <f t="shared" si="20"/>
        <v/>
      </c>
      <c r="M279" t="str">
        <f t="shared" si="21"/>
        <v/>
      </c>
      <c r="N279" t="str">
        <f t="shared" si="22"/>
        <v/>
      </c>
      <c r="O279" t="str">
        <f t="shared" si="23"/>
        <v/>
      </c>
    </row>
    <row r="280" spans="11:15" x14ac:dyDescent="0.3">
      <c r="K280" t="str">
        <f t="shared" si="24"/>
        <v/>
      </c>
      <c r="L280" t="str">
        <f t="shared" si="20"/>
        <v/>
      </c>
      <c r="M280" t="str">
        <f t="shared" si="21"/>
        <v/>
      </c>
      <c r="N280" t="str">
        <f t="shared" si="22"/>
        <v/>
      </c>
      <c r="O280" t="str">
        <f t="shared" si="23"/>
        <v/>
      </c>
    </row>
    <row r="281" spans="11:15" x14ac:dyDescent="0.3">
      <c r="K281" t="str">
        <f t="shared" si="24"/>
        <v/>
      </c>
      <c r="L281" t="str">
        <f t="shared" si="20"/>
        <v/>
      </c>
      <c r="M281" t="str">
        <f t="shared" si="21"/>
        <v/>
      </c>
      <c r="N281" t="str">
        <f t="shared" si="22"/>
        <v/>
      </c>
      <c r="O281" t="str">
        <f t="shared" si="23"/>
        <v/>
      </c>
    </row>
    <row r="282" spans="11:15" x14ac:dyDescent="0.3">
      <c r="K282" t="str">
        <f t="shared" si="24"/>
        <v/>
      </c>
      <c r="L282" t="str">
        <f t="shared" si="20"/>
        <v/>
      </c>
      <c r="M282" t="str">
        <f t="shared" si="21"/>
        <v/>
      </c>
      <c r="N282" t="str">
        <f t="shared" si="22"/>
        <v/>
      </c>
      <c r="O282" t="str">
        <f t="shared" si="23"/>
        <v/>
      </c>
    </row>
    <row r="283" spans="11:15" x14ac:dyDescent="0.3">
      <c r="K283" t="str">
        <f t="shared" si="24"/>
        <v/>
      </c>
      <c r="L283" t="str">
        <f t="shared" si="20"/>
        <v/>
      </c>
      <c r="M283" t="str">
        <f t="shared" si="21"/>
        <v/>
      </c>
      <c r="N283" t="str">
        <f t="shared" si="22"/>
        <v/>
      </c>
      <c r="O283" t="str">
        <f t="shared" si="23"/>
        <v/>
      </c>
    </row>
    <row r="284" spans="11:15" x14ac:dyDescent="0.3">
      <c r="K284" t="str">
        <f t="shared" si="24"/>
        <v/>
      </c>
      <c r="L284" t="str">
        <f t="shared" si="20"/>
        <v/>
      </c>
      <c r="M284" t="str">
        <f t="shared" si="21"/>
        <v/>
      </c>
      <c r="N284" t="str">
        <f t="shared" si="22"/>
        <v/>
      </c>
      <c r="O284" t="str">
        <f t="shared" si="23"/>
        <v/>
      </c>
    </row>
    <row r="285" spans="11:15" x14ac:dyDescent="0.3">
      <c r="K285" t="str">
        <f t="shared" si="24"/>
        <v/>
      </c>
      <c r="L285" t="str">
        <f t="shared" si="20"/>
        <v/>
      </c>
      <c r="M285" t="str">
        <f t="shared" si="21"/>
        <v/>
      </c>
      <c r="N285" t="str">
        <f t="shared" si="22"/>
        <v/>
      </c>
      <c r="O285" t="str">
        <f t="shared" si="23"/>
        <v/>
      </c>
    </row>
    <row r="286" spans="11:15" x14ac:dyDescent="0.3">
      <c r="K286" t="str">
        <f t="shared" si="24"/>
        <v/>
      </c>
      <c r="L286" t="str">
        <f t="shared" si="20"/>
        <v/>
      </c>
      <c r="M286" t="str">
        <f t="shared" si="21"/>
        <v/>
      </c>
      <c r="N286" t="str">
        <f t="shared" si="22"/>
        <v/>
      </c>
      <c r="O286" t="str">
        <f t="shared" si="23"/>
        <v/>
      </c>
    </row>
    <row r="287" spans="11:15" x14ac:dyDescent="0.3">
      <c r="K287" t="str">
        <f t="shared" si="24"/>
        <v/>
      </c>
      <c r="L287" t="str">
        <f t="shared" si="20"/>
        <v/>
      </c>
      <c r="M287" t="str">
        <f t="shared" si="21"/>
        <v/>
      </c>
      <c r="N287" t="str">
        <f t="shared" si="22"/>
        <v/>
      </c>
      <c r="O287" t="str">
        <f t="shared" si="23"/>
        <v/>
      </c>
    </row>
    <row r="288" spans="11:15" x14ac:dyDescent="0.3">
      <c r="K288" t="str">
        <f t="shared" si="24"/>
        <v/>
      </c>
      <c r="L288" t="str">
        <f t="shared" si="20"/>
        <v/>
      </c>
      <c r="M288" t="str">
        <f t="shared" si="21"/>
        <v/>
      </c>
      <c r="N288" t="str">
        <f t="shared" si="22"/>
        <v/>
      </c>
      <c r="O288" t="str">
        <f t="shared" si="23"/>
        <v/>
      </c>
    </row>
    <row r="289" spans="11:15" x14ac:dyDescent="0.3">
      <c r="K289" t="str">
        <f t="shared" si="24"/>
        <v/>
      </c>
      <c r="L289" t="str">
        <f t="shared" si="20"/>
        <v/>
      </c>
      <c r="M289" t="str">
        <f t="shared" si="21"/>
        <v/>
      </c>
      <c r="N289" t="str">
        <f t="shared" si="22"/>
        <v/>
      </c>
      <c r="O289" t="str">
        <f t="shared" si="23"/>
        <v/>
      </c>
    </row>
    <row r="290" spans="11:15" x14ac:dyDescent="0.3">
      <c r="K290" t="str">
        <f t="shared" si="24"/>
        <v/>
      </c>
      <c r="L290" t="str">
        <f t="shared" si="20"/>
        <v/>
      </c>
      <c r="M290" t="str">
        <f t="shared" si="21"/>
        <v/>
      </c>
      <c r="N290" t="str">
        <f t="shared" si="22"/>
        <v/>
      </c>
      <c r="O290" t="str">
        <f t="shared" si="23"/>
        <v/>
      </c>
    </row>
    <row r="291" spans="11:15" x14ac:dyDescent="0.3">
      <c r="K291" t="str">
        <f t="shared" si="24"/>
        <v/>
      </c>
      <c r="L291" t="str">
        <f t="shared" si="20"/>
        <v/>
      </c>
      <c r="M291" t="str">
        <f t="shared" si="21"/>
        <v/>
      </c>
      <c r="N291" t="str">
        <f t="shared" si="22"/>
        <v/>
      </c>
      <c r="O291" t="str">
        <f t="shared" si="23"/>
        <v/>
      </c>
    </row>
    <row r="292" spans="11:15" x14ac:dyDescent="0.3">
      <c r="K292" t="str">
        <f t="shared" si="24"/>
        <v/>
      </c>
      <c r="L292" t="str">
        <f t="shared" si="20"/>
        <v/>
      </c>
      <c r="M292" t="str">
        <f t="shared" si="21"/>
        <v/>
      </c>
      <c r="N292" t="str">
        <f t="shared" si="22"/>
        <v/>
      </c>
      <c r="O292" t="str">
        <f t="shared" si="23"/>
        <v/>
      </c>
    </row>
    <row r="293" spans="11:15" x14ac:dyDescent="0.3">
      <c r="K293" t="str">
        <f t="shared" si="24"/>
        <v/>
      </c>
      <c r="L293" t="str">
        <f t="shared" si="20"/>
        <v/>
      </c>
      <c r="M293" t="str">
        <f t="shared" si="21"/>
        <v/>
      </c>
      <c r="N293" t="str">
        <f t="shared" si="22"/>
        <v/>
      </c>
      <c r="O293" t="str">
        <f t="shared" si="23"/>
        <v/>
      </c>
    </row>
    <row r="294" spans="11:15" x14ac:dyDescent="0.3">
      <c r="K294" t="str">
        <f t="shared" si="24"/>
        <v/>
      </c>
      <c r="L294" t="str">
        <f t="shared" si="20"/>
        <v/>
      </c>
      <c r="M294" t="str">
        <f t="shared" si="21"/>
        <v/>
      </c>
      <c r="N294" t="str">
        <f t="shared" si="22"/>
        <v/>
      </c>
      <c r="O294" t="str">
        <f t="shared" si="23"/>
        <v/>
      </c>
    </row>
    <row r="295" spans="11:15" x14ac:dyDescent="0.3">
      <c r="K295" t="str">
        <f t="shared" si="24"/>
        <v/>
      </c>
      <c r="L295" t="str">
        <f t="shared" si="20"/>
        <v/>
      </c>
      <c r="M295" t="str">
        <f t="shared" si="21"/>
        <v/>
      </c>
      <c r="N295" t="str">
        <f t="shared" si="22"/>
        <v/>
      </c>
      <c r="O295" t="str">
        <f t="shared" si="23"/>
        <v/>
      </c>
    </row>
    <row r="296" spans="11:15" x14ac:dyDescent="0.3">
      <c r="K296" t="str">
        <f t="shared" si="24"/>
        <v/>
      </c>
      <c r="L296" t="str">
        <f t="shared" si="20"/>
        <v/>
      </c>
      <c r="M296" t="str">
        <f t="shared" si="21"/>
        <v/>
      </c>
      <c r="N296" t="str">
        <f t="shared" si="22"/>
        <v/>
      </c>
      <c r="O296" t="str">
        <f t="shared" si="23"/>
        <v/>
      </c>
    </row>
    <row r="297" spans="11:15" x14ac:dyDescent="0.3">
      <c r="K297" t="str">
        <f t="shared" si="24"/>
        <v/>
      </c>
      <c r="L297" t="str">
        <f t="shared" si="20"/>
        <v/>
      </c>
      <c r="M297" t="str">
        <f t="shared" si="21"/>
        <v/>
      </c>
      <c r="N297" t="str">
        <f t="shared" si="22"/>
        <v/>
      </c>
      <c r="O297" t="str">
        <f t="shared" si="23"/>
        <v/>
      </c>
    </row>
    <row r="298" spans="11:15" x14ac:dyDescent="0.3">
      <c r="K298" t="str">
        <f t="shared" si="24"/>
        <v/>
      </c>
      <c r="L298" t="str">
        <f t="shared" si="20"/>
        <v/>
      </c>
      <c r="M298" t="str">
        <f t="shared" si="21"/>
        <v/>
      </c>
      <c r="N298" t="str">
        <f t="shared" si="22"/>
        <v/>
      </c>
      <c r="O298" t="str">
        <f t="shared" si="23"/>
        <v/>
      </c>
    </row>
    <row r="299" spans="11:15" x14ac:dyDescent="0.3">
      <c r="K299" t="str">
        <f t="shared" si="24"/>
        <v/>
      </c>
      <c r="L299" t="str">
        <f t="shared" si="20"/>
        <v/>
      </c>
      <c r="M299" t="str">
        <f t="shared" si="21"/>
        <v/>
      </c>
      <c r="N299" t="str">
        <f t="shared" si="22"/>
        <v/>
      </c>
      <c r="O299" t="str">
        <f t="shared" si="23"/>
        <v/>
      </c>
    </row>
    <row r="300" spans="11:15" x14ac:dyDescent="0.3">
      <c r="K300" t="str">
        <f t="shared" si="24"/>
        <v/>
      </c>
      <c r="L300" t="str">
        <f t="shared" si="20"/>
        <v/>
      </c>
      <c r="M300" t="str">
        <f t="shared" si="21"/>
        <v/>
      </c>
      <c r="N300" t="str">
        <f t="shared" si="22"/>
        <v/>
      </c>
      <c r="O300" t="str">
        <f t="shared" si="23"/>
        <v/>
      </c>
    </row>
    <row r="301" spans="11:15" x14ac:dyDescent="0.3">
      <c r="K301" t="str">
        <f t="shared" si="24"/>
        <v/>
      </c>
      <c r="L301" t="str">
        <f t="shared" si="20"/>
        <v/>
      </c>
      <c r="M301" t="str">
        <f t="shared" si="21"/>
        <v/>
      </c>
      <c r="N301" t="str">
        <f t="shared" si="22"/>
        <v/>
      </c>
      <c r="O301" t="str">
        <f t="shared" si="23"/>
        <v/>
      </c>
    </row>
    <row r="302" spans="11:15" x14ac:dyDescent="0.3">
      <c r="K302" t="str">
        <f t="shared" si="24"/>
        <v/>
      </c>
      <c r="L302" t="str">
        <f t="shared" si="20"/>
        <v/>
      </c>
      <c r="M302" t="str">
        <f t="shared" si="21"/>
        <v/>
      </c>
      <c r="N302" t="str">
        <f t="shared" si="22"/>
        <v/>
      </c>
      <c r="O302" t="str">
        <f t="shared" si="23"/>
        <v/>
      </c>
    </row>
    <row r="303" spans="11:15" x14ac:dyDescent="0.3">
      <c r="K303" t="str">
        <f t="shared" si="24"/>
        <v/>
      </c>
      <c r="L303" t="str">
        <f t="shared" si="20"/>
        <v/>
      </c>
      <c r="M303" t="str">
        <f t="shared" si="21"/>
        <v/>
      </c>
      <c r="N303" t="str">
        <f t="shared" si="22"/>
        <v/>
      </c>
      <c r="O303" t="str">
        <f t="shared" si="23"/>
        <v/>
      </c>
    </row>
    <row r="304" spans="11:15" x14ac:dyDescent="0.3">
      <c r="K304" t="str">
        <f t="shared" si="24"/>
        <v/>
      </c>
      <c r="L304" t="str">
        <f t="shared" si="20"/>
        <v/>
      </c>
      <c r="M304" t="str">
        <f t="shared" si="21"/>
        <v/>
      </c>
      <c r="N304" t="str">
        <f t="shared" si="22"/>
        <v/>
      </c>
      <c r="O304" t="str">
        <f t="shared" si="23"/>
        <v/>
      </c>
    </row>
    <row r="305" spans="11:15" x14ac:dyDescent="0.3">
      <c r="K305" t="str">
        <f t="shared" si="24"/>
        <v/>
      </c>
      <c r="L305" t="str">
        <f t="shared" si="20"/>
        <v/>
      </c>
      <c r="M305" t="str">
        <f t="shared" si="21"/>
        <v/>
      </c>
      <c r="N305" t="str">
        <f t="shared" si="22"/>
        <v/>
      </c>
      <c r="O305" t="str">
        <f t="shared" si="23"/>
        <v/>
      </c>
    </row>
    <row r="306" spans="11:15" x14ac:dyDescent="0.3">
      <c r="K306" t="str">
        <f t="shared" si="24"/>
        <v/>
      </c>
      <c r="L306" t="str">
        <f t="shared" si="20"/>
        <v/>
      </c>
      <c r="M306" t="str">
        <f t="shared" si="21"/>
        <v/>
      </c>
      <c r="N306" t="str">
        <f t="shared" si="22"/>
        <v/>
      </c>
      <c r="O306" t="str">
        <f t="shared" si="23"/>
        <v/>
      </c>
    </row>
    <row r="307" spans="11:15" x14ac:dyDescent="0.3">
      <c r="K307" t="str">
        <f t="shared" si="24"/>
        <v/>
      </c>
      <c r="L307" t="str">
        <f t="shared" si="20"/>
        <v/>
      </c>
      <c r="M307" t="str">
        <f t="shared" si="21"/>
        <v/>
      </c>
      <c r="N307" t="str">
        <f t="shared" si="22"/>
        <v/>
      </c>
      <c r="O307" t="str">
        <f t="shared" si="23"/>
        <v/>
      </c>
    </row>
    <row r="308" spans="11:15" x14ac:dyDescent="0.3">
      <c r="K308" t="str">
        <f t="shared" si="24"/>
        <v/>
      </c>
      <c r="L308" t="str">
        <f t="shared" si="20"/>
        <v/>
      </c>
      <c r="M308" t="str">
        <f t="shared" si="21"/>
        <v/>
      </c>
      <c r="N308" t="str">
        <f t="shared" si="22"/>
        <v/>
      </c>
      <c r="O308" t="str">
        <f t="shared" si="23"/>
        <v/>
      </c>
    </row>
    <row r="309" spans="11:15" x14ac:dyDescent="0.3">
      <c r="K309" t="str">
        <f t="shared" si="24"/>
        <v/>
      </c>
      <c r="L309" t="str">
        <f t="shared" si="20"/>
        <v/>
      </c>
      <c r="M309" t="str">
        <f t="shared" si="21"/>
        <v/>
      </c>
      <c r="N309" t="str">
        <f t="shared" si="22"/>
        <v/>
      </c>
      <c r="O309" t="str">
        <f t="shared" si="23"/>
        <v/>
      </c>
    </row>
    <row r="310" spans="11:15" x14ac:dyDescent="0.3">
      <c r="K310" t="str">
        <f t="shared" si="24"/>
        <v/>
      </c>
      <c r="L310" t="str">
        <f t="shared" si="20"/>
        <v/>
      </c>
      <c r="M310" t="str">
        <f t="shared" si="21"/>
        <v/>
      </c>
      <c r="N310" t="str">
        <f t="shared" si="22"/>
        <v/>
      </c>
      <c r="O310" t="str">
        <f t="shared" si="23"/>
        <v/>
      </c>
    </row>
    <row r="311" spans="11:15" x14ac:dyDescent="0.3">
      <c r="K311" t="str">
        <f t="shared" si="24"/>
        <v/>
      </c>
      <c r="L311" t="str">
        <f t="shared" si="20"/>
        <v/>
      </c>
      <c r="M311" t="str">
        <f t="shared" si="21"/>
        <v/>
      </c>
      <c r="N311" t="str">
        <f t="shared" si="22"/>
        <v/>
      </c>
      <c r="O311" t="str">
        <f t="shared" si="23"/>
        <v/>
      </c>
    </row>
    <row r="312" spans="11:15" x14ac:dyDescent="0.3">
      <c r="K312" t="str">
        <f t="shared" si="24"/>
        <v/>
      </c>
      <c r="L312" t="str">
        <f t="shared" si="20"/>
        <v/>
      </c>
      <c r="M312" t="str">
        <f t="shared" si="21"/>
        <v/>
      </c>
      <c r="N312" t="str">
        <f t="shared" si="22"/>
        <v/>
      </c>
      <c r="O312" t="str">
        <f t="shared" si="23"/>
        <v/>
      </c>
    </row>
    <row r="313" spans="11:15" x14ac:dyDescent="0.3">
      <c r="K313" t="str">
        <f t="shared" si="24"/>
        <v/>
      </c>
      <c r="L313" t="str">
        <f t="shared" si="20"/>
        <v/>
      </c>
      <c r="M313" t="str">
        <f t="shared" si="21"/>
        <v/>
      </c>
      <c r="N313" t="str">
        <f t="shared" si="22"/>
        <v/>
      </c>
      <c r="O313" t="str">
        <f t="shared" si="23"/>
        <v/>
      </c>
    </row>
    <row r="314" spans="11:15" x14ac:dyDescent="0.3">
      <c r="K314" t="str">
        <f t="shared" si="24"/>
        <v/>
      </c>
      <c r="L314" t="str">
        <f t="shared" si="20"/>
        <v/>
      </c>
      <c r="M314" t="str">
        <f t="shared" si="21"/>
        <v/>
      </c>
      <c r="N314" t="str">
        <f t="shared" si="22"/>
        <v/>
      </c>
      <c r="O314" t="str">
        <f t="shared" si="23"/>
        <v/>
      </c>
    </row>
    <row r="315" spans="11:15" x14ac:dyDescent="0.3">
      <c r="K315" t="str">
        <f t="shared" si="24"/>
        <v/>
      </c>
      <c r="L315" t="str">
        <f t="shared" si="20"/>
        <v/>
      </c>
      <c r="M315" t="str">
        <f t="shared" si="21"/>
        <v/>
      </c>
      <c r="N315" t="str">
        <f t="shared" si="22"/>
        <v/>
      </c>
      <c r="O315" t="str">
        <f t="shared" si="23"/>
        <v/>
      </c>
    </row>
    <row r="316" spans="11:15" x14ac:dyDescent="0.3">
      <c r="K316" t="str">
        <f t="shared" si="24"/>
        <v/>
      </c>
      <c r="L316" t="str">
        <f t="shared" si="20"/>
        <v/>
      </c>
      <c r="M316" t="str">
        <f t="shared" si="21"/>
        <v/>
      </c>
      <c r="N316" t="str">
        <f t="shared" si="22"/>
        <v/>
      </c>
      <c r="O316" t="str">
        <f t="shared" si="23"/>
        <v/>
      </c>
    </row>
    <row r="317" spans="11:15" x14ac:dyDescent="0.3">
      <c r="K317" t="str">
        <f t="shared" si="24"/>
        <v/>
      </c>
      <c r="L317" t="str">
        <f t="shared" si="20"/>
        <v/>
      </c>
      <c r="M317" t="str">
        <f t="shared" si="21"/>
        <v/>
      </c>
      <c r="N317" t="str">
        <f t="shared" si="22"/>
        <v/>
      </c>
      <c r="O317" t="str">
        <f t="shared" si="23"/>
        <v/>
      </c>
    </row>
    <row r="318" spans="11:15" x14ac:dyDescent="0.3">
      <c r="K318" t="str">
        <f t="shared" si="24"/>
        <v/>
      </c>
      <c r="L318" t="str">
        <f t="shared" si="20"/>
        <v/>
      </c>
      <c r="M318" t="str">
        <f t="shared" si="21"/>
        <v/>
      </c>
      <c r="N318" t="str">
        <f t="shared" si="22"/>
        <v/>
      </c>
      <c r="O318" t="str">
        <f t="shared" si="23"/>
        <v/>
      </c>
    </row>
    <row r="319" spans="11:15" x14ac:dyDescent="0.3">
      <c r="K319" t="str">
        <f t="shared" si="24"/>
        <v/>
      </c>
      <c r="L319" t="str">
        <f t="shared" si="20"/>
        <v/>
      </c>
      <c r="M319" t="str">
        <f t="shared" si="21"/>
        <v/>
      </c>
      <c r="N319" t="str">
        <f t="shared" si="22"/>
        <v/>
      </c>
      <c r="O319" t="str">
        <f t="shared" si="23"/>
        <v/>
      </c>
    </row>
    <row r="320" spans="11:15" x14ac:dyDescent="0.3">
      <c r="K320" t="str">
        <f t="shared" si="24"/>
        <v/>
      </c>
      <c r="L320" t="str">
        <f t="shared" si="20"/>
        <v/>
      </c>
      <c r="M320" t="str">
        <f t="shared" si="21"/>
        <v/>
      </c>
      <c r="N320" t="str">
        <f t="shared" si="22"/>
        <v/>
      </c>
      <c r="O320" t="str">
        <f t="shared" si="23"/>
        <v/>
      </c>
    </row>
    <row r="321" spans="11:15" x14ac:dyDescent="0.3">
      <c r="K321" t="str">
        <f t="shared" si="24"/>
        <v/>
      </c>
      <c r="L321" t="str">
        <f t="shared" ref="L321:L384" si="25">IF(A321="","",IF(ISNUMBER(--LEFT(A321,FIND(" - ",A321&amp;" - ")-1)),LEFT(A321,FIND(" - ",A321&amp;" - ")-1),TRIM(A321)))</f>
        <v/>
      </c>
      <c r="M321" t="str">
        <f t="shared" ref="M321:M384" si="26">IF(OR(K321="",K321=A321,A321=""),"",K321&amp;"|"&amp;L321)</f>
        <v/>
      </c>
      <c r="N321" t="str">
        <f t="shared" ref="N321:N384" si="27">IF(M321="","",IF(ISNUMBER(B321),B321,IFERROR(_xlfn.NUMBERVALUE(B321,".",","),0)))</f>
        <v/>
      </c>
      <c r="O321" t="str">
        <f t="shared" ref="O321:O384" si="28">IF(M321="","",IF(ISNUMBER(C321),C321,IFERROR(_xlfn.NUMBERVALUE(C321,".",","),0)))</f>
        <v/>
      </c>
    </row>
    <row r="322" spans="11:15" x14ac:dyDescent="0.3">
      <c r="K322" t="str">
        <f t="shared" ref="K322:K385" si="29">IF(OR(LEFT(B322,9)="DOANH THU",LEFT(B322,8)="SỐ LƯỢNG"),A322,K321)</f>
        <v/>
      </c>
      <c r="L322" t="str">
        <f t="shared" si="25"/>
        <v/>
      </c>
      <c r="M322" t="str">
        <f t="shared" si="26"/>
        <v/>
      </c>
      <c r="N322" t="str">
        <f t="shared" si="27"/>
        <v/>
      </c>
      <c r="O322" t="str">
        <f t="shared" si="28"/>
        <v/>
      </c>
    </row>
    <row r="323" spans="11:15" x14ac:dyDescent="0.3">
      <c r="K323" t="str">
        <f t="shared" si="29"/>
        <v/>
      </c>
      <c r="L323" t="str">
        <f t="shared" si="25"/>
        <v/>
      </c>
      <c r="M323" t="str">
        <f t="shared" si="26"/>
        <v/>
      </c>
      <c r="N323" t="str">
        <f t="shared" si="27"/>
        <v/>
      </c>
      <c r="O323" t="str">
        <f t="shared" si="28"/>
        <v/>
      </c>
    </row>
    <row r="324" spans="11:15" x14ac:dyDescent="0.3">
      <c r="K324" t="str">
        <f t="shared" si="29"/>
        <v/>
      </c>
      <c r="L324" t="str">
        <f t="shared" si="25"/>
        <v/>
      </c>
      <c r="M324" t="str">
        <f t="shared" si="26"/>
        <v/>
      </c>
      <c r="N324" t="str">
        <f t="shared" si="27"/>
        <v/>
      </c>
      <c r="O324" t="str">
        <f t="shared" si="28"/>
        <v/>
      </c>
    </row>
    <row r="325" spans="11:15" x14ac:dyDescent="0.3">
      <c r="K325" t="str">
        <f t="shared" si="29"/>
        <v/>
      </c>
      <c r="L325" t="str">
        <f t="shared" si="25"/>
        <v/>
      </c>
      <c r="M325" t="str">
        <f t="shared" si="26"/>
        <v/>
      </c>
      <c r="N325" t="str">
        <f t="shared" si="27"/>
        <v/>
      </c>
      <c r="O325" t="str">
        <f t="shared" si="28"/>
        <v/>
      </c>
    </row>
    <row r="326" spans="11:15" x14ac:dyDescent="0.3">
      <c r="K326" t="str">
        <f t="shared" si="29"/>
        <v/>
      </c>
      <c r="L326" t="str">
        <f t="shared" si="25"/>
        <v/>
      </c>
      <c r="M326" t="str">
        <f t="shared" si="26"/>
        <v/>
      </c>
      <c r="N326" t="str">
        <f t="shared" si="27"/>
        <v/>
      </c>
      <c r="O326" t="str">
        <f t="shared" si="28"/>
        <v/>
      </c>
    </row>
    <row r="327" spans="11:15" x14ac:dyDescent="0.3">
      <c r="K327" t="str">
        <f t="shared" si="29"/>
        <v/>
      </c>
      <c r="L327" t="str">
        <f t="shared" si="25"/>
        <v/>
      </c>
      <c r="M327" t="str">
        <f t="shared" si="26"/>
        <v/>
      </c>
      <c r="N327" t="str">
        <f t="shared" si="27"/>
        <v/>
      </c>
      <c r="O327" t="str">
        <f t="shared" si="28"/>
        <v/>
      </c>
    </row>
    <row r="328" spans="11:15" x14ac:dyDescent="0.3">
      <c r="K328" t="str">
        <f t="shared" si="29"/>
        <v/>
      </c>
      <c r="L328" t="str">
        <f t="shared" si="25"/>
        <v/>
      </c>
      <c r="M328" t="str">
        <f t="shared" si="26"/>
        <v/>
      </c>
      <c r="N328" t="str">
        <f t="shared" si="27"/>
        <v/>
      </c>
      <c r="O328" t="str">
        <f t="shared" si="28"/>
        <v/>
      </c>
    </row>
    <row r="329" spans="11:15" x14ac:dyDescent="0.3">
      <c r="K329" t="str">
        <f t="shared" si="29"/>
        <v/>
      </c>
      <c r="L329" t="str">
        <f t="shared" si="25"/>
        <v/>
      </c>
      <c r="M329" t="str">
        <f t="shared" si="26"/>
        <v/>
      </c>
      <c r="N329" t="str">
        <f t="shared" si="27"/>
        <v/>
      </c>
      <c r="O329" t="str">
        <f t="shared" si="28"/>
        <v/>
      </c>
    </row>
    <row r="330" spans="11:15" x14ac:dyDescent="0.3">
      <c r="K330" t="str">
        <f t="shared" si="29"/>
        <v/>
      </c>
      <c r="L330" t="str">
        <f t="shared" si="25"/>
        <v/>
      </c>
      <c r="M330" t="str">
        <f t="shared" si="26"/>
        <v/>
      </c>
      <c r="N330" t="str">
        <f t="shared" si="27"/>
        <v/>
      </c>
      <c r="O330" t="str">
        <f t="shared" si="28"/>
        <v/>
      </c>
    </row>
    <row r="331" spans="11:15" x14ac:dyDescent="0.3">
      <c r="K331" t="str">
        <f t="shared" si="29"/>
        <v/>
      </c>
      <c r="L331" t="str">
        <f t="shared" si="25"/>
        <v/>
      </c>
      <c r="M331" t="str">
        <f t="shared" si="26"/>
        <v/>
      </c>
      <c r="N331" t="str">
        <f t="shared" si="27"/>
        <v/>
      </c>
      <c r="O331" t="str">
        <f t="shared" si="28"/>
        <v/>
      </c>
    </row>
    <row r="332" spans="11:15" x14ac:dyDescent="0.3">
      <c r="K332" t="str">
        <f t="shared" si="29"/>
        <v/>
      </c>
      <c r="L332" t="str">
        <f t="shared" si="25"/>
        <v/>
      </c>
      <c r="M332" t="str">
        <f t="shared" si="26"/>
        <v/>
      </c>
      <c r="N332" t="str">
        <f t="shared" si="27"/>
        <v/>
      </c>
      <c r="O332" t="str">
        <f t="shared" si="28"/>
        <v/>
      </c>
    </row>
    <row r="333" spans="11:15" x14ac:dyDescent="0.3">
      <c r="K333" t="str">
        <f t="shared" si="29"/>
        <v/>
      </c>
      <c r="L333" t="str">
        <f t="shared" si="25"/>
        <v/>
      </c>
      <c r="M333" t="str">
        <f t="shared" si="26"/>
        <v/>
      </c>
      <c r="N333" t="str">
        <f t="shared" si="27"/>
        <v/>
      </c>
      <c r="O333" t="str">
        <f t="shared" si="28"/>
        <v/>
      </c>
    </row>
    <row r="334" spans="11:15" x14ac:dyDescent="0.3">
      <c r="K334" t="str">
        <f t="shared" si="29"/>
        <v/>
      </c>
      <c r="L334" t="str">
        <f t="shared" si="25"/>
        <v/>
      </c>
      <c r="M334" t="str">
        <f t="shared" si="26"/>
        <v/>
      </c>
      <c r="N334" t="str">
        <f t="shared" si="27"/>
        <v/>
      </c>
      <c r="O334" t="str">
        <f t="shared" si="28"/>
        <v/>
      </c>
    </row>
    <row r="335" spans="11:15" x14ac:dyDescent="0.3">
      <c r="K335" t="str">
        <f t="shared" si="29"/>
        <v/>
      </c>
      <c r="L335" t="str">
        <f t="shared" si="25"/>
        <v/>
      </c>
      <c r="M335" t="str">
        <f t="shared" si="26"/>
        <v/>
      </c>
      <c r="N335" t="str">
        <f t="shared" si="27"/>
        <v/>
      </c>
      <c r="O335" t="str">
        <f t="shared" si="28"/>
        <v/>
      </c>
    </row>
    <row r="336" spans="11:15" x14ac:dyDescent="0.3">
      <c r="K336" t="str">
        <f t="shared" si="29"/>
        <v/>
      </c>
      <c r="L336" t="str">
        <f t="shared" si="25"/>
        <v/>
      </c>
      <c r="M336" t="str">
        <f t="shared" si="26"/>
        <v/>
      </c>
      <c r="N336" t="str">
        <f t="shared" si="27"/>
        <v/>
      </c>
      <c r="O336" t="str">
        <f t="shared" si="28"/>
        <v/>
      </c>
    </row>
    <row r="337" spans="11:15" x14ac:dyDescent="0.3">
      <c r="K337" t="str">
        <f t="shared" si="29"/>
        <v/>
      </c>
      <c r="L337" t="str">
        <f t="shared" si="25"/>
        <v/>
      </c>
      <c r="M337" t="str">
        <f t="shared" si="26"/>
        <v/>
      </c>
      <c r="N337" t="str">
        <f t="shared" si="27"/>
        <v/>
      </c>
      <c r="O337" t="str">
        <f t="shared" si="28"/>
        <v/>
      </c>
    </row>
    <row r="338" spans="11:15" x14ac:dyDescent="0.3">
      <c r="K338" t="str">
        <f t="shared" si="29"/>
        <v/>
      </c>
      <c r="L338" t="str">
        <f t="shared" si="25"/>
        <v/>
      </c>
      <c r="M338" t="str">
        <f t="shared" si="26"/>
        <v/>
      </c>
      <c r="N338" t="str">
        <f t="shared" si="27"/>
        <v/>
      </c>
      <c r="O338" t="str">
        <f t="shared" si="28"/>
        <v/>
      </c>
    </row>
    <row r="339" spans="11:15" x14ac:dyDescent="0.3">
      <c r="K339" t="str">
        <f t="shared" si="29"/>
        <v/>
      </c>
      <c r="L339" t="str">
        <f t="shared" si="25"/>
        <v/>
      </c>
      <c r="M339" t="str">
        <f t="shared" si="26"/>
        <v/>
      </c>
      <c r="N339" t="str">
        <f t="shared" si="27"/>
        <v/>
      </c>
      <c r="O339" t="str">
        <f t="shared" si="28"/>
        <v/>
      </c>
    </row>
    <row r="340" spans="11:15" x14ac:dyDescent="0.3">
      <c r="K340" t="str">
        <f t="shared" si="29"/>
        <v/>
      </c>
      <c r="L340" t="str">
        <f t="shared" si="25"/>
        <v/>
      </c>
      <c r="M340" t="str">
        <f t="shared" si="26"/>
        <v/>
      </c>
      <c r="N340" t="str">
        <f t="shared" si="27"/>
        <v/>
      </c>
      <c r="O340" t="str">
        <f t="shared" si="28"/>
        <v/>
      </c>
    </row>
    <row r="341" spans="11:15" x14ac:dyDescent="0.3">
      <c r="K341" t="str">
        <f t="shared" si="29"/>
        <v/>
      </c>
      <c r="L341" t="str">
        <f t="shared" si="25"/>
        <v/>
      </c>
      <c r="M341" t="str">
        <f t="shared" si="26"/>
        <v/>
      </c>
      <c r="N341" t="str">
        <f t="shared" si="27"/>
        <v/>
      </c>
      <c r="O341" t="str">
        <f t="shared" si="28"/>
        <v/>
      </c>
    </row>
    <row r="342" spans="11:15" x14ac:dyDescent="0.3">
      <c r="K342" t="str">
        <f t="shared" si="29"/>
        <v/>
      </c>
      <c r="L342" t="str">
        <f t="shared" si="25"/>
        <v/>
      </c>
      <c r="M342" t="str">
        <f t="shared" si="26"/>
        <v/>
      </c>
      <c r="N342" t="str">
        <f t="shared" si="27"/>
        <v/>
      </c>
      <c r="O342" t="str">
        <f t="shared" si="28"/>
        <v/>
      </c>
    </row>
    <row r="343" spans="11:15" x14ac:dyDescent="0.3">
      <c r="K343" t="str">
        <f t="shared" si="29"/>
        <v/>
      </c>
      <c r="L343" t="str">
        <f t="shared" si="25"/>
        <v/>
      </c>
      <c r="M343" t="str">
        <f t="shared" si="26"/>
        <v/>
      </c>
      <c r="N343" t="str">
        <f t="shared" si="27"/>
        <v/>
      </c>
      <c r="O343" t="str">
        <f t="shared" si="28"/>
        <v/>
      </c>
    </row>
    <row r="344" spans="11:15" x14ac:dyDescent="0.3">
      <c r="K344" t="str">
        <f t="shared" si="29"/>
        <v/>
      </c>
      <c r="L344" t="str">
        <f t="shared" si="25"/>
        <v/>
      </c>
      <c r="M344" t="str">
        <f t="shared" si="26"/>
        <v/>
      </c>
      <c r="N344" t="str">
        <f t="shared" si="27"/>
        <v/>
      </c>
      <c r="O344" t="str">
        <f t="shared" si="28"/>
        <v/>
      </c>
    </row>
    <row r="345" spans="11:15" x14ac:dyDescent="0.3">
      <c r="K345" t="str">
        <f t="shared" si="29"/>
        <v/>
      </c>
      <c r="L345" t="str">
        <f t="shared" si="25"/>
        <v/>
      </c>
      <c r="M345" t="str">
        <f t="shared" si="26"/>
        <v/>
      </c>
      <c r="N345" t="str">
        <f t="shared" si="27"/>
        <v/>
      </c>
      <c r="O345" t="str">
        <f t="shared" si="28"/>
        <v/>
      </c>
    </row>
    <row r="346" spans="11:15" x14ac:dyDescent="0.3">
      <c r="K346" t="str">
        <f t="shared" si="29"/>
        <v/>
      </c>
      <c r="L346" t="str">
        <f t="shared" si="25"/>
        <v/>
      </c>
      <c r="M346" t="str">
        <f t="shared" si="26"/>
        <v/>
      </c>
      <c r="N346" t="str">
        <f t="shared" si="27"/>
        <v/>
      </c>
      <c r="O346" t="str">
        <f t="shared" si="28"/>
        <v/>
      </c>
    </row>
    <row r="347" spans="11:15" x14ac:dyDescent="0.3">
      <c r="K347" t="str">
        <f t="shared" si="29"/>
        <v/>
      </c>
      <c r="L347" t="str">
        <f t="shared" si="25"/>
        <v/>
      </c>
      <c r="M347" t="str">
        <f t="shared" si="26"/>
        <v/>
      </c>
      <c r="N347" t="str">
        <f t="shared" si="27"/>
        <v/>
      </c>
      <c r="O347" t="str">
        <f t="shared" si="28"/>
        <v/>
      </c>
    </row>
    <row r="348" spans="11:15" x14ac:dyDescent="0.3">
      <c r="K348" t="str">
        <f t="shared" si="29"/>
        <v/>
      </c>
      <c r="L348" t="str">
        <f t="shared" si="25"/>
        <v/>
      </c>
      <c r="M348" t="str">
        <f t="shared" si="26"/>
        <v/>
      </c>
      <c r="N348" t="str">
        <f t="shared" si="27"/>
        <v/>
      </c>
      <c r="O348" t="str">
        <f t="shared" si="28"/>
        <v/>
      </c>
    </row>
    <row r="349" spans="11:15" x14ac:dyDescent="0.3">
      <c r="K349" t="str">
        <f t="shared" si="29"/>
        <v/>
      </c>
      <c r="L349" t="str">
        <f t="shared" si="25"/>
        <v/>
      </c>
      <c r="M349" t="str">
        <f t="shared" si="26"/>
        <v/>
      </c>
      <c r="N349" t="str">
        <f t="shared" si="27"/>
        <v/>
      </c>
      <c r="O349" t="str">
        <f t="shared" si="28"/>
        <v/>
      </c>
    </row>
    <row r="350" spans="11:15" x14ac:dyDescent="0.3">
      <c r="K350" t="str">
        <f t="shared" si="29"/>
        <v/>
      </c>
      <c r="L350" t="str">
        <f t="shared" si="25"/>
        <v/>
      </c>
      <c r="M350" t="str">
        <f t="shared" si="26"/>
        <v/>
      </c>
      <c r="N350" t="str">
        <f t="shared" si="27"/>
        <v/>
      </c>
      <c r="O350" t="str">
        <f t="shared" si="28"/>
        <v/>
      </c>
    </row>
    <row r="351" spans="11:15" x14ac:dyDescent="0.3">
      <c r="K351" t="str">
        <f t="shared" si="29"/>
        <v/>
      </c>
      <c r="L351" t="str">
        <f t="shared" si="25"/>
        <v/>
      </c>
      <c r="M351" t="str">
        <f t="shared" si="26"/>
        <v/>
      </c>
      <c r="N351" t="str">
        <f t="shared" si="27"/>
        <v/>
      </c>
      <c r="O351" t="str">
        <f t="shared" si="28"/>
        <v/>
      </c>
    </row>
    <row r="352" spans="11:15" x14ac:dyDescent="0.3">
      <c r="K352" t="str">
        <f t="shared" si="29"/>
        <v/>
      </c>
      <c r="L352" t="str">
        <f t="shared" si="25"/>
        <v/>
      </c>
      <c r="M352" t="str">
        <f t="shared" si="26"/>
        <v/>
      </c>
      <c r="N352" t="str">
        <f t="shared" si="27"/>
        <v/>
      </c>
      <c r="O352" t="str">
        <f t="shared" si="28"/>
        <v/>
      </c>
    </row>
    <row r="353" spans="11:15" x14ac:dyDescent="0.3">
      <c r="K353" t="str">
        <f t="shared" si="29"/>
        <v/>
      </c>
      <c r="L353" t="str">
        <f t="shared" si="25"/>
        <v/>
      </c>
      <c r="M353" t="str">
        <f t="shared" si="26"/>
        <v/>
      </c>
      <c r="N353" t="str">
        <f t="shared" si="27"/>
        <v/>
      </c>
      <c r="O353" t="str">
        <f t="shared" si="28"/>
        <v/>
      </c>
    </row>
    <row r="354" spans="11:15" x14ac:dyDescent="0.3">
      <c r="K354" t="str">
        <f t="shared" si="29"/>
        <v/>
      </c>
      <c r="L354" t="str">
        <f t="shared" si="25"/>
        <v/>
      </c>
      <c r="M354" t="str">
        <f t="shared" si="26"/>
        <v/>
      </c>
      <c r="N354" t="str">
        <f t="shared" si="27"/>
        <v/>
      </c>
      <c r="O354" t="str">
        <f t="shared" si="28"/>
        <v/>
      </c>
    </row>
    <row r="355" spans="11:15" x14ac:dyDescent="0.3">
      <c r="K355" t="str">
        <f t="shared" si="29"/>
        <v/>
      </c>
      <c r="L355" t="str">
        <f t="shared" si="25"/>
        <v/>
      </c>
      <c r="M355" t="str">
        <f t="shared" si="26"/>
        <v/>
      </c>
      <c r="N355" t="str">
        <f t="shared" si="27"/>
        <v/>
      </c>
      <c r="O355" t="str">
        <f t="shared" si="28"/>
        <v/>
      </c>
    </row>
    <row r="356" spans="11:15" x14ac:dyDescent="0.3">
      <c r="K356" t="str">
        <f t="shared" si="29"/>
        <v/>
      </c>
      <c r="L356" t="str">
        <f t="shared" si="25"/>
        <v/>
      </c>
      <c r="M356" t="str">
        <f t="shared" si="26"/>
        <v/>
      </c>
      <c r="N356" t="str">
        <f t="shared" si="27"/>
        <v/>
      </c>
      <c r="O356" t="str">
        <f t="shared" si="28"/>
        <v/>
      </c>
    </row>
    <row r="357" spans="11:15" x14ac:dyDescent="0.3">
      <c r="K357" t="str">
        <f t="shared" si="29"/>
        <v/>
      </c>
      <c r="L357" t="str">
        <f t="shared" si="25"/>
        <v/>
      </c>
      <c r="M357" t="str">
        <f t="shared" si="26"/>
        <v/>
      </c>
      <c r="N357" t="str">
        <f t="shared" si="27"/>
        <v/>
      </c>
      <c r="O357" t="str">
        <f t="shared" si="28"/>
        <v/>
      </c>
    </row>
    <row r="358" spans="11:15" x14ac:dyDescent="0.3">
      <c r="K358" t="str">
        <f t="shared" si="29"/>
        <v/>
      </c>
      <c r="L358" t="str">
        <f t="shared" si="25"/>
        <v/>
      </c>
      <c r="M358" t="str">
        <f t="shared" si="26"/>
        <v/>
      </c>
      <c r="N358" t="str">
        <f t="shared" si="27"/>
        <v/>
      </c>
      <c r="O358" t="str">
        <f t="shared" si="28"/>
        <v/>
      </c>
    </row>
    <row r="359" spans="11:15" x14ac:dyDescent="0.3">
      <c r="K359" t="str">
        <f t="shared" si="29"/>
        <v/>
      </c>
      <c r="L359" t="str">
        <f t="shared" si="25"/>
        <v/>
      </c>
      <c r="M359" t="str">
        <f t="shared" si="26"/>
        <v/>
      </c>
      <c r="N359" t="str">
        <f t="shared" si="27"/>
        <v/>
      </c>
      <c r="O359" t="str">
        <f t="shared" si="28"/>
        <v/>
      </c>
    </row>
    <row r="360" spans="11:15" x14ac:dyDescent="0.3">
      <c r="K360" t="str">
        <f t="shared" si="29"/>
        <v/>
      </c>
      <c r="L360" t="str">
        <f t="shared" si="25"/>
        <v/>
      </c>
      <c r="M360" t="str">
        <f t="shared" si="26"/>
        <v/>
      </c>
      <c r="N360" t="str">
        <f t="shared" si="27"/>
        <v/>
      </c>
      <c r="O360" t="str">
        <f t="shared" si="28"/>
        <v/>
      </c>
    </row>
    <row r="361" spans="11:15" x14ac:dyDescent="0.3">
      <c r="K361" t="str">
        <f t="shared" si="29"/>
        <v/>
      </c>
      <c r="L361" t="str">
        <f t="shared" si="25"/>
        <v/>
      </c>
      <c r="M361" t="str">
        <f t="shared" si="26"/>
        <v/>
      </c>
      <c r="N361" t="str">
        <f t="shared" si="27"/>
        <v/>
      </c>
      <c r="O361" t="str">
        <f t="shared" si="28"/>
        <v/>
      </c>
    </row>
    <row r="362" spans="11:15" x14ac:dyDescent="0.3">
      <c r="K362" t="str">
        <f t="shared" si="29"/>
        <v/>
      </c>
      <c r="L362" t="str">
        <f t="shared" si="25"/>
        <v/>
      </c>
      <c r="M362" t="str">
        <f t="shared" si="26"/>
        <v/>
      </c>
      <c r="N362" t="str">
        <f t="shared" si="27"/>
        <v/>
      </c>
      <c r="O362" t="str">
        <f t="shared" si="28"/>
        <v/>
      </c>
    </row>
    <row r="363" spans="11:15" x14ac:dyDescent="0.3">
      <c r="K363" t="str">
        <f t="shared" si="29"/>
        <v/>
      </c>
      <c r="L363" t="str">
        <f t="shared" si="25"/>
        <v/>
      </c>
      <c r="M363" t="str">
        <f t="shared" si="26"/>
        <v/>
      </c>
      <c r="N363" t="str">
        <f t="shared" si="27"/>
        <v/>
      </c>
      <c r="O363" t="str">
        <f t="shared" si="28"/>
        <v/>
      </c>
    </row>
    <row r="364" spans="11:15" x14ac:dyDescent="0.3">
      <c r="K364" t="str">
        <f t="shared" si="29"/>
        <v/>
      </c>
      <c r="L364" t="str">
        <f t="shared" si="25"/>
        <v/>
      </c>
      <c r="M364" t="str">
        <f t="shared" si="26"/>
        <v/>
      </c>
      <c r="N364" t="str">
        <f t="shared" si="27"/>
        <v/>
      </c>
      <c r="O364" t="str">
        <f t="shared" si="28"/>
        <v/>
      </c>
    </row>
    <row r="365" spans="11:15" x14ac:dyDescent="0.3">
      <c r="K365" t="str">
        <f t="shared" si="29"/>
        <v/>
      </c>
      <c r="L365" t="str">
        <f t="shared" si="25"/>
        <v/>
      </c>
      <c r="M365" t="str">
        <f t="shared" si="26"/>
        <v/>
      </c>
      <c r="N365" t="str">
        <f t="shared" si="27"/>
        <v/>
      </c>
      <c r="O365" t="str">
        <f t="shared" si="28"/>
        <v/>
      </c>
    </row>
    <row r="366" spans="11:15" x14ac:dyDescent="0.3">
      <c r="K366" t="str">
        <f t="shared" si="29"/>
        <v/>
      </c>
      <c r="L366" t="str">
        <f t="shared" si="25"/>
        <v/>
      </c>
      <c r="M366" t="str">
        <f t="shared" si="26"/>
        <v/>
      </c>
      <c r="N366" t="str">
        <f t="shared" si="27"/>
        <v/>
      </c>
      <c r="O366" t="str">
        <f t="shared" si="28"/>
        <v/>
      </c>
    </row>
    <row r="367" spans="11:15" x14ac:dyDescent="0.3">
      <c r="K367" t="str">
        <f t="shared" si="29"/>
        <v/>
      </c>
      <c r="L367" t="str">
        <f t="shared" si="25"/>
        <v/>
      </c>
      <c r="M367" t="str">
        <f t="shared" si="26"/>
        <v/>
      </c>
      <c r="N367" t="str">
        <f t="shared" si="27"/>
        <v/>
      </c>
      <c r="O367" t="str">
        <f t="shared" si="28"/>
        <v/>
      </c>
    </row>
    <row r="368" spans="11:15" x14ac:dyDescent="0.3">
      <c r="K368" t="str">
        <f t="shared" si="29"/>
        <v/>
      </c>
      <c r="L368" t="str">
        <f t="shared" si="25"/>
        <v/>
      </c>
      <c r="M368" t="str">
        <f t="shared" si="26"/>
        <v/>
      </c>
      <c r="N368" t="str">
        <f t="shared" si="27"/>
        <v/>
      </c>
      <c r="O368" t="str">
        <f t="shared" si="28"/>
        <v/>
      </c>
    </row>
    <row r="369" spans="11:15" x14ac:dyDescent="0.3">
      <c r="K369" t="str">
        <f t="shared" si="29"/>
        <v/>
      </c>
      <c r="L369" t="str">
        <f t="shared" si="25"/>
        <v/>
      </c>
      <c r="M369" t="str">
        <f t="shared" si="26"/>
        <v/>
      </c>
      <c r="N369" t="str">
        <f t="shared" si="27"/>
        <v/>
      </c>
      <c r="O369" t="str">
        <f t="shared" si="28"/>
        <v/>
      </c>
    </row>
    <row r="370" spans="11:15" x14ac:dyDescent="0.3">
      <c r="K370" t="str">
        <f t="shared" si="29"/>
        <v/>
      </c>
      <c r="L370" t="str">
        <f t="shared" si="25"/>
        <v/>
      </c>
      <c r="M370" t="str">
        <f t="shared" si="26"/>
        <v/>
      </c>
      <c r="N370" t="str">
        <f t="shared" si="27"/>
        <v/>
      </c>
      <c r="O370" t="str">
        <f t="shared" si="28"/>
        <v/>
      </c>
    </row>
    <row r="371" spans="11:15" x14ac:dyDescent="0.3">
      <c r="K371" t="str">
        <f t="shared" si="29"/>
        <v/>
      </c>
      <c r="L371" t="str">
        <f t="shared" si="25"/>
        <v/>
      </c>
      <c r="M371" t="str">
        <f t="shared" si="26"/>
        <v/>
      </c>
      <c r="N371" t="str">
        <f t="shared" si="27"/>
        <v/>
      </c>
      <c r="O371" t="str">
        <f t="shared" si="28"/>
        <v/>
      </c>
    </row>
    <row r="372" spans="11:15" x14ac:dyDescent="0.3">
      <c r="K372" t="str">
        <f t="shared" si="29"/>
        <v/>
      </c>
      <c r="L372" t="str">
        <f t="shared" si="25"/>
        <v/>
      </c>
      <c r="M372" t="str">
        <f t="shared" si="26"/>
        <v/>
      </c>
      <c r="N372" t="str">
        <f t="shared" si="27"/>
        <v/>
      </c>
      <c r="O372" t="str">
        <f t="shared" si="28"/>
        <v/>
      </c>
    </row>
    <row r="373" spans="11:15" x14ac:dyDescent="0.3">
      <c r="K373" t="str">
        <f t="shared" si="29"/>
        <v/>
      </c>
      <c r="L373" t="str">
        <f t="shared" si="25"/>
        <v/>
      </c>
      <c r="M373" t="str">
        <f t="shared" si="26"/>
        <v/>
      </c>
      <c r="N373" t="str">
        <f t="shared" si="27"/>
        <v/>
      </c>
      <c r="O373" t="str">
        <f t="shared" si="28"/>
        <v/>
      </c>
    </row>
    <row r="374" spans="11:15" x14ac:dyDescent="0.3">
      <c r="K374" t="str">
        <f t="shared" si="29"/>
        <v/>
      </c>
      <c r="L374" t="str">
        <f t="shared" si="25"/>
        <v/>
      </c>
      <c r="M374" t="str">
        <f t="shared" si="26"/>
        <v/>
      </c>
      <c r="N374" t="str">
        <f t="shared" si="27"/>
        <v/>
      </c>
      <c r="O374" t="str">
        <f t="shared" si="28"/>
        <v/>
      </c>
    </row>
    <row r="375" spans="11:15" x14ac:dyDescent="0.3">
      <c r="K375" t="str">
        <f t="shared" si="29"/>
        <v/>
      </c>
      <c r="L375" t="str">
        <f t="shared" si="25"/>
        <v/>
      </c>
      <c r="M375" t="str">
        <f t="shared" si="26"/>
        <v/>
      </c>
      <c r="N375" t="str">
        <f t="shared" si="27"/>
        <v/>
      </c>
      <c r="O375" t="str">
        <f t="shared" si="28"/>
        <v/>
      </c>
    </row>
    <row r="376" spans="11:15" x14ac:dyDescent="0.3">
      <c r="K376" t="str">
        <f t="shared" si="29"/>
        <v/>
      </c>
      <c r="L376" t="str">
        <f t="shared" si="25"/>
        <v/>
      </c>
      <c r="M376" t="str">
        <f t="shared" si="26"/>
        <v/>
      </c>
      <c r="N376" t="str">
        <f t="shared" si="27"/>
        <v/>
      </c>
      <c r="O376" t="str">
        <f t="shared" si="28"/>
        <v/>
      </c>
    </row>
    <row r="377" spans="11:15" x14ac:dyDescent="0.3">
      <c r="K377" t="str">
        <f t="shared" si="29"/>
        <v/>
      </c>
      <c r="L377" t="str">
        <f t="shared" si="25"/>
        <v/>
      </c>
      <c r="M377" t="str">
        <f t="shared" si="26"/>
        <v/>
      </c>
      <c r="N377" t="str">
        <f t="shared" si="27"/>
        <v/>
      </c>
      <c r="O377" t="str">
        <f t="shared" si="28"/>
        <v/>
      </c>
    </row>
    <row r="378" spans="11:15" x14ac:dyDescent="0.3">
      <c r="K378" t="str">
        <f t="shared" si="29"/>
        <v/>
      </c>
      <c r="L378" t="str">
        <f t="shared" si="25"/>
        <v/>
      </c>
      <c r="M378" t="str">
        <f t="shared" si="26"/>
        <v/>
      </c>
      <c r="N378" t="str">
        <f t="shared" si="27"/>
        <v/>
      </c>
      <c r="O378" t="str">
        <f t="shared" si="28"/>
        <v/>
      </c>
    </row>
    <row r="379" spans="11:15" x14ac:dyDescent="0.3">
      <c r="K379" t="str">
        <f t="shared" si="29"/>
        <v/>
      </c>
      <c r="L379" t="str">
        <f t="shared" si="25"/>
        <v/>
      </c>
      <c r="M379" t="str">
        <f t="shared" si="26"/>
        <v/>
      </c>
      <c r="N379" t="str">
        <f t="shared" si="27"/>
        <v/>
      </c>
      <c r="O379" t="str">
        <f t="shared" si="28"/>
        <v/>
      </c>
    </row>
    <row r="380" spans="11:15" x14ac:dyDescent="0.3">
      <c r="K380" t="str">
        <f t="shared" si="29"/>
        <v/>
      </c>
      <c r="L380" t="str">
        <f t="shared" si="25"/>
        <v/>
      </c>
      <c r="M380" t="str">
        <f t="shared" si="26"/>
        <v/>
      </c>
      <c r="N380" t="str">
        <f t="shared" si="27"/>
        <v/>
      </c>
      <c r="O380" t="str">
        <f t="shared" si="28"/>
        <v/>
      </c>
    </row>
    <row r="381" spans="11:15" x14ac:dyDescent="0.3">
      <c r="K381" t="str">
        <f t="shared" si="29"/>
        <v/>
      </c>
      <c r="L381" t="str">
        <f t="shared" si="25"/>
        <v/>
      </c>
      <c r="M381" t="str">
        <f t="shared" si="26"/>
        <v/>
      </c>
      <c r="N381" t="str">
        <f t="shared" si="27"/>
        <v/>
      </c>
      <c r="O381" t="str">
        <f t="shared" si="28"/>
        <v/>
      </c>
    </row>
    <row r="382" spans="11:15" x14ac:dyDescent="0.3">
      <c r="K382" t="str">
        <f t="shared" si="29"/>
        <v/>
      </c>
      <c r="L382" t="str">
        <f t="shared" si="25"/>
        <v/>
      </c>
      <c r="M382" t="str">
        <f t="shared" si="26"/>
        <v/>
      </c>
      <c r="N382" t="str">
        <f t="shared" si="27"/>
        <v/>
      </c>
      <c r="O382" t="str">
        <f t="shared" si="28"/>
        <v/>
      </c>
    </row>
    <row r="383" spans="11:15" x14ac:dyDescent="0.3">
      <c r="K383" t="str">
        <f t="shared" si="29"/>
        <v/>
      </c>
      <c r="L383" t="str">
        <f t="shared" si="25"/>
        <v/>
      </c>
      <c r="M383" t="str">
        <f t="shared" si="26"/>
        <v/>
      </c>
      <c r="N383" t="str">
        <f t="shared" si="27"/>
        <v/>
      </c>
      <c r="O383" t="str">
        <f t="shared" si="28"/>
        <v/>
      </c>
    </row>
    <row r="384" spans="11:15" x14ac:dyDescent="0.3">
      <c r="K384" t="str">
        <f t="shared" si="29"/>
        <v/>
      </c>
      <c r="L384" t="str">
        <f t="shared" si="25"/>
        <v/>
      </c>
      <c r="M384" t="str">
        <f t="shared" si="26"/>
        <v/>
      </c>
      <c r="N384" t="str">
        <f t="shared" si="27"/>
        <v/>
      </c>
      <c r="O384" t="str">
        <f t="shared" si="28"/>
        <v/>
      </c>
    </row>
    <row r="385" spans="11:15" x14ac:dyDescent="0.3">
      <c r="K385" t="str">
        <f t="shared" si="29"/>
        <v/>
      </c>
      <c r="L385" t="str">
        <f t="shared" ref="L385:L448" si="30">IF(A385="","",IF(ISNUMBER(--LEFT(A385,FIND(" - ",A385&amp;" - ")-1)),LEFT(A385,FIND(" - ",A385&amp;" - ")-1),TRIM(A385)))</f>
        <v/>
      </c>
      <c r="M385" t="str">
        <f t="shared" ref="M385:M448" si="31">IF(OR(K385="",K385=A385,A385=""),"",K385&amp;"|"&amp;L385)</f>
        <v/>
      </c>
      <c r="N385" t="str">
        <f t="shared" ref="N385:N448" si="32">IF(M385="","",IF(ISNUMBER(B385),B385,IFERROR(_xlfn.NUMBERVALUE(B385,".",","),0)))</f>
        <v/>
      </c>
      <c r="O385" t="str">
        <f t="shared" ref="O385:O448" si="33">IF(M385="","",IF(ISNUMBER(C385),C385,IFERROR(_xlfn.NUMBERVALUE(C385,".",","),0)))</f>
        <v/>
      </c>
    </row>
    <row r="386" spans="11:15" x14ac:dyDescent="0.3">
      <c r="K386" t="str">
        <f t="shared" ref="K386:K449" si="34">IF(OR(LEFT(B386,9)="DOANH THU",LEFT(B386,8)="SỐ LƯỢNG"),A386,K385)</f>
        <v/>
      </c>
      <c r="L386" t="str">
        <f t="shared" si="30"/>
        <v/>
      </c>
      <c r="M386" t="str">
        <f t="shared" si="31"/>
        <v/>
      </c>
      <c r="N386" t="str">
        <f t="shared" si="32"/>
        <v/>
      </c>
      <c r="O386" t="str">
        <f t="shared" si="33"/>
        <v/>
      </c>
    </row>
    <row r="387" spans="11:15" x14ac:dyDescent="0.3">
      <c r="K387" t="str">
        <f t="shared" si="34"/>
        <v/>
      </c>
      <c r="L387" t="str">
        <f t="shared" si="30"/>
        <v/>
      </c>
      <c r="M387" t="str">
        <f t="shared" si="31"/>
        <v/>
      </c>
      <c r="N387" t="str">
        <f t="shared" si="32"/>
        <v/>
      </c>
      <c r="O387" t="str">
        <f t="shared" si="33"/>
        <v/>
      </c>
    </row>
    <row r="388" spans="11:15" x14ac:dyDescent="0.3">
      <c r="K388" t="str">
        <f t="shared" si="34"/>
        <v/>
      </c>
      <c r="L388" t="str">
        <f t="shared" si="30"/>
        <v/>
      </c>
      <c r="M388" t="str">
        <f t="shared" si="31"/>
        <v/>
      </c>
      <c r="N388" t="str">
        <f t="shared" si="32"/>
        <v/>
      </c>
      <c r="O388" t="str">
        <f t="shared" si="33"/>
        <v/>
      </c>
    </row>
    <row r="389" spans="11:15" x14ac:dyDescent="0.3">
      <c r="K389" t="str">
        <f t="shared" si="34"/>
        <v/>
      </c>
      <c r="L389" t="str">
        <f t="shared" si="30"/>
        <v/>
      </c>
      <c r="M389" t="str">
        <f t="shared" si="31"/>
        <v/>
      </c>
      <c r="N389" t="str">
        <f t="shared" si="32"/>
        <v/>
      </c>
      <c r="O389" t="str">
        <f t="shared" si="33"/>
        <v/>
      </c>
    </row>
    <row r="390" spans="11:15" x14ac:dyDescent="0.3">
      <c r="K390" t="str">
        <f t="shared" si="34"/>
        <v/>
      </c>
      <c r="L390" t="str">
        <f t="shared" si="30"/>
        <v/>
      </c>
      <c r="M390" t="str">
        <f t="shared" si="31"/>
        <v/>
      </c>
      <c r="N390" t="str">
        <f t="shared" si="32"/>
        <v/>
      </c>
      <c r="O390" t="str">
        <f t="shared" si="33"/>
        <v/>
      </c>
    </row>
    <row r="391" spans="11:15" x14ac:dyDescent="0.3">
      <c r="K391" t="str">
        <f t="shared" si="34"/>
        <v/>
      </c>
      <c r="L391" t="str">
        <f t="shared" si="30"/>
        <v/>
      </c>
      <c r="M391" t="str">
        <f t="shared" si="31"/>
        <v/>
      </c>
      <c r="N391" t="str">
        <f t="shared" si="32"/>
        <v/>
      </c>
      <c r="O391" t="str">
        <f t="shared" si="33"/>
        <v/>
      </c>
    </row>
    <row r="392" spans="11:15" x14ac:dyDescent="0.3">
      <c r="K392" t="str">
        <f t="shared" si="34"/>
        <v/>
      </c>
      <c r="L392" t="str">
        <f t="shared" si="30"/>
        <v/>
      </c>
      <c r="M392" t="str">
        <f t="shared" si="31"/>
        <v/>
      </c>
      <c r="N392" t="str">
        <f t="shared" si="32"/>
        <v/>
      </c>
      <c r="O392" t="str">
        <f t="shared" si="33"/>
        <v/>
      </c>
    </row>
    <row r="393" spans="11:15" x14ac:dyDescent="0.3">
      <c r="K393" t="str">
        <f t="shared" si="34"/>
        <v/>
      </c>
      <c r="L393" t="str">
        <f t="shared" si="30"/>
        <v/>
      </c>
      <c r="M393" t="str">
        <f t="shared" si="31"/>
        <v/>
      </c>
      <c r="N393" t="str">
        <f t="shared" si="32"/>
        <v/>
      </c>
      <c r="O393" t="str">
        <f t="shared" si="33"/>
        <v/>
      </c>
    </row>
    <row r="394" spans="11:15" x14ac:dyDescent="0.3">
      <c r="K394" t="str">
        <f t="shared" si="34"/>
        <v/>
      </c>
      <c r="L394" t="str">
        <f t="shared" si="30"/>
        <v/>
      </c>
      <c r="M394" t="str">
        <f t="shared" si="31"/>
        <v/>
      </c>
      <c r="N394" t="str">
        <f t="shared" si="32"/>
        <v/>
      </c>
      <c r="O394" t="str">
        <f t="shared" si="33"/>
        <v/>
      </c>
    </row>
    <row r="395" spans="11:15" x14ac:dyDescent="0.3">
      <c r="K395" t="str">
        <f t="shared" si="34"/>
        <v/>
      </c>
      <c r="L395" t="str">
        <f t="shared" si="30"/>
        <v/>
      </c>
      <c r="M395" t="str">
        <f t="shared" si="31"/>
        <v/>
      </c>
      <c r="N395" t="str">
        <f t="shared" si="32"/>
        <v/>
      </c>
      <c r="O395" t="str">
        <f t="shared" si="33"/>
        <v/>
      </c>
    </row>
    <row r="396" spans="11:15" x14ac:dyDescent="0.3">
      <c r="K396" t="str">
        <f t="shared" si="34"/>
        <v/>
      </c>
      <c r="L396" t="str">
        <f t="shared" si="30"/>
        <v/>
      </c>
      <c r="M396" t="str">
        <f t="shared" si="31"/>
        <v/>
      </c>
      <c r="N396" t="str">
        <f t="shared" si="32"/>
        <v/>
      </c>
      <c r="O396" t="str">
        <f t="shared" si="33"/>
        <v/>
      </c>
    </row>
    <row r="397" spans="11:15" x14ac:dyDescent="0.3">
      <c r="K397" t="str">
        <f t="shared" si="34"/>
        <v/>
      </c>
      <c r="L397" t="str">
        <f t="shared" si="30"/>
        <v/>
      </c>
      <c r="M397" t="str">
        <f t="shared" si="31"/>
        <v/>
      </c>
      <c r="N397" t="str">
        <f t="shared" si="32"/>
        <v/>
      </c>
      <c r="O397" t="str">
        <f t="shared" si="33"/>
        <v/>
      </c>
    </row>
    <row r="398" spans="11:15" x14ac:dyDescent="0.3">
      <c r="K398" t="str">
        <f t="shared" si="34"/>
        <v/>
      </c>
      <c r="L398" t="str">
        <f t="shared" si="30"/>
        <v/>
      </c>
      <c r="M398" t="str">
        <f t="shared" si="31"/>
        <v/>
      </c>
      <c r="N398" t="str">
        <f t="shared" si="32"/>
        <v/>
      </c>
      <c r="O398" t="str">
        <f t="shared" si="33"/>
        <v/>
      </c>
    </row>
    <row r="399" spans="11:15" x14ac:dyDescent="0.3">
      <c r="K399" t="str">
        <f t="shared" si="34"/>
        <v/>
      </c>
      <c r="L399" t="str">
        <f t="shared" si="30"/>
        <v/>
      </c>
      <c r="M399" t="str">
        <f t="shared" si="31"/>
        <v/>
      </c>
      <c r="N399" t="str">
        <f t="shared" si="32"/>
        <v/>
      </c>
      <c r="O399" t="str">
        <f t="shared" si="33"/>
        <v/>
      </c>
    </row>
    <row r="400" spans="11:15" x14ac:dyDescent="0.3">
      <c r="K400" t="str">
        <f t="shared" si="34"/>
        <v/>
      </c>
      <c r="L400" t="str">
        <f t="shared" si="30"/>
        <v/>
      </c>
      <c r="M400" t="str">
        <f t="shared" si="31"/>
        <v/>
      </c>
      <c r="N400" t="str">
        <f t="shared" si="32"/>
        <v/>
      </c>
      <c r="O400" t="str">
        <f t="shared" si="33"/>
        <v/>
      </c>
    </row>
    <row r="401" spans="11:15" x14ac:dyDescent="0.3">
      <c r="K401" t="str">
        <f t="shared" si="34"/>
        <v/>
      </c>
      <c r="L401" t="str">
        <f t="shared" si="30"/>
        <v/>
      </c>
      <c r="M401" t="str">
        <f t="shared" si="31"/>
        <v/>
      </c>
      <c r="N401" t="str">
        <f t="shared" si="32"/>
        <v/>
      </c>
      <c r="O401" t="str">
        <f t="shared" si="33"/>
        <v/>
      </c>
    </row>
    <row r="402" spans="11:15" x14ac:dyDescent="0.3">
      <c r="K402" t="str">
        <f t="shared" si="34"/>
        <v/>
      </c>
      <c r="L402" t="str">
        <f t="shared" si="30"/>
        <v/>
      </c>
      <c r="M402" t="str">
        <f t="shared" si="31"/>
        <v/>
      </c>
      <c r="N402" t="str">
        <f t="shared" si="32"/>
        <v/>
      </c>
      <c r="O402" t="str">
        <f t="shared" si="33"/>
        <v/>
      </c>
    </row>
    <row r="403" spans="11:15" x14ac:dyDescent="0.3">
      <c r="K403" t="str">
        <f t="shared" si="34"/>
        <v/>
      </c>
      <c r="L403" t="str">
        <f t="shared" si="30"/>
        <v/>
      </c>
      <c r="M403" t="str">
        <f t="shared" si="31"/>
        <v/>
      </c>
      <c r="N403" t="str">
        <f t="shared" si="32"/>
        <v/>
      </c>
      <c r="O403" t="str">
        <f t="shared" si="33"/>
        <v/>
      </c>
    </row>
    <row r="404" spans="11:15" x14ac:dyDescent="0.3">
      <c r="K404" t="str">
        <f t="shared" si="34"/>
        <v/>
      </c>
      <c r="L404" t="str">
        <f t="shared" si="30"/>
        <v/>
      </c>
      <c r="M404" t="str">
        <f t="shared" si="31"/>
        <v/>
      </c>
      <c r="N404" t="str">
        <f t="shared" si="32"/>
        <v/>
      </c>
      <c r="O404" t="str">
        <f t="shared" si="33"/>
        <v/>
      </c>
    </row>
    <row r="405" spans="11:15" x14ac:dyDescent="0.3">
      <c r="K405" t="str">
        <f t="shared" si="34"/>
        <v/>
      </c>
      <c r="L405" t="str">
        <f t="shared" si="30"/>
        <v/>
      </c>
      <c r="M405" t="str">
        <f t="shared" si="31"/>
        <v/>
      </c>
      <c r="N405" t="str">
        <f t="shared" si="32"/>
        <v/>
      </c>
      <c r="O405" t="str">
        <f t="shared" si="33"/>
        <v/>
      </c>
    </row>
    <row r="406" spans="11:15" x14ac:dyDescent="0.3">
      <c r="K406" t="str">
        <f t="shared" si="34"/>
        <v/>
      </c>
      <c r="L406" t="str">
        <f t="shared" si="30"/>
        <v/>
      </c>
      <c r="M406" t="str">
        <f t="shared" si="31"/>
        <v/>
      </c>
      <c r="N406" t="str">
        <f t="shared" si="32"/>
        <v/>
      </c>
      <c r="O406" t="str">
        <f t="shared" si="33"/>
        <v/>
      </c>
    </row>
    <row r="407" spans="11:15" x14ac:dyDescent="0.3">
      <c r="K407" t="str">
        <f t="shared" si="34"/>
        <v/>
      </c>
      <c r="L407" t="str">
        <f t="shared" si="30"/>
        <v/>
      </c>
      <c r="M407" t="str">
        <f t="shared" si="31"/>
        <v/>
      </c>
      <c r="N407" t="str">
        <f t="shared" si="32"/>
        <v/>
      </c>
      <c r="O407" t="str">
        <f t="shared" si="33"/>
        <v/>
      </c>
    </row>
    <row r="408" spans="11:15" x14ac:dyDescent="0.3">
      <c r="K408" t="str">
        <f t="shared" si="34"/>
        <v/>
      </c>
      <c r="L408" t="str">
        <f t="shared" si="30"/>
        <v/>
      </c>
      <c r="M408" t="str">
        <f t="shared" si="31"/>
        <v/>
      </c>
      <c r="N408" t="str">
        <f t="shared" si="32"/>
        <v/>
      </c>
      <c r="O408" t="str">
        <f t="shared" si="33"/>
        <v/>
      </c>
    </row>
    <row r="409" spans="11:15" x14ac:dyDescent="0.3">
      <c r="K409" t="str">
        <f t="shared" si="34"/>
        <v/>
      </c>
      <c r="L409" t="str">
        <f t="shared" si="30"/>
        <v/>
      </c>
      <c r="M409" t="str">
        <f t="shared" si="31"/>
        <v/>
      </c>
      <c r="N409" t="str">
        <f t="shared" si="32"/>
        <v/>
      </c>
      <c r="O409" t="str">
        <f t="shared" si="33"/>
        <v/>
      </c>
    </row>
    <row r="410" spans="11:15" x14ac:dyDescent="0.3">
      <c r="K410" t="str">
        <f t="shared" si="34"/>
        <v/>
      </c>
      <c r="L410" t="str">
        <f t="shared" si="30"/>
        <v/>
      </c>
      <c r="M410" t="str">
        <f t="shared" si="31"/>
        <v/>
      </c>
      <c r="N410" t="str">
        <f t="shared" si="32"/>
        <v/>
      </c>
      <c r="O410" t="str">
        <f t="shared" si="33"/>
        <v/>
      </c>
    </row>
    <row r="411" spans="11:15" x14ac:dyDescent="0.3">
      <c r="K411" t="str">
        <f t="shared" si="34"/>
        <v/>
      </c>
      <c r="L411" t="str">
        <f t="shared" si="30"/>
        <v/>
      </c>
      <c r="M411" t="str">
        <f t="shared" si="31"/>
        <v/>
      </c>
      <c r="N411" t="str">
        <f t="shared" si="32"/>
        <v/>
      </c>
      <c r="O411" t="str">
        <f t="shared" si="33"/>
        <v/>
      </c>
    </row>
    <row r="412" spans="11:15" x14ac:dyDescent="0.3">
      <c r="K412" t="str">
        <f t="shared" si="34"/>
        <v/>
      </c>
      <c r="L412" t="str">
        <f t="shared" si="30"/>
        <v/>
      </c>
      <c r="M412" t="str">
        <f t="shared" si="31"/>
        <v/>
      </c>
      <c r="N412" t="str">
        <f t="shared" si="32"/>
        <v/>
      </c>
      <c r="O412" t="str">
        <f t="shared" si="33"/>
        <v/>
      </c>
    </row>
    <row r="413" spans="11:15" x14ac:dyDescent="0.3">
      <c r="K413" t="str">
        <f t="shared" si="34"/>
        <v/>
      </c>
      <c r="L413" t="str">
        <f t="shared" si="30"/>
        <v/>
      </c>
      <c r="M413" t="str">
        <f t="shared" si="31"/>
        <v/>
      </c>
      <c r="N413" t="str">
        <f t="shared" si="32"/>
        <v/>
      </c>
      <c r="O413" t="str">
        <f t="shared" si="33"/>
        <v/>
      </c>
    </row>
    <row r="414" spans="11:15" x14ac:dyDescent="0.3">
      <c r="K414" t="str">
        <f t="shared" si="34"/>
        <v/>
      </c>
      <c r="L414" t="str">
        <f t="shared" si="30"/>
        <v/>
      </c>
      <c r="M414" t="str">
        <f t="shared" si="31"/>
        <v/>
      </c>
      <c r="N414" t="str">
        <f t="shared" si="32"/>
        <v/>
      </c>
      <c r="O414" t="str">
        <f t="shared" si="33"/>
        <v/>
      </c>
    </row>
    <row r="415" spans="11:15" x14ac:dyDescent="0.3">
      <c r="K415" t="str">
        <f t="shared" si="34"/>
        <v/>
      </c>
      <c r="L415" t="str">
        <f t="shared" si="30"/>
        <v/>
      </c>
      <c r="M415" t="str">
        <f t="shared" si="31"/>
        <v/>
      </c>
      <c r="N415" t="str">
        <f t="shared" si="32"/>
        <v/>
      </c>
      <c r="O415" t="str">
        <f t="shared" si="33"/>
        <v/>
      </c>
    </row>
    <row r="416" spans="11:15" x14ac:dyDescent="0.3">
      <c r="K416" t="str">
        <f t="shared" si="34"/>
        <v/>
      </c>
      <c r="L416" t="str">
        <f t="shared" si="30"/>
        <v/>
      </c>
      <c r="M416" t="str">
        <f t="shared" si="31"/>
        <v/>
      </c>
      <c r="N416" t="str">
        <f t="shared" si="32"/>
        <v/>
      </c>
      <c r="O416" t="str">
        <f t="shared" si="33"/>
        <v/>
      </c>
    </row>
    <row r="417" spans="11:15" x14ac:dyDescent="0.3">
      <c r="K417" t="str">
        <f t="shared" si="34"/>
        <v/>
      </c>
      <c r="L417" t="str">
        <f t="shared" si="30"/>
        <v/>
      </c>
      <c r="M417" t="str">
        <f t="shared" si="31"/>
        <v/>
      </c>
      <c r="N417" t="str">
        <f t="shared" si="32"/>
        <v/>
      </c>
      <c r="O417" t="str">
        <f t="shared" si="33"/>
        <v/>
      </c>
    </row>
    <row r="418" spans="11:15" x14ac:dyDescent="0.3">
      <c r="K418" t="str">
        <f t="shared" si="34"/>
        <v/>
      </c>
      <c r="L418" t="str">
        <f t="shared" si="30"/>
        <v/>
      </c>
      <c r="M418" t="str">
        <f t="shared" si="31"/>
        <v/>
      </c>
      <c r="N418" t="str">
        <f t="shared" si="32"/>
        <v/>
      </c>
      <c r="O418" t="str">
        <f t="shared" si="33"/>
        <v/>
      </c>
    </row>
    <row r="419" spans="11:15" x14ac:dyDescent="0.3">
      <c r="K419" t="str">
        <f t="shared" si="34"/>
        <v/>
      </c>
      <c r="L419" t="str">
        <f t="shared" si="30"/>
        <v/>
      </c>
      <c r="M419" t="str">
        <f t="shared" si="31"/>
        <v/>
      </c>
      <c r="N419" t="str">
        <f t="shared" si="32"/>
        <v/>
      </c>
      <c r="O419" t="str">
        <f t="shared" si="33"/>
        <v/>
      </c>
    </row>
    <row r="420" spans="11:15" x14ac:dyDescent="0.3">
      <c r="K420" t="str">
        <f t="shared" si="34"/>
        <v/>
      </c>
      <c r="L420" t="str">
        <f t="shared" si="30"/>
        <v/>
      </c>
      <c r="M420" t="str">
        <f t="shared" si="31"/>
        <v/>
      </c>
      <c r="N420" t="str">
        <f t="shared" si="32"/>
        <v/>
      </c>
      <c r="O420" t="str">
        <f t="shared" si="33"/>
        <v/>
      </c>
    </row>
    <row r="421" spans="11:15" x14ac:dyDescent="0.3">
      <c r="K421" t="str">
        <f t="shared" si="34"/>
        <v/>
      </c>
      <c r="L421" t="str">
        <f t="shared" si="30"/>
        <v/>
      </c>
      <c r="M421" t="str">
        <f t="shared" si="31"/>
        <v/>
      </c>
      <c r="N421" t="str">
        <f t="shared" si="32"/>
        <v/>
      </c>
      <c r="O421" t="str">
        <f t="shared" si="33"/>
        <v/>
      </c>
    </row>
    <row r="422" spans="11:15" x14ac:dyDescent="0.3">
      <c r="K422" t="str">
        <f t="shared" si="34"/>
        <v/>
      </c>
      <c r="L422" t="str">
        <f t="shared" si="30"/>
        <v/>
      </c>
      <c r="M422" t="str">
        <f t="shared" si="31"/>
        <v/>
      </c>
      <c r="N422" t="str">
        <f t="shared" si="32"/>
        <v/>
      </c>
      <c r="O422" t="str">
        <f t="shared" si="33"/>
        <v/>
      </c>
    </row>
    <row r="423" spans="11:15" x14ac:dyDescent="0.3">
      <c r="K423" t="str">
        <f t="shared" si="34"/>
        <v/>
      </c>
      <c r="L423" t="str">
        <f t="shared" si="30"/>
        <v/>
      </c>
      <c r="M423" t="str">
        <f t="shared" si="31"/>
        <v/>
      </c>
      <c r="N423" t="str">
        <f t="shared" si="32"/>
        <v/>
      </c>
      <c r="O423" t="str">
        <f t="shared" si="33"/>
        <v/>
      </c>
    </row>
    <row r="424" spans="11:15" x14ac:dyDescent="0.3">
      <c r="K424" t="str">
        <f t="shared" si="34"/>
        <v/>
      </c>
      <c r="L424" t="str">
        <f t="shared" si="30"/>
        <v/>
      </c>
      <c r="M424" t="str">
        <f t="shared" si="31"/>
        <v/>
      </c>
      <c r="N424" t="str">
        <f t="shared" si="32"/>
        <v/>
      </c>
      <c r="O424" t="str">
        <f t="shared" si="33"/>
        <v/>
      </c>
    </row>
    <row r="425" spans="11:15" x14ac:dyDescent="0.3">
      <c r="K425" t="str">
        <f t="shared" si="34"/>
        <v/>
      </c>
      <c r="L425" t="str">
        <f t="shared" si="30"/>
        <v/>
      </c>
      <c r="M425" t="str">
        <f t="shared" si="31"/>
        <v/>
      </c>
      <c r="N425" t="str">
        <f t="shared" si="32"/>
        <v/>
      </c>
      <c r="O425" t="str">
        <f t="shared" si="33"/>
        <v/>
      </c>
    </row>
    <row r="426" spans="11:15" x14ac:dyDescent="0.3">
      <c r="K426" t="str">
        <f t="shared" si="34"/>
        <v/>
      </c>
      <c r="L426" t="str">
        <f t="shared" si="30"/>
        <v/>
      </c>
      <c r="M426" t="str">
        <f t="shared" si="31"/>
        <v/>
      </c>
      <c r="N426" t="str">
        <f t="shared" si="32"/>
        <v/>
      </c>
      <c r="O426" t="str">
        <f t="shared" si="33"/>
        <v/>
      </c>
    </row>
    <row r="427" spans="11:15" x14ac:dyDescent="0.3">
      <c r="K427" t="str">
        <f t="shared" si="34"/>
        <v/>
      </c>
      <c r="L427" t="str">
        <f t="shared" si="30"/>
        <v/>
      </c>
      <c r="M427" t="str">
        <f t="shared" si="31"/>
        <v/>
      </c>
      <c r="N427" t="str">
        <f t="shared" si="32"/>
        <v/>
      </c>
      <c r="O427" t="str">
        <f t="shared" si="33"/>
        <v/>
      </c>
    </row>
    <row r="428" spans="11:15" x14ac:dyDescent="0.3">
      <c r="K428" t="str">
        <f t="shared" si="34"/>
        <v/>
      </c>
      <c r="L428" t="str">
        <f t="shared" si="30"/>
        <v/>
      </c>
      <c r="M428" t="str">
        <f t="shared" si="31"/>
        <v/>
      </c>
      <c r="N428" t="str">
        <f t="shared" si="32"/>
        <v/>
      </c>
      <c r="O428" t="str">
        <f t="shared" si="33"/>
        <v/>
      </c>
    </row>
    <row r="429" spans="11:15" x14ac:dyDescent="0.3">
      <c r="K429" t="str">
        <f t="shared" si="34"/>
        <v/>
      </c>
      <c r="L429" t="str">
        <f t="shared" si="30"/>
        <v/>
      </c>
      <c r="M429" t="str">
        <f t="shared" si="31"/>
        <v/>
      </c>
      <c r="N429" t="str">
        <f t="shared" si="32"/>
        <v/>
      </c>
      <c r="O429" t="str">
        <f t="shared" si="33"/>
        <v/>
      </c>
    </row>
    <row r="430" spans="11:15" x14ac:dyDescent="0.3">
      <c r="K430" t="str">
        <f t="shared" si="34"/>
        <v/>
      </c>
      <c r="L430" t="str">
        <f t="shared" si="30"/>
        <v/>
      </c>
      <c r="M430" t="str">
        <f t="shared" si="31"/>
        <v/>
      </c>
      <c r="N430" t="str">
        <f t="shared" si="32"/>
        <v/>
      </c>
      <c r="O430" t="str">
        <f t="shared" si="33"/>
        <v/>
      </c>
    </row>
    <row r="431" spans="11:15" x14ac:dyDescent="0.3">
      <c r="K431" t="str">
        <f t="shared" si="34"/>
        <v/>
      </c>
      <c r="L431" t="str">
        <f t="shared" si="30"/>
        <v/>
      </c>
      <c r="M431" t="str">
        <f t="shared" si="31"/>
        <v/>
      </c>
      <c r="N431" t="str">
        <f t="shared" si="32"/>
        <v/>
      </c>
      <c r="O431" t="str">
        <f t="shared" si="33"/>
        <v/>
      </c>
    </row>
    <row r="432" spans="11:15" x14ac:dyDescent="0.3">
      <c r="K432" t="str">
        <f t="shared" si="34"/>
        <v/>
      </c>
      <c r="L432" t="str">
        <f t="shared" si="30"/>
        <v/>
      </c>
      <c r="M432" t="str">
        <f t="shared" si="31"/>
        <v/>
      </c>
      <c r="N432" t="str">
        <f t="shared" si="32"/>
        <v/>
      </c>
      <c r="O432" t="str">
        <f t="shared" si="33"/>
        <v/>
      </c>
    </row>
    <row r="433" spans="11:15" x14ac:dyDescent="0.3">
      <c r="K433" t="str">
        <f t="shared" si="34"/>
        <v/>
      </c>
      <c r="L433" t="str">
        <f t="shared" si="30"/>
        <v/>
      </c>
      <c r="M433" t="str">
        <f t="shared" si="31"/>
        <v/>
      </c>
      <c r="N433" t="str">
        <f t="shared" si="32"/>
        <v/>
      </c>
      <c r="O433" t="str">
        <f t="shared" si="33"/>
        <v/>
      </c>
    </row>
    <row r="434" spans="11:15" x14ac:dyDescent="0.3">
      <c r="K434" t="str">
        <f t="shared" si="34"/>
        <v/>
      </c>
      <c r="L434" t="str">
        <f t="shared" si="30"/>
        <v/>
      </c>
      <c r="M434" t="str">
        <f t="shared" si="31"/>
        <v/>
      </c>
      <c r="N434" t="str">
        <f t="shared" si="32"/>
        <v/>
      </c>
      <c r="O434" t="str">
        <f t="shared" si="33"/>
        <v/>
      </c>
    </row>
    <row r="435" spans="11:15" x14ac:dyDescent="0.3">
      <c r="K435" t="str">
        <f t="shared" si="34"/>
        <v/>
      </c>
      <c r="L435" t="str">
        <f t="shared" si="30"/>
        <v/>
      </c>
      <c r="M435" t="str">
        <f t="shared" si="31"/>
        <v/>
      </c>
      <c r="N435" t="str">
        <f t="shared" si="32"/>
        <v/>
      </c>
      <c r="O435" t="str">
        <f t="shared" si="33"/>
        <v/>
      </c>
    </row>
    <row r="436" spans="11:15" x14ac:dyDescent="0.3">
      <c r="K436" t="str">
        <f t="shared" si="34"/>
        <v/>
      </c>
      <c r="L436" t="str">
        <f t="shared" si="30"/>
        <v/>
      </c>
      <c r="M436" t="str">
        <f t="shared" si="31"/>
        <v/>
      </c>
      <c r="N436" t="str">
        <f t="shared" si="32"/>
        <v/>
      </c>
      <c r="O436" t="str">
        <f t="shared" si="33"/>
        <v/>
      </c>
    </row>
    <row r="437" spans="11:15" x14ac:dyDescent="0.3">
      <c r="K437" t="str">
        <f t="shared" si="34"/>
        <v/>
      </c>
      <c r="L437" t="str">
        <f t="shared" si="30"/>
        <v/>
      </c>
      <c r="M437" t="str">
        <f t="shared" si="31"/>
        <v/>
      </c>
      <c r="N437" t="str">
        <f t="shared" si="32"/>
        <v/>
      </c>
      <c r="O437" t="str">
        <f t="shared" si="33"/>
        <v/>
      </c>
    </row>
    <row r="438" spans="11:15" x14ac:dyDescent="0.3">
      <c r="K438" t="str">
        <f t="shared" si="34"/>
        <v/>
      </c>
      <c r="L438" t="str">
        <f t="shared" si="30"/>
        <v/>
      </c>
      <c r="M438" t="str">
        <f t="shared" si="31"/>
        <v/>
      </c>
      <c r="N438" t="str">
        <f t="shared" si="32"/>
        <v/>
      </c>
      <c r="O438" t="str">
        <f t="shared" si="33"/>
        <v/>
      </c>
    </row>
    <row r="439" spans="11:15" x14ac:dyDescent="0.3">
      <c r="K439" t="str">
        <f t="shared" si="34"/>
        <v/>
      </c>
      <c r="L439" t="str">
        <f t="shared" si="30"/>
        <v/>
      </c>
      <c r="M439" t="str">
        <f t="shared" si="31"/>
        <v/>
      </c>
      <c r="N439" t="str">
        <f t="shared" si="32"/>
        <v/>
      </c>
      <c r="O439" t="str">
        <f t="shared" si="33"/>
        <v/>
      </c>
    </row>
    <row r="440" spans="11:15" x14ac:dyDescent="0.3">
      <c r="K440" t="str">
        <f t="shared" si="34"/>
        <v/>
      </c>
      <c r="L440" t="str">
        <f t="shared" si="30"/>
        <v/>
      </c>
      <c r="M440" t="str">
        <f t="shared" si="31"/>
        <v/>
      </c>
      <c r="N440" t="str">
        <f t="shared" si="32"/>
        <v/>
      </c>
      <c r="O440" t="str">
        <f t="shared" si="33"/>
        <v/>
      </c>
    </row>
    <row r="441" spans="11:15" x14ac:dyDescent="0.3">
      <c r="K441" t="str">
        <f t="shared" si="34"/>
        <v/>
      </c>
      <c r="L441" t="str">
        <f t="shared" si="30"/>
        <v/>
      </c>
      <c r="M441" t="str">
        <f t="shared" si="31"/>
        <v/>
      </c>
      <c r="N441" t="str">
        <f t="shared" si="32"/>
        <v/>
      </c>
      <c r="O441" t="str">
        <f t="shared" si="33"/>
        <v/>
      </c>
    </row>
    <row r="442" spans="11:15" x14ac:dyDescent="0.3">
      <c r="K442" t="str">
        <f t="shared" si="34"/>
        <v/>
      </c>
      <c r="L442" t="str">
        <f t="shared" si="30"/>
        <v/>
      </c>
      <c r="M442" t="str">
        <f t="shared" si="31"/>
        <v/>
      </c>
      <c r="N442" t="str">
        <f t="shared" si="32"/>
        <v/>
      </c>
      <c r="O442" t="str">
        <f t="shared" si="33"/>
        <v/>
      </c>
    </row>
    <row r="443" spans="11:15" x14ac:dyDescent="0.3">
      <c r="K443" t="str">
        <f t="shared" si="34"/>
        <v/>
      </c>
      <c r="L443" t="str">
        <f t="shared" si="30"/>
        <v/>
      </c>
      <c r="M443" t="str">
        <f t="shared" si="31"/>
        <v/>
      </c>
      <c r="N443" t="str">
        <f t="shared" si="32"/>
        <v/>
      </c>
      <c r="O443" t="str">
        <f t="shared" si="33"/>
        <v/>
      </c>
    </row>
    <row r="444" spans="11:15" x14ac:dyDescent="0.3">
      <c r="K444" t="str">
        <f t="shared" si="34"/>
        <v/>
      </c>
      <c r="L444" t="str">
        <f t="shared" si="30"/>
        <v/>
      </c>
      <c r="M444" t="str">
        <f t="shared" si="31"/>
        <v/>
      </c>
      <c r="N444" t="str">
        <f t="shared" si="32"/>
        <v/>
      </c>
      <c r="O444" t="str">
        <f t="shared" si="33"/>
        <v/>
      </c>
    </row>
    <row r="445" spans="11:15" x14ac:dyDescent="0.3">
      <c r="K445" t="str">
        <f t="shared" si="34"/>
        <v/>
      </c>
      <c r="L445" t="str">
        <f t="shared" si="30"/>
        <v/>
      </c>
      <c r="M445" t="str">
        <f t="shared" si="31"/>
        <v/>
      </c>
      <c r="N445" t="str">
        <f t="shared" si="32"/>
        <v/>
      </c>
      <c r="O445" t="str">
        <f t="shared" si="33"/>
        <v/>
      </c>
    </row>
    <row r="446" spans="11:15" x14ac:dyDescent="0.3">
      <c r="K446" t="str">
        <f t="shared" si="34"/>
        <v/>
      </c>
      <c r="L446" t="str">
        <f t="shared" si="30"/>
        <v/>
      </c>
      <c r="M446" t="str">
        <f t="shared" si="31"/>
        <v/>
      </c>
      <c r="N446" t="str">
        <f t="shared" si="32"/>
        <v/>
      </c>
      <c r="O446" t="str">
        <f t="shared" si="33"/>
        <v/>
      </c>
    </row>
    <row r="447" spans="11:15" x14ac:dyDescent="0.3">
      <c r="K447" t="str">
        <f t="shared" si="34"/>
        <v/>
      </c>
      <c r="L447" t="str">
        <f t="shared" si="30"/>
        <v/>
      </c>
      <c r="M447" t="str">
        <f t="shared" si="31"/>
        <v/>
      </c>
      <c r="N447" t="str">
        <f t="shared" si="32"/>
        <v/>
      </c>
      <c r="O447" t="str">
        <f t="shared" si="33"/>
        <v/>
      </c>
    </row>
    <row r="448" spans="11:15" x14ac:dyDescent="0.3">
      <c r="K448" t="str">
        <f t="shared" si="34"/>
        <v/>
      </c>
      <c r="L448" t="str">
        <f t="shared" si="30"/>
        <v/>
      </c>
      <c r="M448" t="str">
        <f t="shared" si="31"/>
        <v/>
      </c>
      <c r="N448" t="str">
        <f t="shared" si="32"/>
        <v/>
      </c>
      <c r="O448" t="str">
        <f t="shared" si="33"/>
        <v/>
      </c>
    </row>
    <row r="449" spans="11:15" x14ac:dyDescent="0.3">
      <c r="K449" t="str">
        <f t="shared" si="34"/>
        <v/>
      </c>
      <c r="L449" t="str">
        <f t="shared" ref="L449:L512" si="35">IF(A449="","",IF(ISNUMBER(--LEFT(A449,FIND(" - ",A449&amp;" - ")-1)),LEFT(A449,FIND(" - ",A449&amp;" - ")-1),TRIM(A449)))</f>
        <v/>
      </c>
      <c r="M449" t="str">
        <f t="shared" ref="M449:M512" si="36">IF(OR(K449="",K449=A449,A449=""),"",K449&amp;"|"&amp;L449)</f>
        <v/>
      </c>
      <c r="N449" t="str">
        <f t="shared" ref="N449:N512" si="37">IF(M449="","",IF(ISNUMBER(B449),B449,IFERROR(_xlfn.NUMBERVALUE(B449,".",","),0)))</f>
        <v/>
      </c>
      <c r="O449" t="str">
        <f t="shared" ref="O449:O512" si="38">IF(M449="","",IF(ISNUMBER(C449),C449,IFERROR(_xlfn.NUMBERVALUE(C449,".",","),0)))</f>
        <v/>
      </c>
    </row>
    <row r="450" spans="11:15" x14ac:dyDescent="0.3">
      <c r="K450" t="str">
        <f t="shared" ref="K450:K513" si="39">IF(OR(LEFT(B450,9)="DOANH THU",LEFT(B450,8)="SỐ LƯỢNG"),A450,K449)</f>
        <v/>
      </c>
      <c r="L450" t="str">
        <f t="shared" si="35"/>
        <v/>
      </c>
      <c r="M450" t="str">
        <f t="shared" si="36"/>
        <v/>
      </c>
      <c r="N450" t="str">
        <f t="shared" si="37"/>
        <v/>
      </c>
      <c r="O450" t="str">
        <f t="shared" si="38"/>
        <v/>
      </c>
    </row>
    <row r="451" spans="11:15" x14ac:dyDescent="0.3">
      <c r="K451" t="str">
        <f t="shared" si="39"/>
        <v/>
      </c>
      <c r="L451" t="str">
        <f t="shared" si="35"/>
        <v/>
      </c>
      <c r="M451" t="str">
        <f t="shared" si="36"/>
        <v/>
      </c>
      <c r="N451" t="str">
        <f t="shared" si="37"/>
        <v/>
      </c>
      <c r="O451" t="str">
        <f t="shared" si="38"/>
        <v/>
      </c>
    </row>
    <row r="452" spans="11:15" x14ac:dyDescent="0.3">
      <c r="K452" t="str">
        <f t="shared" si="39"/>
        <v/>
      </c>
      <c r="L452" t="str">
        <f t="shared" si="35"/>
        <v/>
      </c>
      <c r="M452" t="str">
        <f t="shared" si="36"/>
        <v/>
      </c>
      <c r="N452" t="str">
        <f t="shared" si="37"/>
        <v/>
      </c>
      <c r="O452" t="str">
        <f t="shared" si="38"/>
        <v/>
      </c>
    </row>
    <row r="453" spans="11:15" x14ac:dyDescent="0.3">
      <c r="K453" t="str">
        <f t="shared" si="39"/>
        <v/>
      </c>
      <c r="L453" t="str">
        <f t="shared" si="35"/>
        <v/>
      </c>
      <c r="M453" t="str">
        <f t="shared" si="36"/>
        <v/>
      </c>
      <c r="N453" t="str">
        <f t="shared" si="37"/>
        <v/>
      </c>
      <c r="O453" t="str">
        <f t="shared" si="38"/>
        <v/>
      </c>
    </row>
    <row r="454" spans="11:15" x14ac:dyDescent="0.3">
      <c r="K454" t="str">
        <f t="shared" si="39"/>
        <v/>
      </c>
      <c r="L454" t="str">
        <f t="shared" si="35"/>
        <v/>
      </c>
      <c r="M454" t="str">
        <f t="shared" si="36"/>
        <v/>
      </c>
      <c r="N454" t="str">
        <f t="shared" si="37"/>
        <v/>
      </c>
      <c r="O454" t="str">
        <f t="shared" si="38"/>
        <v/>
      </c>
    </row>
    <row r="455" spans="11:15" x14ac:dyDescent="0.3">
      <c r="K455" t="str">
        <f t="shared" si="39"/>
        <v/>
      </c>
      <c r="L455" t="str">
        <f t="shared" si="35"/>
        <v/>
      </c>
      <c r="M455" t="str">
        <f t="shared" si="36"/>
        <v/>
      </c>
      <c r="N455" t="str">
        <f t="shared" si="37"/>
        <v/>
      </c>
      <c r="O455" t="str">
        <f t="shared" si="38"/>
        <v/>
      </c>
    </row>
    <row r="456" spans="11:15" x14ac:dyDescent="0.3">
      <c r="K456" t="str">
        <f t="shared" si="39"/>
        <v/>
      </c>
      <c r="L456" t="str">
        <f t="shared" si="35"/>
        <v/>
      </c>
      <c r="M456" t="str">
        <f t="shared" si="36"/>
        <v/>
      </c>
      <c r="N456" t="str">
        <f t="shared" si="37"/>
        <v/>
      </c>
      <c r="O456" t="str">
        <f t="shared" si="38"/>
        <v/>
      </c>
    </row>
    <row r="457" spans="11:15" x14ac:dyDescent="0.3">
      <c r="K457" t="str">
        <f t="shared" si="39"/>
        <v/>
      </c>
      <c r="L457" t="str">
        <f t="shared" si="35"/>
        <v/>
      </c>
      <c r="M457" t="str">
        <f t="shared" si="36"/>
        <v/>
      </c>
      <c r="N457" t="str">
        <f t="shared" si="37"/>
        <v/>
      </c>
      <c r="O457" t="str">
        <f t="shared" si="38"/>
        <v/>
      </c>
    </row>
    <row r="458" spans="11:15" x14ac:dyDescent="0.3">
      <c r="K458" t="str">
        <f t="shared" si="39"/>
        <v/>
      </c>
      <c r="L458" t="str">
        <f t="shared" si="35"/>
        <v/>
      </c>
      <c r="M458" t="str">
        <f t="shared" si="36"/>
        <v/>
      </c>
      <c r="N458" t="str">
        <f t="shared" si="37"/>
        <v/>
      </c>
      <c r="O458" t="str">
        <f t="shared" si="38"/>
        <v/>
      </c>
    </row>
    <row r="459" spans="11:15" x14ac:dyDescent="0.3">
      <c r="K459" t="str">
        <f t="shared" si="39"/>
        <v/>
      </c>
      <c r="L459" t="str">
        <f t="shared" si="35"/>
        <v/>
      </c>
      <c r="M459" t="str">
        <f t="shared" si="36"/>
        <v/>
      </c>
      <c r="N459" t="str">
        <f t="shared" si="37"/>
        <v/>
      </c>
      <c r="O459" t="str">
        <f t="shared" si="38"/>
        <v/>
      </c>
    </row>
    <row r="460" spans="11:15" x14ac:dyDescent="0.3">
      <c r="K460" t="str">
        <f t="shared" si="39"/>
        <v/>
      </c>
      <c r="L460" t="str">
        <f t="shared" si="35"/>
        <v/>
      </c>
      <c r="M460" t="str">
        <f t="shared" si="36"/>
        <v/>
      </c>
      <c r="N460" t="str">
        <f t="shared" si="37"/>
        <v/>
      </c>
      <c r="O460" t="str">
        <f t="shared" si="38"/>
        <v/>
      </c>
    </row>
    <row r="461" spans="11:15" x14ac:dyDescent="0.3">
      <c r="K461" t="str">
        <f t="shared" si="39"/>
        <v/>
      </c>
      <c r="L461" t="str">
        <f t="shared" si="35"/>
        <v/>
      </c>
      <c r="M461" t="str">
        <f t="shared" si="36"/>
        <v/>
      </c>
      <c r="N461" t="str">
        <f t="shared" si="37"/>
        <v/>
      </c>
      <c r="O461" t="str">
        <f t="shared" si="38"/>
        <v/>
      </c>
    </row>
    <row r="462" spans="11:15" x14ac:dyDescent="0.3">
      <c r="K462" t="str">
        <f t="shared" si="39"/>
        <v/>
      </c>
      <c r="L462" t="str">
        <f t="shared" si="35"/>
        <v/>
      </c>
      <c r="M462" t="str">
        <f t="shared" si="36"/>
        <v/>
      </c>
      <c r="N462" t="str">
        <f t="shared" si="37"/>
        <v/>
      </c>
      <c r="O462" t="str">
        <f t="shared" si="38"/>
        <v/>
      </c>
    </row>
    <row r="463" spans="11:15" x14ac:dyDescent="0.3">
      <c r="K463" t="str">
        <f t="shared" si="39"/>
        <v/>
      </c>
      <c r="L463" t="str">
        <f t="shared" si="35"/>
        <v/>
      </c>
      <c r="M463" t="str">
        <f t="shared" si="36"/>
        <v/>
      </c>
      <c r="N463" t="str">
        <f t="shared" si="37"/>
        <v/>
      </c>
      <c r="O463" t="str">
        <f t="shared" si="38"/>
        <v/>
      </c>
    </row>
    <row r="464" spans="11:15" x14ac:dyDescent="0.3">
      <c r="K464" t="str">
        <f t="shared" si="39"/>
        <v/>
      </c>
      <c r="L464" t="str">
        <f t="shared" si="35"/>
        <v/>
      </c>
      <c r="M464" t="str">
        <f t="shared" si="36"/>
        <v/>
      </c>
      <c r="N464" t="str">
        <f t="shared" si="37"/>
        <v/>
      </c>
      <c r="O464" t="str">
        <f t="shared" si="38"/>
        <v/>
      </c>
    </row>
    <row r="465" spans="11:15" x14ac:dyDescent="0.3">
      <c r="K465" t="str">
        <f t="shared" si="39"/>
        <v/>
      </c>
      <c r="L465" t="str">
        <f t="shared" si="35"/>
        <v/>
      </c>
      <c r="M465" t="str">
        <f t="shared" si="36"/>
        <v/>
      </c>
      <c r="N465" t="str">
        <f t="shared" si="37"/>
        <v/>
      </c>
      <c r="O465" t="str">
        <f t="shared" si="38"/>
        <v/>
      </c>
    </row>
    <row r="466" spans="11:15" x14ac:dyDescent="0.3">
      <c r="K466" t="str">
        <f t="shared" si="39"/>
        <v/>
      </c>
      <c r="L466" t="str">
        <f t="shared" si="35"/>
        <v/>
      </c>
      <c r="M466" t="str">
        <f t="shared" si="36"/>
        <v/>
      </c>
      <c r="N466" t="str">
        <f t="shared" si="37"/>
        <v/>
      </c>
      <c r="O466" t="str">
        <f t="shared" si="38"/>
        <v/>
      </c>
    </row>
    <row r="467" spans="11:15" x14ac:dyDescent="0.3">
      <c r="K467" t="str">
        <f t="shared" si="39"/>
        <v/>
      </c>
      <c r="L467" t="str">
        <f t="shared" si="35"/>
        <v/>
      </c>
      <c r="M467" t="str">
        <f t="shared" si="36"/>
        <v/>
      </c>
      <c r="N467" t="str">
        <f t="shared" si="37"/>
        <v/>
      </c>
      <c r="O467" t="str">
        <f t="shared" si="38"/>
        <v/>
      </c>
    </row>
    <row r="468" spans="11:15" x14ac:dyDescent="0.3">
      <c r="K468" t="str">
        <f t="shared" si="39"/>
        <v/>
      </c>
      <c r="L468" t="str">
        <f t="shared" si="35"/>
        <v/>
      </c>
      <c r="M468" t="str">
        <f t="shared" si="36"/>
        <v/>
      </c>
      <c r="N468" t="str">
        <f t="shared" si="37"/>
        <v/>
      </c>
      <c r="O468" t="str">
        <f t="shared" si="38"/>
        <v/>
      </c>
    </row>
    <row r="469" spans="11:15" x14ac:dyDescent="0.3">
      <c r="K469" t="str">
        <f t="shared" si="39"/>
        <v/>
      </c>
      <c r="L469" t="str">
        <f t="shared" si="35"/>
        <v/>
      </c>
      <c r="M469" t="str">
        <f t="shared" si="36"/>
        <v/>
      </c>
      <c r="N469" t="str">
        <f t="shared" si="37"/>
        <v/>
      </c>
      <c r="O469" t="str">
        <f t="shared" si="38"/>
        <v/>
      </c>
    </row>
    <row r="470" spans="11:15" x14ac:dyDescent="0.3">
      <c r="K470" t="str">
        <f t="shared" si="39"/>
        <v/>
      </c>
      <c r="L470" t="str">
        <f t="shared" si="35"/>
        <v/>
      </c>
      <c r="M470" t="str">
        <f t="shared" si="36"/>
        <v/>
      </c>
      <c r="N470" t="str">
        <f t="shared" si="37"/>
        <v/>
      </c>
      <c r="O470" t="str">
        <f t="shared" si="38"/>
        <v/>
      </c>
    </row>
    <row r="471" spans="11:15" x14ac:dyDescent="0.3">
      <c r="K471" t="str">
        <f t="shared" si="39"/>
        <v/>
      </c>
      <c r="L471" t="str">
        <f t="shared" si="35"/>
        <v/>
      </c>
      <c r="M471" t="str">
        <f t="shared" si="36"/>
        <v/>
      </c>
      <c r="N471" t="str">
        <f t="shared" si="37"/>
        <v/>
      </c>
      <c r="O471" t="str">
        <f t="shared" si="38"/>
        <v/>
      </c>
    </row>
    <row r="472" spans="11:15" x14ac:dyDescent="0.3">
      <c r="K472" t="str">
        <f t="shared" si="39"/>
        <v/>
      </c>
      <c r="L472" t="str">
        <f t="shared" si="35"/>
        <v/>
      </c>
      <c r="M472" t="str">
        <f t="shared" si="36"/>
        <v/>
      </c>
      <c r="N472" t="str">
        <f t="shared" si="37"/>
        <v/>
      </c>
      <c r="O472" t="str">
        <f t="shared" si="38"/>
        <v/>
      </c>
    </row>
    <row r="473" spans="11:15" x14ac:dyDescent="0.3">
      <c r="K473" t="str">
        <f t="shared" si="39"/>
        <v/>
      </c>
      <c r="L473" t="str">
        <f t="shared" si="35"/>
        <v/>
      </c>
      <c r="M473" t="str">
        <f t="shared" si="36"/>
        <v/>
      </c>
      <c r="N473" t="str">
        <f t="shared" si="37"/>
        <v/>
      </c>
      <c r="O473" t="str">
        <f t="shared" si="38"/>
        <v/>
      </c>
    </row>
    <row r="474" spans="11:15" x14ac:dyDescent="0.3">
      <c r="K474" t="str">
        <f t="shared" si="39"/>
        <v/>
      </c>
      <c r="L474" t="str">
        <f t="shared" si="35"/>
        <v/>
      </c>
      <c r="M474" t="str">
        <f t="shared" si="36"/>
        <v/>
      </c>
      <c r="N474" t="str">
        <f t="shared" si="37"/>
        <v/>
      </c>
      <c r="O474" t="str">
        <f t="shared" si="38"/>
        <v/>
      </c>
    </row>
    <row r="475" spans="11:15" x14ac:dyDescent="0.3">
      <c r="K475" t="str">
        <f t="shared" si="39"/>
        <v/>
      </c>
      <c r="L475" t="str">
        <f t="shared" si="35"/>
        <v/>
      </c>
      <c r="M475" t="str">
        <f t="shared" si="36"/>
        <v/>
      </c>
      <c r="N475" t="str">
        <f t="shared" si="37"/>
        <v/>
      </c>
      <c r="O475" t="str">
        <f t="shared" si="38"/>
        <v/>
      </c>
    </row>
    <row r="476" spans="11:15" x14ac:dyDescent="0.3">
      <c r="K476" t="str">
        <f t="shared" si="39"/>
        <v/>
      </c>
      <c r="L476" t="str">
        <f t="shared" si="35"/>
        <v/>
      </c>
      <c r="M476" t="str">
        <f t="shared" si="36"/>
        <v/>
      </c>
      <c r="N476" t="str">
        <f t="shared" si="37"/>
        <v/>
      </c>
      <c r="O476" t="str">
        <f t="shared" si="38"/>
        <v/>
      </c>
    </row>
    <row r="477" spans="11:15" x14ac:dyDescent="0.3">
      <c r="K477" t="str">
        <f t="shared" si="39"/>
        <v/>
      </c>
      <c r="L477" t="str">
        <f t="shared" si="35"/>
        <v/>
      </c>
      <c r="M477" t="str">
        <f t="shared" si="36"/>
        <v/>
      </c>
      <c r="N477" t="str">
        <f t="shared" si="37"/>
        <v/>
      </c>
      <c r="O477" t="str">
        <f t="shared" si="38"/>
        <v/>
      </c>
    </row>
    <row r="478" spans="11:15" x14ac:dyDescent="0.3">
      <c r="K478" t="str">
        <f t="shared" si="39"/>
        <v/>
      </c>
      <c r="L478" t="str">
        <f t="shared" si="35"/>
        <v/>
      </c>
      <c r="M478" t="str">
        <f t="shared" si="36"/>
        <v/>
      </c>
      <c r="N478" t="str">
        <f t="shared" si="37"/>
        <v/>
      </c>
      <c r="O478" t="str">
        <f t="shared" si="38"/>
        <v/>
      </c>
    </row>
    <row r="479" spans="11:15" x14ac:dyDescent="0.3">
      <c r="K479" t="str">
        <f t="shared" si="39"/>
        <v/>
      </c>
      <c r="L479" t="str">
        <f t="shared" si="35"/>
        <v/>
      </c>
      <c r="M479" t="str">
        <f t="shared" si="36"/>
        <v/>
      </c>
      <c r="N479" t="str">
        <f t="shared" si="37"/>
        <v/>
      </c>
      <c r="O479" t="str">
        <f t="shared" si="38"/>
        <v/>
      </c>
    </row>
    <row r="480" spans="11:15" x14ac:dyDescent="0.3">
      <c r="K480" t="str">
        <f t="shared" si="39"/>
        <v/>
      </c>
      <c r="L480" t="str">
        <f t="shared" si="35"/>
        <v/>
      </c>
      <c r="M480" t="str">
        <f t="shared" si="36"/>
        <v/>
      </c>
      <c r="N480" t="str">
        <f t="shared" si="37"/>
        <v/>
      </c>
      <c r="O480" t="str">
        <f t="shared" si="38"/>
        <v/>
      </c>
    </row>
    <row r="481" spans="11:15" x14ac:dyDescent="0.3">
      <c r="K481" t="str">
        <f t="shared" si="39"/>
        <v/>
      </c>
      <c r="L481" t="str">
        <f t="shared" si="35"/>
        <v/>
      </c>
      <c r="M481" t="str">
        <f t="shared" si="36"/>
        <v/>
      </c>
      <c r="N481" t="str">
        <f t="shared" si="37"/>
        <v/>
      </c>
      <c r="O481" t="str">
        <f t="shared" si="38"/>
        <v/>
      </c>
    </row>
    <row r="482" spans="11:15" x14ac:dyDescent="0.3">
      <c r="K482" t="str">
        <f t="shared" si="39"/>
        <v/>
      </c>
      <c r="L482" t="str">
        <f t="shared" si="35"/>
        <v/>
      </c>
      <c r="M482" t="str">
        <f t="shared" si="36"/>
        <v/>
      </c>
      <c r="N482" t="str">
        <f t="shared" si="37"/>
        <v/>
      </c>
      <c r="O482" t="str">
        <f t="shared" si="38"/>
        <v/>
      </c>
    </row>
    <row r="483" spans="11:15" x14ac:dyDescent="0.3">
      <c r="K483" t="str">
        <f t="shared" si="39"/>
        <v/>
      </c>
      <c r="L483" t="str">
        <f t="shared" si="35"/>
        <v/>
      </c>
      <c r="M483" t="str">
        <f t="shared" si="36"/>
        <v/>
      </c>
      <c r="N483" t="str">
        <f t="shared" si="37"/>
        <v/>
      </c>
      <c r="O483" t="str">
        <f t="shared" si="38"/>
        <v/>
      </c>
    </row>
    <row r="484" spans="11:15" x14ac:dyDescent="0.3">
      <c r="K484" t="str">
        <f t="shared" si="39"/>
        <v/>
      </c>
      <c r="L484" t="str">
        <f t="shared" si="35"/>
        <v/>
      </c>
      <c r="M484" t="str">
        <f t="shared" si="36"/>
        <v/>
      </c>
      <c r="N484" t="str">
        <f t="shared" si="37"/>
        <v/>
      </c>
      <c r="O484" t="str">
        <f t="shared" si="38"/>
        <v/>
      </c>
    </row>
    <row r="485" spans="11:15" x14ac:dyDescent="0.3">
      <c r="K485" t="str">
        <f t="shared" si="39"/>
        <v/>
      </c>
      <c r="L485" t="str">
        <f t="shared" si="35"/>
        <v/>
      </c>
      <c r="M485" t="str">
        <f t="shared" si="36"/>
        <v/>
      </c>
      <c r="N485" t="str">
        <f t="shared" si="37"/>
        <v/>
      </c>
      <c r="O485" t="str">
        <f t="shared" si="38"/>
        <v/>
      </c>
    </row>
    <row r="486" spans="11:15" x14ac:dyDescent="0.3">
      <c r="K486" t="str">
        <f t="shared" si="39"/>
        <v/>
      </c>
      <c r="L486" t="str">
        <f t="shared" si="35"/>
        <v/>
      </c>
      <c r="M486" t="str">
        <f t="shared" si="36"/>
        <v/>
      </c>
      <c r="N486" t="str">
        <f t="shared" si="37"/>
        <v/>
      </c>
      <c r="O486" t="str">
        <f t="shared" si="38"/>
        <v/>
      </c>
    </row>
    <row r="487" spans="11:15" x14ac:dyDescent="0.3">
      <c r="K487" t="str">
        <f t="shared" si="39"/>
        <v/>
      </c>
      <c r="L487" t="str">
        <f t="shared" si="35"/>
        <v/>
      </c>
      <c r="M487" t="str">
        <f t="shared" si="36"/>
        <v/>
      </c>
      <c r="N487" t="str">
        <f t="shared" si="37"/>
        <v/>
      </c>
      <c r="O487" t="str">
        <f t="shared" si="38"/>
        <v/>
      </c>
    </row>
    <row r="488" spans="11:15" x14ac:dyDescent="0.3">
      <c r="K488" t="str">
        <f t="shared" si="39"/>
        <v/>
      </c>
      <c r="L488" t="str">
        <f t="shared" si="35"/>
        <v/>
      </c>
      <c r="M488" t="str">
        <f t="shared" si="36"/>
        <v/>
      </c>
      <c r="N488" t="str">
        <f t="shared" si="37"/>
        <v/>
      </c>
      <c r="O488" t="str">
        <f t="shared" si="38"/>
        <v/>
      </c>
    </row>
    <row r="489" spans="11:15" x14ac:dyDescent="0.3">
      <c r="K489" t="str">
        <f t="shared" si="39"/>
        <v/>
      </c>
      <c r="L489" t="str">
        <f t="shared" si="35"/>
        <v/>
      </c>
      <c r="M489" t="str">
        <f t="shared" si="36"/>
        <v/>
      </c>
      <c r="N489" t="str">
        <f t="shared" si="37"/>
        <v/>
      </c>
      <c r="O489" t="str">
        <f t="shared" si="38"/>
        <v/>
      </c>
    </row>
    <row r="490" spans="11:15" x14ac:dyDescent="0.3">
      <c r="K490" t="str">
        <f t="shared" si="39"/>
        <v/>
      </c>
      <c r="L490" t="str">
        <f t="shared" si="35"/>
        <v/>
      </c>
      <c r="M490" t="str">
        <f t="shared" si="36"/>
        <v/>
      </c>
      <c r="N490" t="str">
        <f t="shared" si="37"/>
        <v/>
      </c>
      <c r="O490" t="str">
        <f t="shared" si="38"/>
        <v/>
      </c>
    </row>
    <row r="491" spans="11:15" x14ac:dyDescent="0.3">
      <c r="K491" t="str">
        <f t="shared" si="39"/>
        <v/>
      </c>
      <c r="L491" t="str">
        <f t="shared" si="35"/>
        <v/>
      </c>
      <c r="M491" t="str">
        <f t="shared" si="36"/>
        <v/>
      </c>
      <c r="N491" t="str">
        <f t="shared" si="37"/>
        <v/>
      </c>
      <c r="O491" t="str">
        <f t="shared" si="38"/>
        <v/>
      </c>
    </row>
    <row r="492" spans="11:15" x14ac:dyDescent="0.3">
      <c r="K492" t="str">
        <f t="shared" si="39"/>
        <v/>
      </c>
      <c r="L492" t="str">
        <f t="shared" si="35"/>
        <v/>
      </c>
      <c r="M492" t="str">
        <f t="shared" si="36"/>
        <v/>
      </c>
      <c r="N492" t="str">
        <f t="shared" si="37"/>
        <v/>
      </c>
      <c r="O492" t="str">
        <f t="shared" si="38"/>
        <v/>
      </c>
    </row>
    <row r="493" spans="11:15" x14ac:dyDescent="0.3">
      <c r="K493" t="str">
        <f t="shared" si="39"/>
        <v/>
      </c>
      <c r="L493" t="str">
        <f t="shared" si="35"/>
        <v/>
      </c>
      <c r="M493" t="str">
        <f t="shared" si="36"/>
        <v/>
      </c>
      <c r="N493" t="str">
        <f t="shared" si="37"/>
        <v/>
      </c>
      <c r="O493" t="str">
        <f t="shared" si="38"/>
        <v/>
      </c>
    </row>
    <row r="494" spans="11:15" x14ac:dyDescent="0.3">
      <c r="K494" t="str">
        <f t="shared" si="39"/>
        <v/>
      </c>
      <c r="L494" t="str">
        <f t="shared" si="35"/>
        <v/>
      </c>
      <c r="M494" t="str">
        <f t="shared" si="36"/>
        <v/>
      </c>
      <c r="N494" t="str">
        <f t="shared" si="37"/>
        <v/>
      </c>
      <c r="O494" t="str">
        <f t="shared" si="38"/>
        <v/>
      </c>
    </row>
    <row r="495" spans="11:15" x14ac:dyDescent="0.3">
      <c r="K495" t="str">
        <f t="shared" si="39"/>
        <v/>
      </c>
      <c r="L495" t="str">
        <f t="shared" si="35"/>
        <v/>
      </c>
      <c r="M495" t="str">
        <f t="shared" si="36"/>
        <v/>
      </c>
      <c r="N495" t="str">
        <f t="shared" si="37"/>
        <v/>
      </c>
      <c r="O495" t="str">
        <f t="shared" si="38"/>
        <v/>
      </c>
    </row>
    <row r="496" spans="11:15" x14ac:dyDescent="0.3">
      <c r="K496" t="str">
        <f t="shared" si="39"/>
        <v/>
      </c>
      <c r="L496" t="str">
        <f t="shared" si="35"/>
        <v/>
      </c>
      <c r="M496" t="str">
        <f t="shared" si="36"/>
        <v/>
      </c>
      <c r="N496" t="str">
        <f t="shared" si="37"/>
        <v/>
      </c>
      <c r="O496" t="str">
        <f t="shared" si="38"/>
        <v/>
      </c>
    </row>
    <row r="497" spans="11:15" x14ac:dyDescent="0.3">
      <c r="K497" t="str">
        <f t="shared" si="39"/>
        <v/>
      </c>
      <c r="L497" t="str">
        <f t="shared" si="35"/>
        <v/>
      </c>
      <c r="M497" t="str">
        <f t="shared" si="36"/>
        <v/>
      </c>
      <c r="N497" t="str">
        <f t="shared" si="37"/>
        <v/>
      </c>
      <c r="O497" t="str">
        <f t="shared" si="38"/>
        <v/>
      </c>
    </row>
    <row r="498" spans="11:15" x14ac:dyDescent="0.3">
      <c r="K498" t="str">
        <f t="shared" si="39"/>
        <v/>
      </c>
      <c r="L498" t="str">
        <f t="shared" si="35"/>
        <v/>
      </c>
      <c r="M498" t="str">
        <f t="shared" si="36"/>
        <v/>
      </c>
      <c r="N498" t="str">
        <f t="shared" si="37"/>
        <v/>
      </c>
      <c r="O498" t="str">
        <f t="shared" si="38"/>
        <v/>
      </c>
    </row>
    <row r="499" spans="11:15" x14ac:dyDescent="0.3">
      <c r="K499" t="str">
        <f t="shared" si="39"/>
        <v/>
      </c>
      <c r="L499" t="str">
        <f t="shared" si="35"/>
        <v/>
      </c>
      <c r="M499" t="str">
        <f t="shared" si="36"/>
        <v/>
      </c>
      <c r="N499" t="str">
        <f t="shared" si="37"/>
        <v/>
      </c>
      <c r="O499" t="str">
        <f t="shared" si="38"/>
        <v/>
      </c>
    </row>
    <row r="500" spans="11:15" x14ac:dyDescent="0.3">
      <c r="K500" t="str">
        <f t="shared" si="39"/>
        <v/>
      </c>
      <c r="L500" t="str">
        <f t="shared" si="35"/>
        <v/>
      </c>
      <c r="M500" t="str">
        <f t="shared" si="36"/>
        <v/>
      </c>
      <c r="N500" t="str">
        <f t="shared" si="37"/>
        <v/>
      </c>
      <c r="O500" t="str">
        <f t="shared" si="38"/>
        <v/>
      </c>
    </row>
    <row r="501" spans="11:15" x14ac:dyDescent="0.3">
      <c r="K501" t="str">
        <f t="shared" si="39"/>
        <v/>
      </c>
      <c r="L501" t="str">
        <f t="shared" si="35"/>
        <v/>
      </c>
      <c r="M501" t="str">
        <f t="shared" si="36"/>
        <v/>
      </c>
      <c r="N501" t="str">
        <f t="shared" si="37"/>
        <v/>
      </c>
      <c r="O501" t="str">
        <f t="shared" si="38"/>
        <v/>
      </c>
    </row>
    <row r="502" spans="11:15" x14ac:dyDescent="0.3">
      <c r="K502" t="str">
        <f t="shared" si="39"/>
        <v/>
      </c>
      <c r="L502" t="str">
        <f t="shared" si="35"/>
        <v/>
      </c>
      <c r="M502" t="str">
        <f t="shared" si="36"/>
        <v/>
      </c>
      <c r="N502" t="str">
        <f t="shared" si="37"/>
        <v/>
      </c>
      <c r="O502" t="str">
        <f t="shared" si="38"/>
        <v/>
      </c>
    </row>
    <row r="503" spans="11:15" x14ac:dyDescent="0.3">
      <c r="K503" t="str">
        <f t="shared" si="39"/>
        <v/>
      </c>
      <c r="L503" t="str">
        <f t="shared" si="35"/>
        <v/>
      </c>
      <c r="M503" t="str">
        <f t="shared" si="36"/>
        <v/>
      </c>
      <c r="N503" t="str">
        <f t="shared" si="37"/>
        <v/>
      </c>
      <c r="O503" t="str">
        <f t="shared" si="38"/>
        <v/>
      </c>
    </row>
    <row r="504" spans="11:15" x14ac:dyDescent="0.3">
      <c r="K504" t="str">
        <f t="shared" si="39"/>
        <v/>
      </c>
      <c r="L504" t="str">
        <f t="shared" si="35"/>
        <v/>
      </c>
      <c r="M504" t="str">
        <f t="shared" si="36"/>
        <v/>
      </c>
      <c r="N504" t="str">
        <f t="shared" si="37"/>
        <v/>
      </c>
      <c r="O504" t="str">
        <f t="shared" si="38"/>
        <v/>
      </c>
    </row>
    <row r="505" spans="11:15" x14ac:dyDescent="0.3">
      <c r="K505" t="str">
        <f t="shared" si="39"/>
        <v/>
      </c>
      <c r="L505" t="str">
        <f t="shared" si="35"/>
        <v/>
      </c>
      <c r="M505" t="str">
        <f t="shared" si="36"/>
        <v/>
      </c>
      <c r="N505" t="str">
        <f t="shared" si="37"/>
        <v/>
      </c>
      <c r="O505" t="str">
        <f t="shared" si="38"/>
        <v/>
      </c>
    </row>
    <row r="506" spans="11:15" x14ac:dyDescent="0.3">
      <c r="K506" t="str">
        <f t="shared" si="39"/>
        <v/>
      </c>
      <c r="L506" t="str">
        <f t="shared" si="35"/>
        <v/>
      </c>
      <c r="M506" t="str">
        <f t="shared" si="36"/>
        <v/>
      </c>
      <c r="N506" t="str">
        <f t="shared" si="37"/>
        <v/>
      </c>
      <c r="O506" t="str">
        <f t="shared" si="38"/>
        <v/>
      </c>
    </row>
    <row r="507" spans="11:15" x14ac:dyDescent="0.3">
      <c r="K507" t="str">
        <f t="shared" si="39"/>
        <v/>
      </c>
      <c r="L507" t="str">
        <f t="shared" si="35"/>
        <v/>
      </c>
      <c r="M507" t="str">
        <f t="shared" si="36"/>
        <v/>
      </c>
      <c r="N507" t="str">
        <f t="shared" si="37"/>
        <v/>
      </c>
      <c r="O507" t="str">
        <f t="shared" si="38"/>
        <v/>
      </c>
    </row>
    <row r="508" spans="11:15" x14ac:dyDescent="0.3">
      <c r="K508" t="str">
        <f t="shared" si="39"/>
        <v/>
      </c>
      <c r="L508" t="str">
        <f t="shared" si="35"/>
        <v/>
      </c>
      <c r="M508" t="str">
        <f t="shared" si="36"/>
        <v/>
      </c>
      <c r="N508" t="str">
        <f t="shared" si="37"/>
        <v/>
      </c>
      <c r="O508" t="str">
        <f t="shared" si="38"/>
        <v/>
      </c>
    </row>
    <row r="509" spans="11:15" x14ac:dyDescent="0.3">
      <c r="K509" t="str">
        <f t="shared" si="39"/>
        <v/>
      </c>
      <c r="L509" t="str">
        <f t="shared" si="35"/>
        <v/>
      </c>
      <c r="M509" t="str">
        <f t="shared" si="36"/>
        <v/>
      </c>
      <c r="N509" t="str">
        <f t="shared" si="37"/>
        <v/>
      </c>
      <c r="O509" t="str">
        <f t="shared" si="38"/>
        <v/>
      </c>
    </row>
    <row r="510" spans="11:15" x14ac:dyDescent="0.3">
      <c r="K510" t="str">
        <f t="shared" si="39"/>
        <v/>
      </c>
      <c r="L510" t="str">
        <f t="shared" si="35"/>
        <v/>
      </c>
      <c r="M510" t="str">
        <f t="shared" si="36"/>
        <v/>
      </c>
      <c r="N510" t="str">
        <f t="shared" si="37"/>
        <v/>
      </c>
      <c r="O510" t="str">
        <f t="shared" si="38"/>
        <v/>
      </c>
    </row>
    <row r="511" spans="11:15" x14ac:dyDescent="0.3">
      <c r="K511" t="str">
        <f t="shared" si="39"/>
        <v/>
      </c>
      <c r="L511" t="str">
        <f t="shared" si="35"/>
        <v/>
      </c>
      <c r="M511" t="str">
        <f t="shared" si="36"/>
        <v/>
      </c>
      <c r="N511" t="str">
        <f t="shared" si="37"/>
        <v/>
      </c>
      <c r="O511" t="str">
        <f t="shared" si="38"/>
        <v/>
      </c>
    </row>
    <row r="512" spans="11:15" x14ac:dyDescent="0.3">
      <c r="K512" t="str">
        <f t="shared" si="39"/>
        <v/>
      </c>
      <c r="L512" t="str">
        <f t="shared" si="35"/>
        <v/>
      </c>
      <c r="M512" t="str">
        <f t="shared" si="36"/>
        <v/>
      </c>
      <c r="N512" t="str">
        <f t="shared" si="37"/>
        <v/>
      </c>
      <c r="O512" t="str">
        <f t="shared" si="38"/>
        <v/>
      </c>
    </row>
    <row r="513" spans="11:15" x14ac:dyDescent="0.3">
      <c r="K513" t="str">
        <f t="shared" si="39"/>
        <v/>
      </c>
      <c r="L513" t="str">
        <f t="shared" ref="L513:L576" si="40">IF(A513="","",IF(ISNUMBER(--LEFT(A513,FIND(" - ",A513&amp;" - ")-1)),LEFT(A513,FIND(" - ",A513&amp;" - ")-1),TRIM(A513)))</f>
        <v/>
      </c>
      <c r="M513" t="str">
        <f t="shared" ref="M513:M576" si="41">IF(OR(K513="",K513=A513,A513=""),"",K513&amp;"|"&amp;L513)</f>
        <v/>
      </c>
      <c r="N513" t="str">
        <f t="shared" ref="N513:N576" si="42">IF(M513="","",IF(ISNUMBER(B513),B513,IFERROR(_xlfn.NUMBERVALUE(B513,".",","),0)))</f>
        <v/>
      </c>
      <c r="O513" t="str">
        <f t="shared" ref="O513:O576" si="43">IF(M513="","",IF(ISNUMBER(C513),C513,IFERROR(_xlfn.NUMBERVALUE(C513,".",","),0)))</f>
        <v/>
      </c>
    </row>
    <row r="514" spans="11:15" x14ac:dyDescent="0.3">
      <c r="K514" t="str">
        <f t="shared" ref="K514:K577" si="44">IF(OR(LEFT(B514,9)="DOANH THU",LEFT(B514,8)="SỐ LƯỢNG"),A514,K513)</f>
        <v/>
      </c>
      <c r="L514" t="str">
        <f t="shared" si="40"/>
        <v/>
      </c>
      <c r="M514" t="str">
        <f t="shared" si="41"/>
        <v/>
      </c>
      <c r="N514" t="str">
        <f t="shared" si="42"/>
        <v/>
      </c>
      <c r="O514" t="str">
        <f t="shared" si="43"/>
        <v/>
      </c>
    </row>
    <row r="515" spans="11:15" x14ac:dyDescent="0.3">
      <c r="K515" t="str">
        <f t="shared" si="44"/>
        <v/>
      </c>
      <c r="L515" t="str">
        <f t="shared" si="40"/>
        <v/>
      </c>
      <c r="M515" t="str">
        <f t="shared" si="41"/>
        <v/>
      </c>
      <c r="N515" t="str">
        <f t="shared" si="42"/>
        <v/>
      </c>
      <c r="O515" t="str">
        <f t="shared" si="43"/>
        <v/>
      </c>
    </row>
    <row r="516" spans="11:15" x14ac:dyDescent="0.3">
      <c r="K516" t="str">
        <f t="shared" si="44"/>
        <v/>
      </c>
      <c r="L516" t="str">
        <f t="shared" si="40"/>
        <v/>
      </c>
      <c r="M516" t="str">
        <f t="shared" si="41"/>
        <v/>
      </c>
      <c r="N516" t="str">
        <f t="shared" si="42"/>
        <v/>
      </c>
      <c r="O516" t="str">
        <f t="shared" si="43"/>
        <v/>
      </c>
    </row>
    <row r="517" spans="11:15" x14ac:dyDescent="0.3">
      <c r="K517" t="str">
        <f t="shared" si="44"/>
        <v/>
      </c>
      <c r="L517" t="str">
        <f t="shared" si="40"/>
        <v/>
      </c>
      <c r="M517" t="str">
        <f t="shared" si="41"/>
        <v/>
      </c>
      <c r="N517" t="str">
        <f t="shared" si="42"/>
        <v/>
      </c>
      <c r="O517" t="str">
        <f t="shared" si="43"/>
        <v/>
      </c>
    </row>
    <row r="518" spans="11:15" x14ac:dyDescent="0.3">
      <c r="K518" t="str">
        <f t="shared" si="44"/>
        <v/>
      </c>
      <c r="L518" t="str">
        <f t="shared" si="40"/>
        <v/>
      </c>
      <c r="M518" t="str">
        <f t="shared" si="41"/>
        <v/>
      </c>
      <c r="N518" t="str">
        <f t="shared" si="42"/>
        <v/>
      </c>
      <c r="O518" t="str">
        <f t="shared" si="43"/>
        <v/>
      </c>
    </row>
    <row r="519" spans="11:15" x14ac:dyDescent="0.3">
      <c r="K519" t="str">
        <f t="shared" si="44"/>
        <v/>
      </c>
      <c r="L519" t="str">
        <f t="shared" si="40"/>
        <v/>
      </c>
      <c r="M519" t="str">
        <f t="shared" si="41"/>
        <v/>
      </c>
      <c r="N519" t="str">
        <f t="shared" si="42"/>
        <v/>
      </c>
      <c r="O519" t="str">
        <f t="shared" si="43"/>
        <v/>
      </c>
    </row>
    <row r="520" spans="11:15" x14ac:dyDescent="0.3">
      <c r="K520" t="str">
        <f t="shared" si="44"/>
        <v/>
      </c>
      <c r="L520" t="str">
        <f t="shared" si="40"/>
        <v/>
      </c>
      <c r="M520" t="str">
        <f t="shared" si="41"/>
        <v/>
      </c>
      <c r="N520" t="str">
        <f t="shared" si="42"/>
        <v/>
      </c>
      <c r="O520" t="str">
        <f t="shared" si="43"/>
        <v/>
      </c>
    </row>
    <row r="521" spans="11:15" x14ac:dyDescent="0.3">
      <c r="K521" t="str">
        <f t="shared" si="44"/>
        <v/>
      </c>
      <c r="L521" t="str">
        <f t="shared" si="40"/>
        <v/>
      </c>
      <c r="M521" t="str">
        <f t="shared" si="41"/>
        <v/>
      </c>
      <c r="N521" t="str">
        <f t="shared" si="42"/>
        <v/>
      </c>
      <c r="O521" t="str">
        <f t="shared" si="43"/>
        <v/>
      </c>
    </row>
    <row r="522" spans="11:15" x14ac:dyDescent="0.3">
      <c r="K522" t="str">
        <f t="shared" si="44"/>
        <v/>
      </c>
      <c r="L522" t="str">
        <f t="shared" si="40"/>
        <v/>
      </c>
      <c r="M522" t="str">
        <f t="shared" si="41"/>
        <v/>
      </c>
      <c r="N522" t="str">
        <f t="shared" si="42"/>
        <v/>
      </c>
      <c r="O522" t="str">
        <f t="shared" si="43"/>
        <v/>
      </c>
    </row>
    <row r="523" spans="11:15" x14ac:dyDescent="0.3">
      <c r="K523" t="str">
        <f t="shared" si="44"/>
        <v/>
      </c>
      <c r="L523" t="str">
        <f t="shared" si="40"/>
        <v/>
      </c>
      <c r="M523" t="str">
        <f t="shared" si="41"/>
        <v/>
      </c>
      <c r="N523" t="str">
        <f t="shared" si="42"/>
        <v/>
      </c>
      <c r="O523" t="str">
        <f t="shared" si="43"/>
        <v/>
      </c>
    </row>
    <row r="524" spans="11:15" x14ac:dyDescent="0.3">
      <c r="K524" t="str">
        <f t="shared" si="44"/>
        <v/>
      </c>
      <c r="L524" t="str">
        <f t="shared" si="40"/>
        <v/>
      </c>
      <c r="M524" t="str">
        <f t="shared" si="41"/>
        <v/>
      </c>
      <c r="N524" t="str">
        <f t="shared" si="42"/>
        <v/>
      </c>
      <c r="O524" t="str">
        <f t="shared" si="43"/>
        <v/>
      </c>
    </row>
    <row r="525" spans="11:15" x14ac:dyDescent="0.3">
      <c r="K525" t="str">
        <f t="shared" si="44"/>
        <v/>
      </c>
      <c r="L525" t="str">
        <f t="shared" si="40"/>
        <v/>
      </c>
      <c r="M525" t="str">
        <f t="shared" si="41"/>
        <v/>
      </c>
      <c r="N525" t="str">
        <f t="shared" si="42"/>
        <v/>
      </c>
      <c r="O525" t="str">
        <f t="shared" si="43"/>
        <v/>
      </c>
    </row>
    <row r="526" spans="11:15" x14ac:dyDescent="0.3">
      <c r="K526" t="str">
        <f t="shared" si="44"/>
        <v/>
      </c>
      <c r="L526" t="str">
        <f t="shared" si="40"/>
        <v/>
      </c>
      <c r="M526" t="str">
        <f t="shared" si="41"/>
        <v/>
      </c>
      <c r="N526" t="str">
        <f t="shared" si="42"/>
        <v/>
      </c>
      <c r="O526" t="str">
        <f t="shared" si="43"/>
        <v/>
      </c>
    </row>
    <row r="527" spans="11:15" x14ac:dyDescent="0.3">
      <c r="K527" t="str">
        <f t="shared" si="44"/>
        <v/>
      </c>
      <c r="L527" t="str">
        <f t="shared" si="40"/>
        <v/>
      </c>
      <c r="M527" t="str">
        <f t="shared" si="41"/>
        <v/>
      </c>
      <c r="N527" t="str">
        <f t="shared" si="42"/>
        <v/>
      </c>
      <c r="O527" t="str">
        <f t="shared" si="43"/>
        <v/>
      </c>
    </row>
    <row r="528" spans="11:15" x14ac:dyDescent="0.3">
      <c r="K528" t="str">
        <f t="shared" si="44"/>
        <v/>
      </c>
      <c r="L528" t="str">
        <f t="shared" si="40"/>
        <v/>
      </c>
      <c r="M528" t="str">
        <f t="shared" si="41"/>
        <v/>
      </c>
      <c r="N528" t="str">
        <f t="shared" si="42"/>
        <v/>
      </c>
      <c r="O528" t="str">
        <f t="shared" si="43"/>
        <v/>
      </c>
    </row>
    <row r="529" spans="11:15" x14ac:dyDescent="0.3">
      <c r="K529" t="str">
        <f t="shared" si="44"/>
        <v/>
      </c>
      <c r="L529" t="str">
        <f t="shared" si="40"/>
        <v/>
      </c>
      <c r="M529" t="str">
        <f t="shared" si="41"/>
        <v/>
      </c>
      <c r="N529" t="str">
        <f t="shared" si="42"/>
        <v/>
      </c>
      <c r="O529" t="str">
        <f t="shared" si="43"/>
        <v/>
      </c>
    </row>
    <row r="530" spans="11:15" x14ac:dyDescent="0.3">
      <c r="K530" t="str">
        <f t="shared" si="44"/>
        <v/>
      </c>
      <c r="L530" t="str">
        <f t="shared" si="40"/>
        <v/>
      </c>
      <c r="M530" t="str">
        <f t="shared" si="41"/>
        <v/>
      </c>
      <c r="N530" t="str">
        <f t="shared" si="42"/>
        <v/>
      </c>
      <c r="O530" t="str">
        <f t="shared" si="43"/>
        <v/>
      </c>
    </row>
    <row r="531" spans="11:15" x14ac:dyDescent="0.3">
      <c r="K531" t="str">
        <f t="shared" si="44"/>
        <v/>
      </c>
      <c r="L531" t="str">
        <f t="shared" si="40"/>
        <v/>
      </c>
      <c r="M531" t="str">
        <f t="shared" si="41"/>
        <v/>
      </c>
      <c r="N531" t="str">
        <f t="shared" si="42"/>
        <v/>
      </c>
      <c r="O531" t="str">
        <f t="shared" si="43"/>
        <v/>
      </c>
    </row>
    <row r="532" spans="11:15" x14ac:dyDescent="0.3">
      <c r="K532" t="str">
        <f t="shared" si="44"/>
        <v/>
      </c>
      <c r="L532" t="str">
        <f t="shared" si="40"/>
        <v/>
      </c>
      <c r="M532" t="str">
        <f t="shared" si="41"/>
        <v/>
      </c>
      <c r="N532" t="str">
        <f t="shared" si="42"/>
        <v/>
      </c>
      <c r="O532" t="str">
        <f t="shared" si="43"/>
        <v/>
      </c>
    </row>
    <row r="533" spans="11:15" x14ac:dyDescent="0.3">
      <c r="K533" t="str">
        <f t="shared" si="44"/>
        <v/>
      </c>
      <c r="L533" t="str">
        <f t="shared" si="40"/>
        <v/>
      </c>
      <c r="M533" t="str">
        <f t="shared" si="41"/>
        <v/>
      </c>
      <c r="N533" t="str">
        <f t="shared" si="42"/>
        <v/>
      </c>
      <c r="O533" t="str">
        <f t="shared" si="43"/>
        <v/>
      </c>
    </row>
    <row r="534" spans="11:15" x14ac:dyDescent="0.3">
      <c r="K534" t="str">
        <f t="shared" si="44"/>
        <v/>
      </c>
      <c r="L534" t="str">
        <f t="shared" si="40"/>
        <v/>
      </c>
      <c r="M534" t="str">
        <f t="shared" si="41"/>
        <v/>
      </c>
      <c r="N534" t="str">
        <f t="shared" si="42"/>
        <v/>
      </c>
      <c r="O534" t="str">
        <f t="shared" si="43"/>
        <v/>
      </c>
    </row>
    <row r="535" spans="11:15" x14ac:dyDescent="0.3">
      <c r="K535" t="str">
        <f t="shared" si="44"/>
        <v/>
      </c>
      <c r="L535" t="str">
        <f t="shared" si="40"/>
        <v/>
      </c>
      <c r="M535" t="str">
        <f t="shared" si="41"/>
        <v/>
      </c>
      <c r="N535" t="str">
        <f t="shared" si="42"/>
        <v/>
      </c>
      <c r="O535" t="str">
        <f t="shared" si="43"/>
        <v/>
      </c>
    </row>
    <row r="536" spans="11:15" x14ac:dyDescent="0.3">
      <c r="K536" t="str">
        <f t="shared" si="44"/>
        <v/>
      </c>
      <c r="L536" t="str">
        <f t="shared" si="40"/>
        <v/>
      </c>
      <c r="M536" t="str">
        <f t="shared" si="41"/>
        <v/>
      </c>
      <c r="N536" t="str">
        <f t="shared" si="42"/>
        <v/>
      </c>
      <c r="O536" t="str">
        <f t="shared" si="43"/>
        <v/>
      </c>
    </row>
    <row r="537" spans="11:15" x14ac:dyDescent="0.3">
      <c r="K537" t="str">
        <f t="shared" si="44"/>
        <v/>
      </c>
      <c r="L537" t="str">
        <f t="shared" si="40"/>
        <v/>
      </c>
      <c r="M537" t="str">
        <f t="shared" si="41"/>
        <v/>
      </c>
      <c r="N537" t="str">
        <f t="shared" si="42"/>
        <v/>
      </c>
      <c r="O537" t="str">
        <f t="shared" si="43"/>
        <v/>
      </c>
    </row>
    <row r="538" spans="11:15" x14ac:dyDescent="0.3">
      <c r="K538" t="str">
        <f t="shared" si="44"/>
        <v/>
      </c>
      <c r="L538" t="str">
        <f t="shared" si="40"/>
        <v/>
      </c>
      <c r="M538" t="str">
        <f t="shared" si="41"/>
        <v/>
      </c>
      <c r="N538" t="str">
        <f t="shared" si="42"/>
        <v/>
      </c>
      <c r="O538" t="str">
        <f t="shared" si="43"/>
        <v/>
      </c>
    </row>
    <row r="539" spans="11:15" x14ac:dyDescent="0.3">
      <c r="K539" t="str">
        <f t="shared" si="44"/>
        <v/>
      </c>
      <c r="L539" t="str">
        <f t="shared" si="40"/>
        <v/>
      </c>
      <c r="M539" t="str">
        <f t="shared" si="41"/>
        <v/>
      </c>
      <c r="N539" t="str">
        <f t="shared" si="42"/>
        <v/>
      </c>
      <c r="O539" t="str">
        <f t="shared" si="43"/>
        <v/>
      </c>
    </row>
    <row r="540" spans="11:15" x14ac:dyDescent="0.3">
      <c r="K540" t="str">
        <f t="shared" si="44"/>
        <v/>
      </c>
      <c r="L540" t="str">
        <f t="shared" si="40"/>
        <v/>
      </c>
      <c r="M540" t="str">
        <f t="shared" si="41"/>
        <v/>
      </c>
      <c r="N540" t="str">
        <f t="shared" si="42"/>
        <v/>
      </c>
      <c r="O540" t="str">
        <f t="shared" si="43"/>
        <v/>
      </c>
    </row>
    <row r="541" spans="11:15" x14ac:dyDescent="0.3">
      <c r="K541" t="str">
        <f t="shared" si="44"/>
        <v/>
      </c>
      <c r="L541" t="str">
        <f t="shared" si="40"/>
        <v/>
      </c>
      <c r="M541" t="str">
        <f t="shared" si="41"/>
        <v/>
      </c>
      <c r="N541" t="str">
        <f t="shared" si="42"/>
        <v/>
      </c>
      <c r="O541" t="str">
        <f t="shared" si="43"/>
        <v/>
      </c>
    </row>
    <row r="542" spans="11:15" x14ac:dyDescent="0.3">
      <c r="K542" t="str">
        <f t="shared" si="44"/>
        <v/>
      </c>
      <c r="L542" t="str">
        <f t="shared" si="40"/>
        <v/>
      </c>
      <c r="M542" t="str">
        <f t="shared" si="41"/>
        <v/>
      </c>
      <c r="N542" t="str">
        <f t="shared" si="42"/>
        <v/>
      </c>
      <c r="O542" t="str">
        <f t="shared" si="43"/>
        <v/>
      </c>
    </row>
    <row r="543" spans="11:15" x14ac:dyDescent="0.3">
      <c r="K543" t="str">
        <f t="shared" si="44"/>
        <v/>
      </c>
      <c r="L543" t="str">
        <f t="shared" si="40"/>
        <v/>
      </c>
      <c r="M543" t="str">
        <f t="shared" si="41"/>
        <v/>
      </c>
      <c r="N543" t="str">
        <f t="shared" si="42"/>
        <v/>
      </c>
      <c r="O543" t="str">
        <f t="shared" si="43"/>
        <v/>
      </c>
    </row>
    <row r="544" spans="11:15" x14ac:dyDescent="0.3">
      <c r="K544" t="str">
        <f t="shared" si="44"/>
        <v/>
      </c>
      <c r="L544" t="str">
        <f t="shared" si="40"/>
        <v/>
      </c>
      <c r="M544" t="str">
        <f t="shared" si="41"/>
        <v/>
      </c>
      <c r="N544" t="str">
        <f t="shared" si="42"/>
        <v/>
      </c>
      <c r="O544" t="str">
        <f t="shared" si="43"/>
        <v/>
      </c>
    </row>
    <row r="545" spans="11:15" x14ac:dyDescent="0.3">
      <c r="K545" t="str">
        <f t="shared" si="44"/>
        <v/>
      </c>
      <c r="L545" t="str">
        <f t="shared" si="40"/>
        <v/>
      </c>
      <c r="M545" t="str">
        <f t="shared" si="41"/>
        <v/>
      </c>
      <c r="N545" t="str">
        <f t="shared" si="42"/>
        <v/>
      </c>
      <c r="O545" t="str">
        <f t="shared" si="43"/>
        <v/>
      </c>
    </row>
    <row r="546" spans="11:15" x14ac:dyDescent="0.3">
      <c r="K546" t="str">
        <f t="shared" si="44"/>
        <v/>
      </c>
      <c r="L546" t="str">
        <f t="shared" si="40"/>
        <v/>
      </c>
      <c r="M546" t="str">
        <f t="shared" si="41"/>
        <v/>
      </c>
      <c r="N546" t="str">
        <f t="shared" si="42"/>
        <v/>
      </c>
      <c r="O546" t="str">
        <f t="shared" si="43"/>
        <v/>
      </c>
    </row>
    <row r="547" spans="11:15" x14ac:dyDescent="0.3">
      <c r="K547" t="str">
        <f t="shared" si="44"/>
        <v/>
      </c>
      <c r="L547" t="str">
        <f t="shared" si="40"/>
        <v/>
      </c>
      <c r="M547" t="str">
        <f t="shared" si="41"/>
        <v/>
      </c>
      <c r="N547" t="str">
        <f t="shared" si="42"/>
        <v/>
      </c>
      <c r="O547" t="str">
        <f t="shared" si="43"/>
        <v/>
      </c>
    </row>
    <row r="548" spans="11:15" x14ac:dyDescent="0.3">
      <c r="K548" t="str">
        <f t="shared" si="44"/>
        <v/>
      </c>
      <c r="L548" t="str">
        <f t="shared" si="40"/>
        <v/>
      </c>
      <c r="M548" t="str">
        <f t="shared" si="41"/>
        <v/>
      </c>
      <c r="N548" t="str">
        <f t="shared" si="42"/>
        <v/>
      </c>
      <c r="O548" t="str">
        <f t="shared" si="43"/>
        <v/>
      </c>
    </row>
    <row r="549" spans="11:15" x14ac:dyDescent="0.3">
      <c r="K549" t="str">
        <f t="shared" si="44"/>
        <v/>
      </c>
      <c r="L549" t="str">
        <f t="shared" si="40"/>
        <v/>
      </c>
      <c r="M549" t="str">
        <f t="shared" si="41"/>
        <v/>
      </c>
      <c r="N549" t="str">
        <f t="shared" si="42"/>
        <v/>
      </c>
      <c r="O549" t="str">
        <f t="shared" si="43"/>
        <v/>
      </c>
    </row>
    <row r="550" spans="11:15" x14ac:dyDescent="0.3">
      <c r="K550" t="str">
        <f t="shared" si="44"/>
        <v/>
      </c>
      <c r="L550" t="str">
        <f t="shared" si="40"/>
        <v/>
      </c>
      <c r="M550" t="str">
        <f t="shared" si="41"/>
        <v/>
      </c>
      <c r="N550" t="str">
        <f t="shared" si="42"/>
        <v/>
      </c>
      <c r="O550" t="str">
        <f t="shared" si="43"/>
        <v/>
      </c>
    </row>
    <row r="551" spans="11:15" x14ac:dyDescent="0.3">
      <c r="K551" t="str">
        <f t="shared" si="44"/>
        <v/>
      </c>
      <c r="L551" t="str">
        <f t="shared" si="40"/>
        <v/>
      </c>
      <c r="M551" t="str">
        <f t="shared" si="41"/>
        <v/>
      </c>
      <c r="N551" t="str">
        <f t="shared" si="42"/>
        <v/>
      </c>
      <c r="O551" t="str">
        <f t="shared" si="43"/>
        <v/>
      </c>
    </row>
    <row r="552" spans="11:15" x14ac:dyDescent="0.3">
      <c r="K552" t="str">
        <f t="shared" si="44"/>
        <v/>
      </c>
      <c r="L552" t="str">
        <f t="shared" si="40"/>
        <v/>
      </c>
      <c r="M552" t="str">
        <f t="shared" si="41"/>
        <v/>
      </c>
      <c r="N552" t="str">
        <f t="shared" si="42"/>
        <v/>
      </c>
      <c r="O552" t="str">
        <f t="shared" si="43"/>
        <v/>
      </c>
    </row>
    <row r="553" spans="11:15" x14ac:dyDescent="0.3">
      <c r="K553" t="str">
        <f t="shared" si="44"/>
        <v/>
      </c>
      <c r="L553" t="str">
        <f t="shared" si="40"/>
        <v/>
      </c>
      <c r="M553" t="str">
        <f t="shared" si="41"/>
        <v/>
      </c>
      <c r="N553" t="str">
        <f t="shared" si="42"/>
        <v/>
      </c>
      <c r="O553" t="str">
        <f t="shared" si="43"/>
        <v/>
      </c>
    </row>
    <row r="554" spans="11:15" x14ac:dyDescent="0.3">
      <c r="K554" t="str">
        <f t="shared" si="44"/>
        <v/>
      </c>
      <c r="L554" t="str">
        <f t="shared" si="40"/>
        <v/>
      </c>
      <c r="M554" t="str">
        <f t="shared" si="41"/>
        <v/>
      </c>
      <c r="N554" t="str">
        <f t="shared" si="42"/>
        <v/>
      </c>
      <c r="O554" t="str">
        <f t="shared" si="43"/>
        <v/>
      </c>
    </row>
    <row r="555" spans="11:15" x14ac:dyDescent="0.3">
      <c r="K555" t="str">
        <f t="shared" si="44"/>
        <v/>
      </c>
      <c r="L555" t="str">
        <f t="shared" si="40"/>
        <v/>
      </c>
      <c r="M555" t="str">
        <f t="shared" si="41"/>
        <v/>
      </c>
      <c r="N555" t="str">
        <f t="shared" si="42"/>
        <v/>
      </c>
      <c r="O555" t="str">
        <f t="shared" si="43"/>
        <v/>
      </c>
    </row>
    <row r="556" spans="11:15" x14ac:dyDescent="0.3">
      <c r="K556" t="str">
        <f t="shared" si="44"/>
        <v/>
      </c>
      <c r="L556" t="str">
        <f t="shared" si="40"/>
        <v/>
      </c>
      <c r="M556" t="str">
        <f t="shared" si="41"/>
        <v/>
      </c>
      <c r="N556" t="str">
        <f t="shared" si="42"/>
        <v/>
      </c>
      <c r="O556" t="str">
        <f t="shared" si="43"/>
        <v/>
      </c>
    </row>
    <row r="557" spans="11:15" x14ac:dyDescent="0.3">
      <c r="K557" t="str">
        <f t="shared" si="44"/>
        <v/>
      </c>
      <c r="L557" t="str">
        <f t="shared" si="40"/>
        <v/>
      </c>
      <c r="M557" t="str">
        <f t="shared" si="41"/>
        <v/>
      </c>
      <c r="N557" t="str">
        <f t="shared" si="42"/>
        <v/>
      </c>
      <c r="O557" t="str">
        <f t="shared" si="43"/>
        <v/>
      </c>
    </row>
    <row r="558" spans="11:15" x14ac:dyDescent="0.3">
      <c r="K558" t="str">
        <f t="shared" si="44"/>
        <v/>
      </c>
      <c r="L558" t="str">
        <f t="shared" si="40"/>
        <v/>
      </c>
      <c r="M558" t="str">
        <f t="shared" si="41"/>
        <v/>
      </c>
      <c r="N558" t="str">
        <f t="shared" si="42"/>
        <v/>
      </c>
      <c r="O558" t="str">
        <f t="shared" si="43"/>
        <v/>
      </c>
    </row>
    <row r="559" spans="11:15" x14ac:dyDescent="0.3">
      <c r="K559" t="str">
        <f t="shared" si="44"/>
        <v/>
      </c>
      <c r="L559" t="str">
        <f t="shared" si="40"/>
        <v/>
      </c>
      <c r="M559" t="str">
        <f t="shared" si="41"/>
        <v/>
      </c>
      <c r="N559" t="str">
        <f t="shared" si="42"/>
        <v/>
      </c>
      <c r="O559" t="str">
        <f t="shared" si="43"/>
        <v/>
      </c>
    </row>
    <row r="560" spans="11:15" x14ac:dyDescent="0.3">
      <c r="K560" t="str">
        <f t="shared" si="44"/>
        <v/>
      </c>
      <c r="L560" t="str">
        <f t="shared" si="40"/>
        <v/>
      </c>
      <c r="M560" t="str">
        <f t="shared" si="41"/>
        <v/>
      </c>
      <c r="N560" t="str">
        <f t="shared" si="42"/>
        <v/>
      </c>
      <c r="O560" t="str">
        <f t="shared" si="43"/>
        <v/>
      </c>
    </row>
    <row r="561" spans="11:15" x14ac:dyDescent="0.3">
      <c r="K561" t="str">
        <f t="shared" si="44"/>
        <v/>
      </c>
      <c r="L561" t="str">
        <f t="shared" si="40"/>
        <v/>
      </c>
      <c r="M561" t="str">
        <f t="shared" si="41"/>
        <v/>
      </c>
      <c r="N561" t="str">
        <f t="shared" si="42"/>
        <v/>
      </c>
      <c r="O561" t="str">
        <f t="shared" si="43"/>
        <v/>
      </c>
    </row>
    <row r="562" spans="11:15" x14ac:dyDescent="0.3">
      <c r="K562" t="str">
        <f t="shared" si="44"/>
        <v/>
      </c>
      <c r="L562" t="str">
        <f t="shared" si="40"/>
        <v/>
      </c>
      <c r="M562" t="str">
        <f t="shared" si="41"/>
        <v/>
      </c>
      <c r="N562" t="str">
        <f t="shared" si="42"/>
        <v/>
      </c>
      <c r="O562" t="str">
        <f t="shared" si="43"/>
        <v/>
      </c>
    </row>
    <row r="563" spans="11:15" x14ac:dyDescent="0.3">
      <c r="K563" t="str">
        <f t="shared" si="44"/>
        <v/>
      </c>
      <c r="L563" t="str">
        <f t="shared" si="40"/>
        <v/>
      </c>
      <c r="M563" t="str">
        <f t="shared" si="41"/>
        <v/>
      </c>
      <c r="N563" t="str">
        <f t="shared" si="42"/>
        <v/>
      </c>
      <c r="O563" t="str">
        <f t="shared" si="43"/>
        <v/>
      </c>
    </row>
    <row r="564" spans="11:15" x14ac:dyDescent="0.3">
      <c r="K564" t="str">
        <f t="shared" si="44"/>
        <v/>
      </c>
      <c r="L564" t="str">
        <f t="shared" si="40"/>
        <v/>
      </c>
      <c r="M564" t="str">
        <f t="shared" si="41"/>
        <v/>
      </c>
      <c r="N564" t="str">
        <f t="shared" si="42"/>
        <v/>
      </c>
      <c r="O564" t="str">
        <f t="shared" si="43"/>
        <v/>
      </c>
    </row>
    <row r="565" spans="11:15" x14ac:dyDescent="0.3">
      <c r="K565" t="str">
        <f t="shared" si="44"/>
        <v/>
      </c>
      <c r="L565" t="str">
        <f t="shared" si="40"/>
        <v/>
      </c>
      <c r="M565" t="str">
        <f t="shared" si="41"/>
        <v/>
      </c>
      <c r="N565" t="str">
        <f t="shared" si="42"/>
        <v/>
      </c>
      <c r="O565" t="str">
        <f t="shared" si="43"/>
        <v/>
      </c>
    </row>
    <row r="566" spans="11:15" x14ac:dyDescent="0.3">
      <c r="K566" t="str">
        <f t="shared" si="44"/>
        <v/>
      </c>
      <c r="L566" t="str">
        <f t="shared" si="40"/>
        <v/>
      </c>
      <c r="M566" t="str">
        <f t="shared" si="41"/>
        <v/>
      </c>
      <c r="N566" t="str">
        <f t="shared" si="42"/>
        <v/>
      </c>
      <c r="O566" t="str">
        <f t="shared" si="43"/>
        <v/>
      </c>
    </row>
    <row r="567" spans="11:15" x14ac:dyDescent="0.3">
      <c r="K567" t="str">
        <f t="shared" si="44"/>
        <v/>
      </c>
      <c r="L567" t="str">
        <f t="shared" si="40"/>
        <v/>
      </c>
      <c r="M567" t="str">
        <f t="shared" si="41"/>
        <v/>
      </c>
      <c r="N567" t="str">
        <f t="shared" si="42"/>
        <v/>
      </c>
      <c r="O567" t="str">
        <f t="shared" si="43"/>
        <v/>
      </c>
    </row>
    <row r="568" spans="11:15" x14ac:dyDescent="0.3">
      <c r="K568" t="str">
        <f t="shared" si="44"/>
        <v/>
      </c>
      <c r="L568" t="str">
        <f t="shared" si="40"/>
        <v/>
      </c>
      <c r="M568" t="str">
        <f t="shared" si="41"/>
        <v/>
      </c>
      <c r="N568" t="str">
        <f t="shared" si="42"/>
        <v/>
      </c>
      <c r="O568" t="str">
        <f t="shared" si="43"/>
        <v/>
      </c>
    </row>
    <row r="569" spans="11:15" x14ac:dyDescent="0.3">
      <c r="K569" t="str">
        <f t="shared" si="44"/>
        <v/>
      </c>
      <c r="L569" t="str">
        <f t="shared" si="40"/>
        <v/>
      </c>
      <c r="M569" t="str">
        <f t="shared" si="41"/>
        <v/>
      </c>
      <c r="N569" t="str">
        <f t="shared" si="42"/>
        <v/>
      </c>
      <c r="O569" t="str">
        <f t="shared" si="43"/>
        <v/>
      </c>
    </row>
    <row r="570" spans="11:15" x14ac:dyDescent="0.3">
      <c r="K570" t="str">
        <f t="shared" si="44"/>
        <v/>
      </c>
      <c r="L570" t="str">
        <f t="shared" si="40"/>
        <v/>
      </c>
      <c r="M570" t="str">
        <f t="shared" si="41"/>
        <v/>
      </c>
      <c r="N570" t="str">
        <f t="shared" si="42"/>
        <v/>
      </c>
      <c r="O570" t="str">
        <f t="shared" si="43"/>
        <v/>
      </c>
    </row>
    <row r="571" spans="11:15" x14ac:dyDescent="0.3">
      <c r="K571" t="str">
        <f t="shared" si="44"/>
        <v/>
      </c>
      <c r="L571" t="str">
        <f t="shared" si="40"/>
        <v/>
      </c>
      <c r="M571" t="str">
        <f t="shared" si="41"/>
        <v/>
      </c>
      <c r="N571" t="str">
        <f t="shared" si="42"/>
        <v/>
      </c>
      <c r="O571" t="str">
        <f t="shared" si="43"/>
        <v/>
      </c>
    </row>
    <row r="572" spans="11:15" x14ac:dyDescent="0.3">
      <c r="K572" t="str">
        <f t="shared" si="44"/>
        <v/>
      </c>
      <c r="L572" t="str">
        <f t="shared" si="40"/>
        <v/>
      </c>
      <c r="M572" t="str">
        <f t="shared" si="41"/>
        <v/>
      </c>
      <c r="N572" t="str">
        <f t="shared" si="42"/>
        <v/>
      </c>
      <c r="O572" t="str">
        <f t="shared" si="43"/>
        <v/>
      </c>
    </row>
    <row r="573" spans="11:15" x14ac:dyDescent="0.3">
      <c r="K573" t="str">
        <f t="shared" si="44"/>
        <v/>
      </c>
      <c r="L573" t="str">
        <f t="shared" si="40"/>
        <v/>
      </c>
      <c r="M573" t="str">
        <f t="shared" si="41"/>
        <v/>
      </c>
      <c r="N573" t="str">
        <f t="shared" si="42"/>
        <v/>
      </c>
      <c r="O573" t="str">
        <f t="shared" si="43"/>
        <v/>
      </c>
    </row>
    <row r="574" spans="11:15" x14ac:dyDescent="0.3">
      <c r="K574" t="str">
        <f t="shared" si="44"/>
        <v/>
      </c>
      <c r="L574" t="str">
        <f t="shared" si="40"/>
        <v/>
      </c>
      <c r="M574" t="str">
        <f t="shared" si="41"/>
        <v/>
      </c>
      <c r="N574" t="str">
        <f t="shared" si="42"/>
        <v/>
      </c>
      <c r="O574" t="str">
        <f t="shared" si="43"/>
        <v/>
      </c>
    </row>
    <row r="575" spans="11:15" x14ac:dyDescent="0.3">
      <c r="K575" t="str">
        <f t="shared" si="44"/>
        <v/>
      </c>
      <c r="L575" t="str">
        <f t="shared" si="40"/>
        <v/>
      </c>
      <c r="M575" t="str">
        <f t="shared" si="41"/>
        <v/>
      </c>
      <c r="N575" t="str">
        <f t="shared" si="42"/>
        <v/>
      </c>
      <c r="O575" t="str">
        <f t="shared" si="43"/>
        <v/>
      </c>
    </row>
    <row r="576" spans="11:15" x14ac:dyDescent="0.3">
      <c r="K576" t="str">
        <f t="shared" si="44"/>
        <v/>
      </c>
      <c r="L576" t="str">
        <f t="shared" si="40"/>
        <v/>
      </c>
      <c r="M576" t="str">
        <f t="shared" si="41"/>
        <v/>
      </c>
      <c r="N576" t="str">
        <f t="shared" si="42"/>
        <v/>
      </c>
      <c r="O576" t="str">
        <f t="shared" si="43"/>
        <v/>
      </c>
    </row>
    <row r="577" spans="11:15" x14ac:dyDescent="0.3">
      <c r="K577" t="str">
        <f t="shared" si="44"/>
        <v/>
      </c>
      <c r="L577" t="str">
        <f t="shared" ref="L577:L640" si="45">IF(A577="","",IF(ISNUMBER(--LEFT(A577,FIND(" - ",A577&amp;" - ")-1)),LEFT(A577,FIND(" - ",A577&amp;" - ")-1),TRIM(A577)))</f>
        <v/>
      </c>
      <c r="M577" t="str">
        <f t="shared" ref="M577:M640" si="46">IF(OR(K577="",K577=A577,A577=""),"",K577&amp;"|"&amp;L577)</f>
        <v/>
      </c>
      <c r="N577" t="str">
        <f t="shared" ref="N577:N640" si="47">IF(M577="","",IF(ISNUMBER(B577),B577,IFERROR(_xlfn.NUMBERVALUE(B577,".",","),0)))</f>
        <v/>
      </c>
      <c r="O577" t="str">
        <f t="shared" ref="O577:O640" si="48">IF(M577="","",IF(ISNUMBER(C577),C577,IFERROR(_xlfn.NUMBERVALUE(C577,".",","),0)))</f>
        <v/>
      </c>
    </row>
    <row r="578" spans="11:15" x14ac:dyDescent="0.3">
      <c r="K578" t="str">
        <f t="shared" ref="K578:K641" si="49">IF(OR(LEFT(B578,9)="DOANH THU",LEFT(B578,8)="SỐ LƯỢNG"),A578,K577)</f>
        <v/>
      </c>
      <c r="L578" t="str">
        <f t="shared" si="45"/>
        <v/>
      </c>
      <c r="M578" t="str">
        <f t="shared" si="46"/>
        <v/>
      </c>
      <c r="N578" t="str">
        <f t="shared" si="47"/>
        <v/>
      </c>
      <c r="O578" t="str">
        <f t="shared" si="48"/>
        <v/>
      </c>
    </row>
    <row r="579" spans="11:15" x14ac:dyDescent="0.3">
      <c r="K579" t="str">
        <f t="shared" si="49"/>
        <v/>
      </c>
      <c r="L579" t="str">
        <f t="shared" si="45"/>
        <v/>
      </c>
      <c r="M579" t="str">
        <f t="shared" si="46"/>
        <v/>
      </c>
      <c r="N579" t="str">
        <f t="shared" si="47"/>
        <v/>
      </c>
      <c r="O579" t="str">
        <f t="shared" si="48"/>
        <v/>
      </c>
    </row>
    <row r="580" spans="11:15" x14ac:dyDescent="0.3">
      <c r="K580" t="str">
        <f t="shared" si="49"/>
        <v/>
      </c>
      <c r="L580" t="str">
        <f t="shared" si="45"/>
        <v/>
      </c>
      <c r="M580" t="str">
        <f t="shared" si="46"/>
        <v/>
      </c>
      <c r="N580" t="str">
        <f t="shared" si="47"/>
        <v/>
      </c>
      <c r="O580" t="str">
        <f t="shared" si="48"/>
        <v/>
      </c>
    </row>
    <row r="581" spans="11:15" x14ac:dyDescent="0.3">
      <c r="K581" t="str">
        <f t="shared" si="49"/>
        <v/>
      </c>
      <c r="L581" t="str">
        <f t="shared" si="45"/>
        <v/>
      </c>
      <c r="M581" t="str">
        <f t="shared" si="46"/>
        <v/>
      </c>
      <c r="N581" t="str">
        <f t="shared" si="47"/>
        <v/>
      </c>
      <c r="O581" t="str">
        <f t="shared" si="48"/>
        <v/>
      </c>
    </row>
    <row r="582" spans="11:15" x14ac:dyDescent="0.3">
      <c r="K582" t="str">
        <f t="shared" si="49"/>
        <v/>
      </c>
      <c r="L582" t="str">
        <f t="shared" si="45"/>
        <v/>
      </c>
      <c r="M582" t="str">
        <f t="shared" si="46"/>
        <v/>
      </c>
      <c r="N582" t="str">
        <f t="shared" si="47"/>
        <v/>
      </c>
      <c r="O582" t="str">
        <f t="shared" si="48"/>
        <v/>
      </c>
    </row>
    <row r="583" spans="11:15" x14ac:dyDescent="0.3">
      <c r="K583" t="str">
        <f t="shared" si="49"/>
        <v/>
      </c>
      <c r="L583" t="str">
        <f t="shared" si="45"/>
        <v/>
      </c>
      <c r="M583" t="str">
        <f t="shared" si="46"/>
        <v/>
      </c>
      <c r="N583" t="str">
        <f t="shared" si="47"/>
        <v/>
      </c>
      <c r="O583" t="str">
        <f t="shared" si="48"/>
        <v/>
      </c>
    </row>
    <row r="584" spans="11:15" x14ac:dyDescent="0.3">
      <c r="K584" t="str">
        <f t="shared" si="49"/>
        <v/>
      </c>
      <c r="L584" t="str">
        <f t="shared" si="45"/>
        <v/>
      </c>
      <c r="M584" t="str">
        <f t="shared" si="46"/>
        <v/>
      </c>
      <c r="N584" t="str">
        <f t="shared" si="47"/>
        <v/>
      </c>
      <c r="O584" t="str">
        <f t="shared" si="48"/>
        <v/>
      </c>
    </row>
    <row r="585" spans="11:15" x14ac:dyDescent="0.3">
      <c r="K585" t="str">
        <f t="shared" si="49"/>
        <v/>
      </c>
      <c r="L585" t="str">
        <f t="shared" si="45"/>
        <v/>
      </c>
      <c r="M585" t="str">
        <f t="shared" si="46"/>
        <v/>
      </c>
      <c r="N585" t="str">
        <f t="shared" si="47"/>
        <v/>
      </c>
      <c r="O585" t="str">
        <f t="shared" si="48"/>
        <v/>
      </c>
    </row>
    <row r="586" spans="11:15" x14ac:dyDescent="0.3">
      <c r="K586" t="str">
        <f t="shared" si="49"/>
        <v/>
      </c>
      <c r="L586" t="str">
        <f t="shared" si="45"/>
        <v/>
      </c>
      <c r="M586" t="str">
        <f t="shared" si="46"/>
        <v/>
      </c>
      <c r="N586" t="str">
        <f t="shared" si="47"/>
        <v/>
      </c>
      <c r="O586" t="str">
        <f t="shared" si="48"/>
        <v/>
      </c>
    </row>
    <row r="587" spans="11:15" x14ac:dyDescent="0.3">
      <c r="K587" t="str">
        <f t="shared" si="49"/>
        <v/>
      </c>
      <c r="L587" t="str">
        <f t="shared" si="45"/>
        <v/>
      </c>
      <c r="M587" t="str">
        <f t="shared" si="46"/>
        <v/>
      </c>
      <c r="N587" t="str">
        <f t="shared" si="47"/>
        <v/>
      </c>
      <c r="O587" t="str">
        <f t="shared" si="48"/>
        <v/>
      </c>
    </row>
    <row r="588" spans="11:15" x14ac:dyDescent="0.3">
      <c r="K588" t="str">
        <f t="shared" si="49"/>
        <v/>
      </c>
      <c r="L588" t="str">
        <f t="shared" si="45"/>
        <v/>
      </c>
      <c r="M588" t="str">
        <f t="shared" si="46"/>
        <v/>
      </c>
      <c r="N588" t="str">
        <f t="shared" si="47"/>
        <v/>
      </c>
      <c r="O588" t="str">
        <f t="shared" si="48"/>
        <v/>
      </c>
    </row>
    <row r="589" spans="11:15" x14ac:dyDescent="0.3">
      <c r="K589" t="str">
        <f t="shared" si="49"/>
        <v/>
      </c>
      <c r="L589" t="str">
        <f t="shared" si="45"/>
        <v/>
      </c>
      <c r="M589" t="str">
        <f t="shared" si="46"/>
        <v/>
      </c>
      <c r="N589" t="str">
        <f t="shared" si="47"/>
        <v/>
      </c>
      <c r="O589" t="str">
        <f t="shared" si="48"/>
        <v/>
      </c>
    </row>
    <row r="590" spans="11:15" x14ac:dyDescent="0.3">
      <c r="K590" t="str">
        <f t="shared" si="49"/>
        <v/>
      </c>
      <c r="L590" t="str">
        <f t="shared" si="45"/>
        <v/>
      </c>
      <c r="M590" t="str">
        <f t="shared" si="46"/>
        <v/>
      </c>
      <c r="N590" t="str">
        <f t="shared" si="47"/>
        <v/>
      </c>
      <c r="O590" t="str">
        <f t="shared" si="48"/>
        <v/>
      </c>
    </row>
    <row r="591" spans="11:15" x14ac:dyDescent="0.3">
      <c r="K591" t="str">
        <f t="shared" si="49"/>
        <v/>
      </c>
      <c r="L591" t="str">
        <f t="shared" si="45"/>
        <v/>
      </c>
      <c r="M591" t="str">
        <f t="shared" si="46"/>
        <v/>
      </c>
      <c r="N591" t="str">
        <f t="shared" si="47"/>
        <v/>
      </c>
      <c r="O591" t="str">
        <f t="shared" si="48"/>
        <v/>
      </c>
    </row>
    <row r="592" spans="11:15" x14ac:dyDescent="0.3">
      <c r="K592" t="str">
        <f t="shared" si="49"/>
        <v/>
      </c>
      <c r="L592" t="str">
        <f t="shared" si="45"/>
        <v/>
      </c>
      <c r="M592" t="str">
        <f t="shared" si="46"/>
        <v/>
      </c>
      <c r="N592" t="str">
        <f t="shared" si="47"/>
        <v/>
      </c>
      <c r="O592" t="str">
        <f t="shared" si="48"/>
        <v/>
      </c>
    </row>
    <row r="593" spans="11:15" x14ac:dyDescent="0.3">
      <c r="K593" t="str">
        <f t="shared" si="49"/>
        <v/>
      </c>
      <c r="L593" t="str">
        <f t="shared" si="45"/>
        <v/>
      </c>
      <c r="M593" t="str">
        <f t="shared" si="46"/>
        <v/>
      </c>
      <c r="N593" t="str">
        <f t="shared" si="47"/>
        <v/>
      </c>
      <c r="O593" t="str">
        <f t="shared" si="48"/>
        <v/>
      </c>
    </row>
    <row r="594" spans="11:15" x14ac:dyDescent="0.3">
      <c r="K594" t="str">
        <f t="shared" si="49"/>
        <v/>
      </c>
      <c r="L594" t="str">
        <f t="shared" si="45"/>
        <v/>
      </c>
      <c r="M594" t="str">
        <f t="shared" si="46"/>
        <v/>
      </c>
      <c r="N594" t="str">
        <f t="shared" si="47"/>
        <v/>
      </c>
      <c r="O594" t="str">
        <f t="shared" si="48"/>
        <v/>
      </c>
    </row>
    <row r="595" spans="11:15" x14ac:dyDescent="0.3">
      <c r="K595" t="str">
        <f t="shared" si="49"/>
        <v/>
      </c>
      <c r="L595" t="str">
        <f t="shared" si="45"/>
        <v/>
      </c>
      <c r="M595" t="str">
        <f t="shared" si="46"/>
        <v/>
      </c>
      <c r="N595" t="str">
        <f t="shared" si="47"/>
        <v/>
      </c>
      <c r="O595" t="str">
        <f t="shared" si="48"/>
        <v/>
      </c>
    </row>
    <row r="596" spans="11:15" x14ac:dyDescent="0.3">
      <c r="K596" t="str">
        <f t="shared" si="49"/>
        <v/>
      </c>
      <c r="L596" t="str">
        <f t="shared" si="45"/>
        <v/>
      </c>
      <c r="M596" t="str">
        <f t="shared" si="46"/>
        <v/>
      </c>
      <c r="N596" t="str">
        <f t="shared" si="47"/>
        <v/>
      </c>
      <c r="O596" t="str">
        <f t="shared" si="48"/>
        <v/>
      </c>
    </row>
    <row r="597" spans="11:15" x14ac:dyDescent="0.3">
      <c r="K597" t="str">
        <f t="shared" si="49"/>
        <v/>
      </c>
      <c r="L597" t="str">
        <f t="shared" si="45"/>
        <v/>
      </c>
      <c r="M597" t="str">
        <f t="shared" si="46"/>
        <v/>
      </c>
      <c r="N597" t="str">
        <f t="shared" si="47"/>
        <v/>
      </c>
      <c r="O597" t="str">
        <f t="shared" si="48"/>
        <v/>
      </c>
    </row>
    <row r="598" spans="11:15" x14ac:dyDescent="0.3">
      <c r="K598" t="str">
        <f t="shared" si="49"/>
        <v/>
      </c>
      <c r="L598" t="str">
        <f t="shared" si="45"/>
        <v/>
      </c>
      <c r="M598" t="str">
        <f t="shared" si="46"/>
        <v/>
      </c>
      <c r="N598" t="str">
        <f t="shared" si="47"/>
        <v/>
      </c>
      <c r="O598" t="str">
        <f t="shared" si="48"/>
        <v/>
      </c>
    </row>
    <row r="599" spans="11:15" x14ac:dyDescent="0.3">
      <c r="K599" t="str">
        <f t="shared" si="49"/>
        <v/>
      </c>
      <c r="L599" t="str">
        <f t="shared" si="45"/>
        <v/>
      </c>
      <c r="M599" t="str">
        <f t="shared" si="46"/>
        <v/>
      </c>
      <c r="N599" t="str">
        <f t="shared" si="47"/>
        <v/>
      </c>
      <c r="O599" t="str">
        <f t="shared" si="48"/>
        <v/>
      </c>
    </row>
    <row r="600" spans="11:15" x14ac:dyDescent="0.3">
      <c r="K600" t="str">
        <f t="shared" si="49"/>
        <v/>
      </c>
      <c r="L600" t="str">
        <f t="shared" si="45"/>
        <v/>
      </c>
      <c r="M600" t="str">
        <f t="shared" si="46"/>
        <v/>
      </c>
      <c r="N600" t="str">
        <f t="shared" si="47"/>
        <v/>
      </c>
      <c r="O600" t="str">
        <f t="shared" si="48"/>
        <v/>
      </c>
    </row>
    <row r="601" spans="11:15" x14ac:dyDescent="0.3">
      <c r="K601" t="str">
        <f t="shared" si="49"/>
        <v/>
      </c>
      <c r="L601" t="str">
        <f t="shared" si="45"/>
        <v/>
      </c>
      <c r="M601" t="str">
        <f t="shared" si="46"/>
        <v/>
      </c>
      <c r="N601" t="str">
        <f t="shared" si="47"/>
        <v/>
      </c>
      <c r="O601" t="str">
        <f t="shared" si="48"/>
        <v/>
      </c>
    </row>
    <row r="602" spans="11:15" x14ac:dyDescent="0.3">
      <c r="K602" t="str">
        <f t="shared" si="49"/>
        <v/>
      </c>
      <c r="L602" t="str">
        <f t="shared" si="45"/>
        <v/>
      </c>
      <c r="M602" t="str">
        <f t="shared" si="46"/>
        <v/>
      </c>
      <c r="N602" t="str">
        <f t="shared" si="47"/>
        <v/>
      </c>
      <c r="O602" t="str">
        <f t="shared" si="48"/>
        <v/>
      </c>
    </row>
    <row r="603" spans="11:15" x14ac:dyDescent="0.3">
      <c r="K603" t="str">
        <f t="shared" si="49"/>
        <v/>
      </c>
      <c r="L603" t="str">
        <f t="shared" si="45"/>
        <v/>
      </c>
      <c r="M603" t="str">
        <f t="shared" si="46"/>
        <v/>
      </c>
      <c r="N603" t="str">
        <f t="shared" si="47"/>
        <v/>
      </c>
      <c r="O603" t="str">
        <f t="shared" si="48"/>
        <v/>
      </c>
    </row>
    <row r="604" spans="11:15" x14ac:dyDescent="0.3">
      <c r="K604" t="str">
        <f t="shared" si="49"/>
        <v/>
      </c>
      <c r="L604" t="str">
        <f t="shared" si="45"/>
        <v/>
      </c>
      <c r="M604" t="str">
        <f t="shared" si="46"/>
        <v/>
      </c>
      <c r="N604" t="str">
        <f t="shared" si="47"/>
        <v/>
      </c>
      <c r="O604" t="str">
        <f t="shared" si="48"/>
        <v/>
      </c>
    </row>
    <row r="605" spans="11:15" x14ac:dyDescent="0.3">
      <c r="K605" t="str">
        <f t="shared" si="49"/>
        <v/>
      </c>
      <c r="L605" t="str">
        <f t="shared" si="45"/>
        <v/>
      </c>
      <c r="M605" t="str">
        <f t="shared" si="46"/>
        <v/>
      </c>
      <c r="N605" t="str">
        <f t="shared" si="47"/>
        <v/>
      </c>
      <c r="O605" t="str">
        <f t="shared" si="48"/>
        <v/>
      </c>
    </row>
    <row r="606" spans="11:15" x14ac:dyDescent="0.3">
      <c r="K606" t="str">
        <f t="shared" si="49"/>
        <v/>
      </c>
      <c r="L606" t="str">
        <f t="shared" si="45"/>
        <v/>
      </c>
      <c r="M606" t="str">
        <f t="shared" si="46"/>
        <v/>
      </c>
      <c r="N606" t="str">
        <f t="shared" si="47"/>
        <v/>
      </c>
      <c r="O606" t="str">
        <f t="shared" si="48"/>
        <v/>
      </c>
    </row>
    <row r="607" spans="11:15" x14ac:dyDescent="0.3">
      <c r="K607" t="str">
        <f t="shared" si="49"/>
        <v/>
      </c>
      <c r="L607" t="str">
        <f t="shared" si="45"/>
        <v/>
      </c>
      <c r="M607" t="str">
        <f t="shared" si="46"/>
        <v/>
      </c>
      <c r="N607" t="str">
        <f t="shared" si="47"/>
        <v/>
      </c>
      <c r="O607" t="str">
        <f t="shared" si="48"/>
        <v/>
      </c>
    </row>
    <row r="608" spans="11:15" x14ac:dyDescent="0.3">
      <c r="K608" t="str">
        <f t="shared" si="49"/>
        <v/>
      </c>
      <c r="L608" t="str">
        <f t="shared" si="45"/>
        <v/>
      </c>
      <c r="M608" t="str">
        <f t="shared" si="46"/>
        <v/>
      </c>
      <c r="N608" t="str">
        <f t="shared" si="47"/>
        <v/>
      </c>
      <c r="O608" t="str">
        <f t="shared" si="48"/>
        <v/>
      </c>
    </row>
    <row r="609" spans="11:15" x14ac:dyDescent="0.3">
      <c r="K609" t="str">
        <f t="shared" si="49"/>
        <v/>
      </c>
      <c r="L609" t="str">
        <f t="shared" si="45"/>
        <v/>
      </c>
      <c r="M609" t="str">
        <f t="shared" si="46"/>
        <v/>
      </c>
      <c r="N609" t="str">
        <f t="shared" si="47"/>
        <v/>
      </c>
      <c r="O609" t="str">
        <f t="shared" si="48"/>
        <v/>
      </c>
    </row>
    <row r="610" spans="11:15" x14ac:dyDescent="0.3">
      <c r="K610" t="str">
        <f t="shared" si="49"/>
        <v/>
      </c>
      <c r="L610" t="str">
        <f t="shared" si="45"/>
        <v/>
      </c>
      <c r="M610" t="str">
        <f t="shared" si="46"/>
        <v/>
      </c>
      <c r="N610" t="str">
        <f t="shared" si="47"/>
        <v/>
      </c>
      <c r="O610" t="str">
        <f t="shared" si="48"/>
        <v/>
      </c>
    </row>
    <row r="611" spans="11:15" x14ac:dyDescent="0.3">
      <c r="K611" t="str">
        <f t="shared" si="49"/>
        <v/>
      </c>
      <c r="L611" t="str">
        <f t="shared" si="45"/>
        <v/>
      </c>
      <c r="M611" t="str">
        <f t="shared" si="46"/>
        <v/>
      </c>
      <c r="N611" t="str">
        <f t="shared" si="47"/>
        <v/>
      </c>
      <c r="O611" t="str">
        <f t="shared" si="48"/>
        <v/>
      </c>
    </row>
    <row r="612" spans="11:15" x14ac:dyDescent="0.3">
      <c r="K612" t="str">
        <f t="shared" si="49"/>
        <v/>
      </c>
      <c r="L612" t="str">
        <f t="shared" si="45"/>
        <v/>
      </c>
      <c r="M612" t="str">
        <f t="shared" si="46"/>
        <v/>
      </c>
      <c r="N612" t="str">
        <f t="shared" si="47"/>
        <v/>
      </c>
      <c r="O612" t="str">
        <f t="shared" si="48"/>
        <v/>
      </c>
    </row>
    <row r="613" spans="11:15" x14ac:dyDescent="0.3">
      <c r="K613" t="str">
        <f t="shared" si="49"/>
        <v/>
      </c>
      <c r="L613" t="str">
        <f t="shared" si="45"/>
        <v/>
      </c>
      <c r="M613" t="str">
        <f t="shared" si="46"/>
        <v/>
      </c>
      <c r="N613" t="str">
        <f t="shared" si="47"/>
        <v/>
      </c>
      <c r="O613" t="str">
        <f t="shared" si="48"/>
        <v/>
      </c>
    </row>
    <row r="614" spans="11:15" x14ac:dyDescent="0.3">
      <c r="K614" t="str">
        <f t="shared" si="49"/>
        <v/>
      </c>
      <c r="L614" t="str">
        <f t="shared" si="45"/>
        <v/>
      </c>
      <c r="M614" t="str">
        <f t="shared" si="46"/>
        <v/>
      </c>
      <c r="N614" t="str">
        <f t="shared" si="47"/>
        <v/>
      </c>
      <c r="O614" t="str">
        <f t="shared" si="48"/>
        <v/>
      </c>
    </row>
    <row r="615" spans="11:15" x14ac:dyDescent="0.3">
      <c r="K615" t="str">
        <f t="shared" si="49"/>
        <v/>
      </c>
      <c r="L615" t="str">
        <f t="shared" si="45"/>
        <v/>
      </c>
      <c r="M615" t="str">
        <f t="shared" si="46"/>
        <v/>
      </c>
      <c r="N615" t="str">
        <f t="shared" si="47"/>
        <v/>
      </c>
      <c r="O615" t="str">
        <f t="shared" si="48"/>
        <v/>
      </c>
    </row>
    <row r="616" spans="11:15" x14ac:dyDescent="0.3">
      <c r="K616" t="str">
        <f t="shared" si="49"/>
        <v/>
      </c>
      <c r="L616" t="str">
        <f t="shared" si="45"/>
        <v/>
      </c>
      <c r="M616" t="str">
        <f t="shared" si="46"/>
        <v/>
      </c>
      <c r="N616" t="str">
        <f t="shared" si="47"/>
        <v/>
      </c>
      <c r="O616" t="str">
        <f t="shared" si="48"/>
        <v/>
      </c>
    </row>
    <row r="617" spans="11:15" x14ac:dyDescent="0.3">
      <c r="K617" t="str">
        <f t="shared" si="49"/>
        <v/>
      </c>
      <c r="L617" t="str">
        <f t="shared" si="45"/>
        <v/>
      </c>
      <c r="M617" t="str">
        <f t="shared" si="46"/>
        <v/>
      </c>
      <c r="N617" t="str">
        <f t="shared" si="47"/>
        <v/>
      </c>
      <c r="O617" t="str">
        <f t="shared" si="48"/>
        <v/>
      </c>
    </row>
    <row r="618" spans="11:15" x14ac:dyDescent="0.3">
      <c r="K618" t="str">
        <f t="shared" si="49"/>
        <v/>
      </c>
      <c r="L618" t="str">
        <f t="shared" si="45"/>
        <v/>
      </c>
      <c r="M618" t="str">
        <f t="shared" si="46"/>
        <v/>
      </c>
      <c r="N618" t="str">
        <f t="shared" si="47"/>
        <v/>
      </c>
      <c r="O618" t="str">
        <f t="shared" si="48"/>
        <v/>
      </c>
    </row>
    <row r="619" spans="11:15" x14ac:dyDescent="0.3">
      <c r="K619" t="str">
        <f t="shared" si="49"/>
        <v/>
      </c>
      <c r="L619" t="str">
        <f t="shared" si="45"/>
        <v/>
      </c>
      <c r="M619" t="str">
        <f t="shared" si="46"/>
        <v/>
      </c>
      <c r="N619" t="str">
        <f t="shared" si="47"/>
        <v/>
      </c>
      <c r="O619" t="str">
        <f t="shared" si="48"/>
        <v/>
      </c>
    </row>
    <row r="620" spans="11:15" x14ac:dyDescent="0.3">
      <c r="K620" t="str">
        <f t="shared" si="49"/>
        <v/>
      </c>
      <c r="L620" t="str">
        <f t="shared" si="45"/>
        <v/>
      </c>
      <c r="M620" t="str">
        <f t="shared" si="46"/>
        <v/>
      </c>
      <c r="N620" t="str">
        <f t="shared" si="47"/>
        <v/>
      </c>
      <c r="O620" t="str">
        <f t="shared" si="48"/>
        <v/>
      </c>
    </row>
    <row r="621" spans="11:15" x14ac:dyDescent="0.3">
      <c r="K621" t="str">
        <f t="shared" si="49"/>
        <v/>
      </c>
      <c r="L621" t="str">
        <f t="shared" si="45"/>
        <v/>
      </c>
      <c r="M621" t="str">
        <f t="shared" si="46"/>
        <v/>
      </c>
      <c r="N621" t="str">
        <f t="shared" si="47"/>
        <v/>
      </c>
      <c r="O621" t="str">
        <f t="shared" si="48"/>
        <v/>
      </c>
    </row>
    <row r="622" spans="11:15" x14ac:dyDescent="0.3">
      <c r="K622" t="str">
        <f t="shared" si="49"/>
        <v/>
      </c>
      <c r="L622" t="str">
        <f t="shared" si="45"/>
        <v/>
      </c>
      <c r="M622" t="str">
        <f t="shared" si="46"/>
        <v/>
      </c>
      <c r="N622" t="str">
        <f t="shared" si="47"/>
        <v/>
      </c>
      <c r="O622" t="str">
        <f t="shared" si="48"/>
        <v/>
      </c>
    </row>
    <row r="623" spans="11:15" x14ac:dyDescent="0.3">
      <c r="K623" t="str">
        <f t="shared" si="49"/>
        <v/>
      </c>
      <c r="L623" t="str">
        <f t="shared" si="45"/>
        <v/>
      </c>
      <c r="M623" t="str">
        <f t="shared" si="46"/>
        <v/>
      </c>
      <c r="N623" t="str">
        <f t="shared" si="47"/>
        <v/>
      </c>
      <c r="O623" t="str">
        <f t="shared" si="48"/>
        <v/>
      </c>
    </row>
    <row r="624" spans="11:15" x14ac:dyDescent="0.3">
      <c r="K624" t="str">
        <f t="shared" si="49"/>
        <v/>
      </c>
      <c r="L624" t="str">
        <f t="shared" si="45"/>
        <v/>
      </c>
      <c r="M624" t="str">
        <f t="shared" si="46"/>
        <v/>
      </c>
      <c r="N624" t="str">
        <f t="shared" si="47"/>
        <v/>
      </c>
      <c r="O624" t="str">
        <f t="shared" si="48"/>
        <v/>
      </c>
    </row>
    <row r="625" spans="11:15" x14ac:dyDescent="0.3">
      <c r="K625" t="str">
        <f t="shared" si="49"/>
        <v/>
      </c>
      <c r="L625" t="str">
        <f t="shared" si="45"/>
        <v/>
      </c>
      <c r="M625" t="str">
        <f t="shared" si="46"/>
        <v/>
      </c>
      <c r="N625" t="str">
        <f t="shared" si="47"/>
        <v/>
      </c>
      <c r="O625" t="str">
        <f t="shared" si="48"/>
        <v/>
      </c>
    </row>
    <row r="626" spans="11:15" x14ac:dyDescent="0.3">
      <c r="K626" t="str">
        <f t="shared" si="49"/>
        <v/>
      </c>
      <c r="L626" t="str">
        <f t="shared" si="45"/>
        <v/>
      </c>
      <c r="M626" t="str">
        <f t="shared" si="46"/>
        <v/>
      </c>
      <c r="N626" t="str">
        <f t="shared" si="47"/>
        <v/>
      </c>
      <c r="O626" t="str">
        <f t="shared" si="48"/>
        <v/>
      </c>
    </row>
    <row r="627" spans="11:15" x14ac:dyDescent="0.3">
      <c r="K627" t="str">
        <f t="shared" si="49"/>
        <v/>
      </c>
      <c r="L627" t="str">
        <f t="shared" si="45"/>
        <v/>
      </c>
      <c r="M627" t="str">
        <f t="shared" si="46"/>
        <v/>
      </c>
      <c r="N627" t="str">
        <f t="shared" si="47"/>
        <v/>
      </c>
      <c r="O627" t="str">
        <f t="shared" si="48"/>
        <v/>
      </c>
    </row>
    <row r="628" spans="11:15" x14ac:dyDescent="0.3">
      <c r="K628" t="str">
        <f t="shared" si="49"/>
        <v/>
      </c>
      <c r="L628" t="str">
        <f t="shared" si="45"/>
        <v/>
      </c>
      <c r="M628" t="str">
        <f t="shared" si="46"/>
        <v/>
      </c>
      <c r="N628" t="str">
        <f t="shared" si="47"/>
        <v/>
      </c>
      <c r="O628" t="str">
        <f t="shared" si="48"/>
        <v/>
      </c>
    </row>
    <row r="629" spans="11:15" x14ac:dyDescent="0.3">
      <c r="K629" t="str">
        <f t="shared" si="49"/>
        <v/>
      </c>
      <c r="L629" t="str">
        <f t="shared" si="45"/>
        <v/>
      </c>
      <c r="M629" t="str">
        <f t="shared" si="46"/>
        <v/>
      </c>
      <c r="N629" t="str">
        <f t="shared" si="47"/>
        <v/>
      </c>
      <c r="O629" t="str">
        <f t="shared" si="48"/>
        <v/>
      </c>
    </row>
    <row r="630" spans="11:15" x14ac:dyDescent="0.3">
      <c r="K630" t="str">
        <f t="shared" si="49"/>
        <v/>
      </c>
      <c r="L630" t="str">
        <f t="shared" si="45"/>
        <v/>
      </c>
      <c r="M630" t="str">
        <f t="shared" si="46"/>
        <v/>
      </c>
      <c r="N630" t="str">
        <f t="shared" si="47"/>
        <v/>
      </c>
      <c r="O630" t="str">
        <f t="shared" si="48"/>
        <v/>
      </c>
    </row>
    <row r="631" spans="11:15" x14ac:dyDescent="0.3">
      <c r="K631" t="str">
        <f t="shared" si="49"/>
        <v/>
      </c>
      <c r="L631" t="str">
        <f t="shared" si="45"/>
        <v/>
      </c>
      <c r="M631" t="str">
        <f t="shared" si="46"/>
        <v/>
      </c>
      <c r="N631" t="str">
        <f t="shared" si="47"/>
        <v/>
      </c>
      <c r="O631" t="str">
        <f t="shared" si="48"/>
        <v/>
      </c>
    </row>
    <row r="632" spans="11:15" x14ac:dyDescent="0.3">
      <c r="K632" t="str">
        <f t="shared" si="49"/>
        <v/>
      </c>
      <c r="L632" t="str">
        <f t="shared" si="45"/>
        <v/>
      </c>
      <c r="M632" t="str">
        <f t="shared" si="46"/>
        <v/>
      </c>
      <c r="N632" t="str">
        <f t="shared" si="47"/>
        <v/>
      </c>
      <c r="O632" t="str">
        <f t="shared" si="48"/>
        <v/>
      </c>
    </row>
    <row r="633" spans="11:15" x14ac:dyDescent="0.3">
      <c r="K633" t="str">
        <f t="shared" si="49"/>
        <v/>
      </c>
      <c r="L633" t="str">
        <f t="shared" si="45"/>
        <v/>
      </c>
      <c r="M633" t="str">
        <f t="shared" si="46"/>
        <v/>
      </c>
      <c r="N633" t="str">
        <f t="shared" si="47"/>
        <v/>
      </c>
      <c r="O633" t="str">
        <f t="shared" si="48"/>
        <v/>
      </c>
    </row>
    <row r="634" spans="11:15" x14ac:dyDescent="0.3">
      <c r="K634" t="str">
        <f t="shared" si="49"/>
        <v/>
      </c>
      <c r="L634" t="str">
        <f t="shared" si="45"/>
        <v/>
      </c>
      <c r="M634" t="str">
        <f t="shared" si="46"/>
        <v/>
      </c>
      <c r="N634" t="str">
        <f t="shared" si="47"/>
        <v/>
      </c>
      <c r="O634" t="str">
        <f t="shared" si="48"/>
        <v/>
      </c>
    </row>
    <row r="635" spans="11:15" x14ac:dyDescent="0.3">
      <c r="K635" t="str">
        <f t="shared" si="49"/>
        <v/>
      </c>
      <c r="L635" t="str">
        <f t="shared" si="45"/>
        <v/>
      </c>
      <c r="M635" t="str">
        <f t="shared" si="46"/>
        <v/>
      </c>
      <c r="N635" t="str">
        <f t="shared" si="47"/>
        <v/>
      </c>
      <c r="O635" t="str">
        <f t="shared" si="48"/>
        <v/>
      </c>
    </row>
    <row r="636" spans="11:15" x14ac:dyDescent="0.3">
      <c r="K636" t="str">
        <f t="shared" si="49"/>
        <v/>
      </c>
      <c r="L636" t="str">
        <f t="shared" si="45"/>
        <v/>
      </c>
      <c r="M636" t="str">
        <f t="shared" si="46"/>
        <v/>
      </c>
      <c r="N636" t="str">
        <f t="shared" si="47"/>
        <v/>
      </c>
      <c r="O636" t="str">
        <f t="shared" si="48"/>
        <v/>
      </c>
    </row>
    <row r="637" spans="11:15" x14ac:dyDescent="0.3">
      <c r="K637" t="str">
        <f t="shared" si="49"/>
        <v/>
      </c>
      <c r="L637" t="str">
        <f t="shared" si="45"/>
        <v/>
      </c>
      <c r="M637" t="str">
        <f t="shared" si="46"/>
        <v/>
      </c>
      <c r="N637" t="str">
        <f t="shared" si="47"/>
        <v/>
      </c>
      <c r="O637" t="str">
        <f t="shared" si="48"/>
        <v/>
      </c>
    </row>
    <row r="638" spans="11:15" x14ac:dyDescent="0.3">
      <c r="K638" t="str">
        <f t="shared" si="49"/>
        <v/>
      </c>
      <c r="L638" t="str">
        <f t="shared" si="45"/>
        <v/>
      </c>
      <c r="M638" t="str">
        <f t="shared" si="46"/>
        <v/>
      </c>
      <c r="N638" t="str">
        <f t="shared" si="47"/>
        <v/>
      </c>
      <c r="O638" t="str">
        <f t="shared" si="48"/>
        <v/>
      </c>
    </row>
    <row r="639" spans="11:15" x14ac:dyDescent="0.3">
      <c r="K639" t="str">
        <f t="shared" si="49"/>
        <v/>
      </c>
      <c r="L639" t="str">
        <f t="shared" si="45"/>
        <v/>
      </c>
      <c r="M639" t="str">
        <f t="shared" si="46"/>
        <v/>
      </c>
      <c r="N639" t="str">
        <f t="shared" si="47"/>
        <v/>
      </c>
      <c r="O639" t="str">
        <f t="shared" si="48"/>
        <v/>
      </c>
    </row>
    <row r="640" spans="11:15" x14ac:dyDescent="0.3">
      <c r="K640" t="str">
        <f t="shared" si="49"/>
        <v/>
      </c>
      <c r="L640" t="str">
        <f t="shared" si="45"/>
        <v/>
      </c>
      <c r="M640" t="str">
        <f t="shared" si="46"/>
        <v/>
      </c>
      <c r="N640" t="str">
        <f t="shared" si="47"/>
        <v/>
      </c>
      <c r="O640" t="str">
        <f t="shared" si="48"/>
        <v/>
      </c>
    </row>
    <row r="641" spans="11:15" x14ac:dyDescent="0.3">
      <c r="K641" t="str">
        <f t="shared" si="49"/>
        <v/>
      </c>
      <c r="L641" t="str">
        <f t="shared" ref="L641:L704" si="50">IF(A641="","",IF(ISNUMBER(--LEFT(A641,FIND(" - ",A641&amp;" - ")-1)),LEFT(A641,FIND(" - ",A641&amp;" - ")-1),TRIM(A641)))</f>
        <v/>
      </c>
      <c r="M641" t="str">
        <f t="shared" ref="M641:M704" si="51">IF(OR(K641="",K641=A641,A641=""),"",K641&amp;"|"&amp;L641)</f>
        <v/>
      </c>
      <c r="N641" t="str">
        <f t="shared" ref="N641:N704" si="52">IF(M641="","",IF(ISNUMBER(B641),B641,IFERROR(_xlfn.NUMBERVALUE(B641,".",","),0)))</f>
        <v/>
      </c>
      <c r="O641" t="str">
        <f t="shared" ref="O641:O704" si="53">IF(M641="","",IF(ISNUMBER(C641),C641,IFERROR(_xlfn.NUMBERVALUE(C641,".",","),0)))</f>
        <v/>
      </c>
    </row>
    <row r="642" spans="11:15" x14ac:dyDescent="0.3">
      <c r="K642" t="str">
        <f t="shared" ref="K642:K705" si="54">IF(OR(LEFT(B642,9)="DOANH THU",LEFT(B642,8)="SỐ LƯỢNG"),A642,K641)</f>
        <v/>
      </c>
      <c r="L642" t="str">
        <f t="shared" si="50"/>
        <v/>
      </c>
      <c r="M642" t="str">
        <f t="shared" si="51"/>
        <v/>
      </c>
      <c r="N642" t="str">
        <f t="shared" si="52"/>
        <v/>
      </c>
      <c r="O642" t="str">
        <f t="shared" si="53"/>
        <v/>
      </c>
    </row>
    <row r="643" spans="11:15" x14ac:dyDescent="0.3">
      <c r="K643" t="str">
        <f t="shared" si="54"/>
        <v/>
      </c>
      <c r="L643" t="str">
        <f t="shared" si="50"/>
        <v/>
      </c>
      <c r="M643" t="str">
        <f t="shared" si="51"/>
        <v/>
      </c>
      <c r="N643" t="str">
        <f t="shared" si="52"/>
        <v/>
      </c>
      <c r="O643" t="str">
        <f t="shared" si="53"/>
        <v/>
      </c>
    </row>
    <row r="644" spans="11:15" x14ac:dyDescent="0.3">
      <c r="K644" t="str">
        <f t="shared" si="54"/>
        <v/>
      </c>
      <c r="L644" t="str">
        <f t="shared" si="50"/>
        <v/>
      </c>
      <c r="M644" t="str">
        <f t="shared" si="51"/>
        <v/>
      </c>
      <c r="N644" t="str">
        <f t="shared" si="52"/>
        <v/>
      </c>
      <c r="O644" t="str">
        <f t="shared" si="53"/>
        <v/>
      </c>
    </row>
    <row r="645" spans="11:15" x14ac:dyDescent="0.3">
      <c r="K645" t="str">
        <f t="shared" si="54"/>
        <v/>
      </c>
      <c r="L645" t="str">
        <f t="shared" si="50"/>
        <v/>
      </c>
      <c r="M645" t="str">
        <f t="shared" si="51"/>
        <v/>
      </c>
      <c r="N645" t="str">
        <f t="shared" si="52"/>
        <v/>
      </c>
      <c r="O645" t="str">
        <f t="shared" si="53"/>
        <v/>
      </c>
    </row>
    <row r="646" spans="11:15" x14ac:dyDescent="0.3">
      <c r="K646" t="str">
        <f t="shared" si="54"/>
        <v/>
      </c>
      <c r="L646" t="str">
        <f t="shared" si="50"/>
        <v/>
      </c>
      <c r="M646" t="str">
        <f t="shared" si="51"/>
        <v/>
      </c>
      <c r="N646" t="str">
        <f t="shared" si="52"/>
        <v/>
      </c>
      <c r="O646" t="str">
        <f t="shared" si="53"/>
        <v/>
      </c>
    </row>
    <row r="647" spans="11:15" x14ac:dyDescent="0.3">
      <c r="K647" t="str">
        <f t="shared" si="54"/>
        <v/>
      </c>
      <c r="L647" t="str">
        <f t="shared" si="50"/>
        <v/>
      </c>
      <c r="M647" t="str">
        <f t="shared" si="51"/>
        <v/>
      </c>
      <c r="N647" t="str">
        <f t="shared" si="52"/>
        <v/>
      </c>
      <c r="O647" t="str">
        <f t="shared" si="53"/>
        <v/>
      </c>
    </row>
    <row r="648" spans="11:15" x14ac:dyDescent="0.3">
      <c r="K648" t="str">
        <f t="shared" si="54"/>
        <v/>
      </c>
      <c r="L648" t="str">
        <f t="shared" si="50"/>
        <v/>
      </c>
      <c r="M648" t="str">
        <f t="shared" si="51"/>
        <v/>
      </c>
      <c r="N648" t="str">
        <f t="shared" si="52"/>
        <v/>
      </c>
      <c r="O648" t="str">
        <f t="shared" si="53"/>
        <v/>
      </c>
    </row>
    <row r="649" spans="11:15" x14ac:dyDescent="0.3">
      <c r="K649" t="str">
        <f t="shared" si="54"/>
        <v/>
      </c>
      <c r="L649" t="str">
        <f t="shared" si="50"/>
        <v/>
      </c>
      <c r="M649" t="str">
        <f t="shared" si="51"/>
        <v/>
      </c>
      <c r="N649" t="str">
        <f t="shared" si="52"/>
        <v/>
      </c>
      <c r="O649" t="str">
        <f t="shared" si="53"/>
        <v/>
      </c>
    </row>
    <row r="650" spans="11:15" x14ac:dyDescent="0.3">
      <c r="K650" t="str">
        <f t="shared" si="54"/>
        <v/>
      </c>
      <c r="L650" t="str">
        <f t="shared" si="50"/>
        <v/>
      </c>
      <c r="M650" t="str">
        <f t="shared" si="51"/>
        <v/>
      </c>
      <c r="N650" t="str">
        <f t="shared" si="52"/>
        <v/>
      </c>
      <c r="O650" t="str">
        <f t="shared" si="53"/>
        <v/>
      </c>
    </row>
    <row r="651" spans="11:15" x14ac:dyDescent="0.3">
      <c r="K651" t="str">
        <f t="shared" si="54"/>
        <v/>
      </c>
      <c r="L651" t="str">
        <f t="shared" si="50"/>
        <v/>
      </c>
      <c r="M651" t="str">
        <f t="shared" si="51"/>
        <v/>
      </c>
      <c r="N651" t="str">
        <f t="shared" si="52"/>
        <v/>
      </c>
      <c r="O651" t="str">
        <f t="shared" si="53"/>
        <v/>
      </c>
    </row>
    <row r="652" spans="11:15" x14ac:dyDescent="0.3">
      <c r="K652" t="str">
        <f t="shared" si="54"/>
        <v/>
      </c>
      <c r="L652" t="str">
        <f t="shared" si="50"/>
        <v/>
      </c>
      <c r="M652" t="str">
        <f t="shared" si="51"/>
        <v/>
      </c>
      <c r="N652" t="str">
        <f t="shared" si="52"/>
        <v/>
      </c>
      <c r="O652" t="str">
        <f t="shared" si="53"/>
        <v/>
      </c>
    </row>
    <row r="653" spans="11:15" x14ac:dyDescent="0.3">
      <c r="K653" t="str">
        <f t="shared" si="54"/>
        <v/>
      </c>
      <c r="L653" t="str">
        <f t="shared" si="50"/>
        <v/>
      </c>
      <c r="M653" t="str">
        <f t="shared" si="51"/>
        <v/>
      </c>
      <c r="N653" t="str">
        <f t="shared" si="52"/>
        <v/>
      </c>
      <c r="O653" t="str">
        <f t="shared" si="53"/>
        <v/>
      </c>
    </row>
    <row r="654" spans="11:15" x14ac:dyDescent="0.3">
      <c r="K654" t="str">
        <f t="shared" si="54"/>
        <v/>
      </c>
      <c r="L654" t="str">
        <f t="shared" si="50"/>
        <v/>
      </c>
      <c r="M654" t="str">
        <f t="shared" si="51"/>
        <v/>
      </c>
      <c r="N654" t="str">
        <f t="shared" si="52"/>
        <v/>
      </c>
      <c r="O654" t="str">
        <f t="shared" si="53"/>
        <v/>
      </c>
    </row>
    <row r="655" spans="11:15" x14ac:dyDescent="0.3">
      <c r="K655" t="str">
        <f t="shared" si="54"/>
        <v/>
      </c>
      <c r="L655" t="str">
        <f t="shared" si="50"/>
        <v/>
      </c>
      <c r="M655" t="str">
        <f t="shared" si="51"/>
        <v/>
      </c>
      <c r="N655" t="str">
        <f t="shared" si="52"/>
        <v/>
      </c>
      <c r="O655" t="str">
        <f t="shared" si="53"/>
        <v/>
      </c>
    </row>
    <row r="656" spans="11:15" x14ac:dyDescent="0.3">
      <c r="K656" t="str">
        <f t="shared" si="54"/>
        <v/>
      </c>
      <c r="L656" t="str">
        <f t="shared" si="50"/>
        <v/>
      </c>
      <c r="M656" t="str">
        <f t="shared" si="51"/>
        <v/>
      </c>
      <c r="N656" t="str">
        <f t="shared" si="52"/>
        <v/>
      </c>
      <c r="O656" t="str">
        <f t="shared" si="53"/>
        <v/>
      </c>
    </row>
    <row r="657" spans="11:15" x14ac:dyDescent="0.3">
      <c r="K657" t="str">
        <f t="shared" si="54"/>
        <v/>
      </c>
      <c r="L657" t="str">
        <f t="shared" si="50"/>
        <v/>
      </c>
      <c r="M657" t="str">
        <f t="shared" si="51"/>
        <v/>
      </c>
      <c r="N657" t="str">
        <f t="shared" si="52"/>
        <v/>
      </c>
      <c r="O657" t="str">
        <f t="shared" si="53"/>
        <v/>
      </c>
    </row>
    <row r="658" spans="11:15" x14ac:dyDescent="0.3">
      <c r="K658" t="str">
        <f t="shared" si="54"/>
        <v/>
      </c>
      <c r="L658" t="str">
        <f t="shared" si="50"/>
        <v/>
      </c>
      <c r="M658" t="str">
        <f t="shared" si="51"/>
        <v/>
      </c>
      <c r="N658" t="str">
        <f t="shared" si="52"/>
        <v/>
      </c>
      <c r="O658" t="str">
        <f t="shared" si="53"/>
        <v/>
      </c>
    </row>
    <row r="659" spans="11:15" x14ac:dyDescent="0.3">
      <c r="K659" t="str">
        <f t="shared" si="54"/>
        <v/>
      </c>
      <c r="L659" t="str">
        <f t="shared" si="50"/>
        <v/>
      </c>
      <c r="M659" t="str">
        <f t="shared" si="51"/>
        <v/>
      </c>
      <c r="N659" t="str">
        <f t="shared" si="52"/>
        <v/>
      </c>
      <c r="O659" t="str">
        <f t="shared" si="53"/>
        <v/>
      </c>
    </row>
    <row r="660" spans="11:15" x14ac:dyDescent="0.3">
      <c r="K660" t="str">
        <f t="shared" si="54"/>
        <v/>
      </c>
      <c r="L660" t="str">
        <f t="shared" si="50"/>
        <v/>
      </c>
      <c r="M660" t="str">
        <f t="shared" si="51"/>
        <v/>
      </c>
      <c r="N660" t="str">
        <f t="shared" si="52"/>
        <v/>
      </c>
      <c r="O660" t="str">
        <f t="shared" si="53"/>
        <v/>
      </c>
    </row>
    <row r="661" spans="11:15" x14ac:dyDescent="0.3">
      <c r="K661" t="str">
        <f t="shared" si="54"/>
        <v/>
      </c>
      <c r="L661" t="str">
        <f t="shared" si="50"/>
        <v/>
      </c>
      <c r="M661" t="str">
        <f t="shared" si="51"/>
        <v/>
      </c>
      <c r="N661" t="str">
        <f t="shared" si="52"/>
        <v/>
      </c>
      <c r="O661" t="str">
        <f t="shared" si="53"/>
        <v/>
      </c>
    </row>
    <row r="662" spans="11:15" x14ac:dyDescent="0.3">
      <c r="K662" t="str">
        <f t="shared" si="54"/>
        <v/>
      </c>
      <c r="L662" t="str">
        <f t="shared" si="50"/>
        <v/>
      </c>
      <c r="M662" t="str">
        <f t="shared" si="51"/>
        <v/>
      </c>
      <c r="N662" t="str">
        <f t="shared" si="52"/>
        <v/>
      </c>
      <c r="O662" t="str">
        <f t="shared" si="53"/>
        <v/>
      </c>
    </row>
    <row r="663" spans="11:15" x14ac:dyDescent="0.3">
      <c r="K663" t="str">
        <f t="shared" si="54"/>
        <v/>
      </c>
      <c r="L663" t="str">
        <f t="shared" si="50"/>
        <v/>
      </c>
      <c r="M663" t="str">
        <f t="shared" si="51"/>
        <v/>
      </c>
      <c r="N663" t="str">
        <f t="shared" si="52"/>
        <v/>
      </c>
      <c r="O663" t="str">
        <f t="shared" si="53"/>
        <v/>
      </c>
    </row>
    <row r="664" spans="11:15" x14ac:dyDescent="0.3">
      <c r="K664" t="str">
        <f t="shared" si="54"/>
        <v/>
      </c>
      <c r="L664" t="str">
        <f t="shared" si="50"/>
        <v/>
      </c>
      <c r="M664" t="str">
        <f t="shared" si="51"/>
        <v/>
      </c>
      <c r="N664" t="str">
        <f t="shared" si="52"/>
        <v/>
      </c>
      <c r="O664" t="str">
        <f t="shared" si="53"/>
        <v/>
      </c>
    </row>
    <row r="665" spans="11:15" x14ac:dyDescent="0.3">
      <c r="K665" t="str">
        <f t="shared" si="54"/>
        <v/>
      </c>
      <c r="L665" t="str">
        <f t="shared" si="50"/>
        <v/>
      </c>
      <c r="M665" t="str">
        <f t="shared" si="51"/>
        <v/>
      </c>
      <c r="N665" t="str">
        <f t="shared" si="52"/>
        <v/>
      </c>
      <c r="O665" t="str">
        <f t="shared" si="53"/>
        <v/>
      </c>
    </row>
    <row r="666" spans="11:15" x14ac:dyDescent="0.3">
      <c r="K666" t="str">
        <f t="shared" si="54"/>
        <v/>
      </c>
      <c r="L666" t="str">
        <f t="shared" si="50"/>
        <v/>
      </c>
      <c r="M666" t="str">
        <f t="shared" si="51"/>
        <v/>
      </c>
      <c r="N666" t="str">
        <f t="shared" si="52"/>
        <v/>
      </c>
      <c r="O666" t="str">
        <f t="shared" si="53"/>
        <v/>
      </c>
    </row>
    <row r="667" spans="11:15" x14ac:dyDescent="0.3">
      <c r="K667" t="str">
        <f t="shared" si="54"/>
        <v/>
      </c>
      <c r="L667" t="str">
        <f t="shared" si="50"/>
        <v/>
      </c>
      <c r="M667" t="str">
        <f t="shared" si="51"/>
        <v/>
      </c>
      <c r="N667" t="str">
        <f t="shared" si="52"/>
        <v/>
      </c>
      <c r="O667" t="str">
        <f t="shared" si="53"/>
        <v/>
      </c>
    </row>
    <row r="668" spans="11:15" x14ac:dyDescent="0.3">
      <c r="K668" t="str">
        <f t="shared" si="54"/>
        <v/>
      </c>
      <c r="L668" t="str">
        <f t="shared" si="50"/>
        <v/>
      </c>
      <c r="M668" t="str">
        <f t="shared" si="51"/>
        <v/>
      </c>
      <c r="N668" t="str">
        <f t="shared" si="52"/>
        <v/>
      </c>
      <c r="O668" t="str">
        <f t="shared" si="53"/>
        <v/>
      </c>
    </row>
    <row r="669" spans="11:15" x14ac:dyDescent="0.3">
      <c r="K669" t="str">
        <f t="shared" si="54"/>
        <v/>
      </c>
      <c r="L669" t="str">
        <f t="shared" si="50"/>
        <v/>
      </c>
      <c r="M669" t="str">
        <f t="shared" si="51"/>
        <v/>
      </c>
      <c r="N669" t="str">
        <f t="shared" si="52"/>
        <v/>
      </c>
      <c r="O669" t="str">
        <f t="shared" si="53"/>
        <v/>
      </c>
    </row>
    <row r="670" spans="11:15" x14ac:dyDescent="0.3">
      <c r="K670" t="str">
        <f t="shared" si="54"/>
        <v/>
      </c>
      <c r="L670" t="str">
        <f t="shared" si="50"/>
        <v/>
      </c>
      <c r="M670" t="str">
        <f t="shared" si="51"/>
        <v/>
      </c>
      <c r="N670" t="str">
        <f t="shared" si="52"/>
        <v/>
      </c>
      <c r="O670" t="str">
        <f t="shared" si="53"/>
        <v/>
      </c>
    </row>
    <row r="671" spans="11:15" x14ac:dyDescent="0.3">
      <c r="K671" t="str">
        <f t="shared" si="54"/>
        <v/>
      </c>
      <c r="L671" t="str">
        <f t="shared" si="50"/>
        <v/>
      </c>
      <c r="M671" t="str">
        <f t="shared" si="51"/>
        <v/>
      </c>
      <c r="N671" t="str">
        <f t="shared" si="52"/>
        <v/>
      </c>
      <c r="O671" t="str">
        <f t="shared" si="53"/>
        <v/>
      </c>
    </row>
    <row r="672" spans="11:15" x14ac:dyDescent="0.3">
      <c r="K672" t="str">
        <f t="shared" si="54"/>
        <v/>
      </c>
      <c r="L672" t="str">
        <f t="shared" si="50"/>
        <v/>
      </c>
      <c r="M672" t="str">
        <f t="shared" si="51"/>
        <v/>
      </c>
      <c r="N672" t="str">
        <f t="shared" si="52"/>
        <v/>
      </c>
      <c r="O672" t="str">
        <f t="shared" si="53"/>
        <v/>
      </c>
    </row>
    <row r="673" spans="11:15" x14ac:dyDescent="0.3">
      <c r="K673" t="str">
        <f t="shared" si="54"/>
        <v/>
      </c>
      <c r="L673" t="str">
        <f t="shared" si="50"/>
        <v/>
      </c>
      <c r="M673" t="str">
        <f t="shared" si="51"/>
        <v/>
      </c>
      <c r="N673" t="str">
        <f t="shared" si="52"/>
        <v/>
      </c>
      <c r="O673" t="str">
        <f t="shared" si="53"/>
        <v/>
      </c>
    </row>
    <row r="674" spans="11:15" x14ac:dyDescent="0.3">
      <c r="K674" t="str">
        <f t="shared" si="54"/>
        <v/>
      </c>
      <c r="L674" t="str">
        <f t="shared" si="50"/>
        <v/>
      </c>
      <c r="M674" t="str">
        <f t="shared" si="51"/>
        <v/>
      </c>
      <c r="N674" t="str">
        <f t="shared" si="52"/>
        <v/>
      </c>
      <c r="O674" t="str">
        <f t="shared" si="53"/>
        <v/>
      </c>
    </row>
    <row r="675" spans="11:15" x14ac:dyDescent="0.3">
      <c r="K675" t="str">
        <f t="shared" si="54"/>
        <v/>
      </c>
      <c r="L675" t="str">
        <f t="shared" si="50"/>
        <v/>
      </c>
      <c r="M675" t="str">
        <f t="shared" si="51"/>
        <v/>
      </c>
      <c r="N675" t="str">
        <f t="shared" si="52"/>
        <v/>
      </c>
      <c r="O675" t="str">
        <f t="shared" si="53"/>
        <v/>
      </c>
    </row>
    <row r="676" spans="11:15" x14ac:dyDescent="0.3">
      <c r="K676" t="str">
        <f t="shared" si="54"/>
        <v/>
      </c>
      <c r="L676" t="str">
        <f t="shared" si="50"/>
        <v/>
      </c>
      <c r="M676" t="str">
        <f t="shared" si="51"/>
        <v/>
      </c>
      <c r="N676" t="str">
        <f t="shared" si="52"/>
        <v/>
      </c>
      <c r="O676" t="str">
        <f t="shared" si="53"/>
        <v/>
      </c>
    </row>
    <row r="677" spans="11:15" x14ac:dyDescent="0.3">
      <c r="K677" t="str">
        <f t="shared" si="54"/>
        <v/>
      </c>
      <c r="L677" t="str">
        <f t="shared" si="50"/>
        <v/>
      </c>
      <c r="M677" t="str">
        <f t="shared" si="51"/>
        <v/>
      </c>
      <c r="N677" t="str">
        <f t="shared" si="52"/>
        <v/>
      </c>
      <c r="O677" t="str">
        <f t="shared" si="53"/>
        <v/>
      </c>
    </row>
    <row r="678" spans="11:15" x14ac:dyDescent="0.3">
      <c r="K678" t="str">
        <f t="shared" si="54"/>
        <v/>
      </c>
      <c r="L678" t="str">
        <f t="shared" si="50"/>
        <v/>
      </c>
      <c r="M678" t="str">
        <f t="shared" si="51"/>
        <v/>
      </c>
      <c r="N678" t="str">
        <f t="shared" si="52"/>
        <v/>
      </c>
      <c r="O678" t="str">
        <f t="shared" si="53"/>
        <v/>
      </c>
    </row>
    <row r="679" spans="11:15" x14ac:dyDescent="0.3">
      <c r="K679" t="str">
        <f t="shared" si="54"/>
        <v/>
      </c>
      <c r="L679" t="str">
        <f t="shared" si="50"/>
        <v/>
      </c>
      <c r="M679" t="str">
        <f t="shared" si="51"/>
        <v/>
      </c>
      <c r="N679" t="str">
        <f t="shared" si="52"/>
        <v/>
      </c>
      <c r="O679" t="str">
        <f t="shared" si="53"/>
        <v/>
      </c>
    </row>
    <row r="680" spans="11:15" x14ac:dyDescent="0.3">
      <c r="K680" t="str">
        <f t="shared" si="54"/>
        <v/>
      </c>
      <c r="L680" t="str">
        <f t="shared" si="50"/>
        <v/>
      </c>
      <c r="M680" t="str">
        <f t="shared" si="51"/>
        <v/>
      </c>
      <c r="N680" t="str">
        <f t="shared" si="52"/>
        <v/>
      </c>
      <c r="O680" t="str">
        <f t="shared" si="53"/>
        <v/>
      </c>
    </row>
    <row r="681" spans="11:15" x14ac:dyDescent="0.3">
      <c r="K681" t="str">
        <f t="shared" si="54"/>
        <v/>
      </c>
      <c r="L681" t="str">
        <f t="shared" si="50"/>
        <v/>
      </c>
      <c r="M681" t="str">
        <f t="shared" si="51"/>
        <v/>
      </c>
      <c r="N681" t="str">
        <f t="shared" si="52"/>
        <v/>
      </c>
      <c r="O681" t="str">
        <f t="shared" si="53"/>
        <v/>
      </c>
    </row>
    <row r="682" spans="11:15" x14ac:dyDescent="0.3">
      <c r="K682" t="str">
        <f t="shared" si="54"/>
        <v/>
      </c>
      <c r="L682" t="str">
        <f t="shared" si="50"/>
        <v/>
      </c>
      <c r="M682" t="str">
        <f t="shared" si="51"/>
        <v/>
      </c>
      <c r="N682" t="str">
        <f t="shared" si="52"/>
        <v/>
      </c>
      <c r="O682" t="str">
        <f t="shared" si="53"/>
        <v/>
      </c>
    </row>
    <row r="683" spans="11:15" x14ac:dyDescent="0.3">
      <c r="K683" t="str">
        <f t="shared" si="54"/>
        <v/>
      </c>
      <c r="L683" t="str">
        <f t="shared" si="50"/>
        <v/>
      </c>
      <c r="M683" t="str">
        <f t="shared" si="51"/>
        <v/>
      </c>
      <c r="N683" t="str">
        <f t="shared" si="52"/>
        <v/>
      </c>
      <c r="O683" t="str">
        <f t="shared" si="53"/>
        <v/>
      </c>
    </row>
    <row r="684" spans="11:15" x14ac:dyDescent="0.3">
      <c r="K684" t="str">
        <f t="shared" si="54"/>
        <v/>
      </c>
      <c r="L684" t="str">
        <f t="shared" si="50"/>
        <v/>
      </c>
      <c r="M684" t="str">
        <f t="shared" si="51"/>
        <v/>
      </c>
      <c r="N684" t="str">
        <f t="shared" si="52"/>
        <v/>
      </c>
      <c r="O684" t="str">
        <f t="shared" si="53"/>
        <v/>
      </c>
    </row>
    <row r="685" spans="11:15" x14ac:dyDescent="0.3">
      <c r="K685" t="str">
        <f t="shared" si="54"/>
        <v/>
      </c>
      <c r="L685" t="str">
        <f t="shared" si="50"/>
        <v/>
      </c>
      <c r="M685" t="str">
        <f t="shared" si="51"/>
        <v/>
      </c>
      <c r="N685" t="str">
        <f t="shared" si="52"/>
        <v/>
      </c>
      <c r="O685" t="str">
        <f t="shared" si="53"/>
        <v/>
      </c>
    </row>
    <row r="686" spans="11:15" x14ac:dyDescent="0.3">
      <c r="K686" t="str">
        <f t="shared" si="54"/>
        <v/>
      </c>
      <c r="L686" t="str">
        <f t="shared" si="50"/>
        <v/>
      </c>
      <c r="M686" t="str">
        <f t="shared" si="51"/>
        <v/>
      </c>
      <c r="N686" t="str">
        <f t="shared" si="52"/>
        <v/>
      </c>
      <c r="O686" t="str">
        <f t="shared" si="53"/>
        <v/>
      </c>
    </row>
    <row r="687" spans="11:15" x14ac:dyDescent="0.3">
      <c r="K687" t="str">
        <f t="shared" si="54"/>
        <v/>
      </c>
      <c r="L687" t="str">
        <f t="shared" si="50"/>
        <v/>
      </c>
      <c r="M687" t="str">
        <f t="shared" si="51"/>
        <v/>
      </c>
      <c r="N687" t="str">
        <f t="shared" si="52"/>
        <v/>
      </c>
      <c r="O687" t="str">
        <f t="shared" si="53"/>
        <v/>
      </c>
    </row>
    <row r="688" spans="11:15" x14ac:dyDescent="0.3">
      <c r="K688" t="str">
        <f t="shared" si="54"/>
        <v/>
      </c>
      <c r="L688" t="str">
        <f t="shared" si="50"/>
        <v/>
      </c>
      <c r="M688" t="str">
        <f t="shared" si="51"/>
        <v/>
      </c>
      <c r="N688" t="str">
        <f t="shared" si="52"/>
        <v/>
      </c>
      <c r="O688" t="str">
        <f t="shared" si="53"/>
        <v/>
      </c>
    </row>
    <row r="689" spans="11:15" x14ac:dyDescent="0.3">
      <c r="K689" t="str">
        <f t="shared" si="54"/>
        <v/>
      </c>
      <c r="L689" t="str">
        <f t="shared" si="50"/>
        <v/>
      </c>
      <c r="M689" t="str">
        <f t="shared" si="51"/>
        <v/>
      </c>
      <c r="N689" t="str">
        <f t="shared" si="52"/>
        <v/>
      </c>
      <c r="O689" t="str">
        <f t="shared" si="53"/>
        <v/>
      </c>
    </row>
    <row r="690" spans="11:15" x14ac:dyDescent="0.3">
      <c r="K690" t="str">
        <f t="shared" si="54"/>
        <v/>
      </c>
      <c r="L690" t="str">
        <f t="shared" si="50"/>
        <v/>
      </c>
      <c r="M690" t="str">
        <f t="shared" si="51"/>
        <v/>
      </c>
      <c r="N690" t="str">
        <f t="shared" si="52"/>
        <v/>
      </c>
      <c r="O690" t="str">
        <f t="shared" si="53"/>
        <v/>
      </c>
    </row>
    <row r="691" spans="11:15" x14ac:dyDescent="0.3">
      <c r="K691" t="str">
        <f t="shared" si="54"/>
        <v/>
      </c>
      <c r="L691" t="str">
        <f t="shared" si="50"/>
        <v/>
      </c>
      <c r="M691" t="str">
        <f t="shared" si="51"/>
        <v/>
      </c>
      <c r="N691" t="str">
        <f t="shared" si="52"/>
        <v/>
      </c>
      <c r="O691" t="str">
        <f t="shared" si="53"/>
        <v/>
      </c>
    </row>
    <row r="692" spans="11:15" x14ac:dyDescent="0.3">
      <c r="K692" t="str">
        <f t="shared" si="54"/>
        <v/>
      </c>
      <c r="L692" t="str">
        <f t="shared" si="50"/>
        <v/>
      </c>
      <c r="M692" t="str">
        <f t="shared" si="51"/>
        <v/>
      </c>
      <c r="N692" t="str">
        <f t="shared" si="52"/>
        <v/>
      </c>
      <c r="O692" t="str">
        <f t="shared" si="53"/>
        <v/>
      </c>
    </row>
    <row r="693" spans="11:15" x14ac:dyDescent="0.3">
      <c r="K693" t="str">
        <f t="shared" si="54"/>
        <v/>
      </c>
      <c r="L693" t="str">
        <f t="shared" si="50"/>
        <v/>
      </c>
      <c r="M693" t="str">
        <f t="shared" si="51"/>
        <v/>
      </c>
      <c r="N693" t="str">
        <f t="shared" si="52"/>
        <v/>
      </c>
      <c r="O693" t="str">
        <f t="shared" si="53"/>
        <v/>
      </c>
    </row>
    <row r="694" spans="11:15" x14ac:dyDescent="0.3">
      <c r="K694" t="str">
        <f t="shared" si="54"/>
        <v/>
      </c>
      <c r="L694" t="str">
        <f t="shared" si="50"/>
        <v/>
      </c>
      <c r="M694" t="str">
        <f t="shared" si="51"/>
        <v/>
      </c>
      <c r="N694" t="str">
        <f t="shared" si="52"/>
        <v/>
      </c>
      <c r="O694" t="str">
        <f t="shared" si="53"/>
        <v/>
      </c>
    </row>
    <row r="695" spans="11:15" x14ac:dyDescent="0.3">
      <c r="K695" t="str">
        <f t="shared" si="54"/>
        <v/>
      </c>
      <c r="L695" t="str">
        <f t="shared" si="50"/>
        <v/>
      </c>
      <c r="M695" t="str">
        <f t="shared" si="51"/>
        <v/>
      </c>
      <c r="N695" t="str">
        <f t="shared" si="52"/>
        <v/>
      </c>
      <c r="O695" t="str">
        <f t="shared" si="53"/>
        <v/>
      </c>
    </row>
    <row r="696" spans="11:15" x14ac:dyDescent="0.3">
      <c r="K696" t="str">
        <f t="shared" si="54"/>
        <v/>
      </c>
      <c r="L696" t="str">
        <f t="shared" si="50"/>
        <v/>
      </c>
      <c r="M696" t="str">
        <f t="shared" si="51"/>
        <v/>
      </c>
      <c r="N696" t="str">
        <f t="shared" si="52"/>
        <v/>
      </c>
      <c r="O696" t="str">
        <f t="shared" si="53"/>
        <v/>
      </c>
    </row>
    <row r="697" spans="11:15" x14ac:dyDescent="0.3">
      <c r="K697" t="str">
        <f t="shared" si="54"/>
        <v/>
      </c>
      <c r="L697" t="str">
        <f t="shared" si="50"/>
        <v/>
      </c>
      <c r="M697" t="str">
        <f t="shared" si="51"/>
        <v/>
      </c>
      <c r="N697" t="str">
        <f t="shared" si="52"/>
        <v/>
      </c>
      <c r="O697" t="str">
        <f t="shared" si="53"/>
        <v/>
      </c>
    </row>
    <row r="698" spans="11:15" x14ac:dyDescent="0.3">
      <c r="K698" t="str">
        <f t="shared" si="54"/>
        <v/>
      </c>
      <c r="L698" t="str">
        <f t="shared" si="50"/>
        <v/>
      </c>
      <c r="M698" t="str">
        <f t="shared" si="51"/>
        <v/>
      </c>
      <c r="N698" t="str">
        <f t="shared" si="52"/>
        <v/>
      </c>
      <c r="O698" t="str">
        <f t="shared" si="53"/>
        <v/>
      </c>
    </row>
    <row r="699" spans="11:15" x14ac:dyDescent="0.3">
      <c r="K699" t="str">
        <f t="shared" si="54"/>
        <v/>
      </c>
      <c r="L699" t="str">
        <f t="shared" si="50"/>
        <v/>
      </c>
      <c r="M699" t="str">
        <f t="shared" si="51"/>
        <v/>
      </c>
      <c r="N699" t="str">
        <f t="shared" si="52"/>
        <v/>
      </c>
      <c r="O699" t="str">
        <f t="shared" si="53"/>
        <v/>
      </c>
    </row>
    <row r="700" spans="11:15" x14ac:dyDescent="0.3">
      <c r="K700" t="str">
        <f t="shared" si="54"/>
        <v/>
      </c>
      <c r="L700" t="str">
        <f t="shared" si="50"/>
        <v/>
      </c>
      <c r="M700" t="str">
        <f t="shared" si="51"/>
        <v/>
      </c>
      <c r="N700" t="str">
        <f t="shared" si="52"/>
        <v/>
      </c>
      <c r="O700" t="str">
        <f t="shared" si="53"/>
        <v/>
      </c>
    </row>
    <row r="701" spans="11:15" x14ac:dyDescent="0.3">
      <c r="K701" t="str">
        <f t="shared" si="54"/>
        <v/>
      </c>
      <c r="L701" t="str">
        <f t="shared" si="50"/>
        <v/>
      </c>
      <c r="M701" t="str">
        <f t="shared" si="51"/>
        <v/>
      </c>
      <c r="N701" t="str">
        <f t="shared" si="52"/>
        <v/>
      </c>
      <c r="O701" t="str">
        <f t="shared" si="53"/>
        <v/>
      </c>
    </row>
    <row r="702" spans="11:15" x14ac:dyDescent="0.3">
      <c r="K702" t="str">
        <f t="shared" si="54"/>
        <v/>
      </c>
      <c r="L702" t="str">
        <f t="shared" si="50"/>
        <v/>
      </c>
      <c r="M702" t="str">
        <f t="shared" si="51"/>
        <v/>
      </c>
      <c r="N702" t="str">
        <f t="shared" si="52"/>
        <v/>
      </c>
      <c r="O702" t="str">
        <f t="shared" si="53"/>
        <v/>
      </c>
    </row>
    <row r="703" spans="11:15" x14ac:dyDescent="0.3">
      <c r="K703" t="str">
        <f t="shared" si="54"/>
        <v/>
      </c>
      <c r="L703" t="str">
        <f t="shared" si="50"/>
        <v/>
      </c>
      <c r="M703" t="str">
        <f t="shared" si="51"/>
        <v/>
      </c>
      <c r="N703" t="str">
        <f t="shared" si="52"/>
        <v/>
      </c>
      <c r="O703" t="str">
        <f t="shared" si="53"/>
        <v/>
      </c>
    </row>
    <row r="704" spans="11:15" x14ac:dyDescent="0.3">
      <c r="K704" t="str">
        <f t="shared" si="54"/>
        <v/>
      </c>
      <c r="L704" t="str">
        <f t="shared" si="50"/>
        <v/>
      </c>
      <c r="M704" t="str">
        <f t="shared" si="51"/>
        <v/>
      </c>
      <c r="N704" t="str">
        <f t="shared" si="52"/>
        <v/>
      </c>
      <c r="O704" t="str">
        <f t="shared" si="53"/>
        <v/>
      </c>
    </row>
    <row r="705" spans="11:15" x14ac:dyDescent="0.3">
      <c r="K705" t="str">
        <f t="shared" si="54"/>
        <v/>
      </c>
      <c r="L705" t="str">
        <f t="shared" ref="L705:L768" si="55">IF(A705="","",IF(ISNUMBER(--LEFT(A705,FIND(" - ",A705&amp;" - ")-1)),LEFT(A705,FIND(" - ",A705&amp;" - ")-1),TRIM(A705)))</f>
        <v/>
      </c>
      <c r="M705" t="str">
        <f t="shared" ref="M705:M768" si="56">IF(OR(K705="",K705=A705,A705=""),"",K705&amp;"|"&amp;L705)</f>
        <v/>
      </c>
      <c r="N705" t="str">
        <f t="shared" ref="N705:N768" si="57">IF(M705="","",IF(ISNUMBER(B705),B705,IFERROR(_xlfn.NUMBERVALUE(B705,".",","),0)))</f>
        <v/>
      </c>
      <c r="O705" t="str">
        <f t="shared" ref="O705:O768" si="58">IF(M705="","",IF(ISNUMBER(C705),C705,IFERROR(_xlfn.NUMBERVALUE(C705,".",","),0)))</f>
        <v/>
      </c>
    </row>
    <row r="706" spans="11:15" x14ac:dyDescent="0.3">
      <c r="K706" t="str">
        <f t="shared" ref="K706:K769" si="59">IF(OR(LEFT(B706,9)="DOANH THU",LEFT(B706,8)="SỐ LƯỢNG"),A706,K705)</f>
        <v/>
      </c>
      <c r="L706" t="str">
        <f t="shared" si="55"/>
        <v/>
      </c>
      <c r="M706" t="str">
        <f t="shared" si="56"/>
        <v/>
      </c>
      <c r="N706" t="str">
        <f t="shared" si="57"/>
        <v/>
      </c>
      <c r="O706" t="str">
        <f t="shared" si="58"/>
        <v/>
      </c>
    </row>
    <row r="707" spans="11:15" x14ac:dyDescent="0.3">
      <c r="K707" t="str">
        <f t="shared" si="59"/>
        <v/>
      </c>
      <c r="L707" t="str">
        <f t="shared" si="55"/>
        <v/>
      </c>
      <c r="M707" t="str">
        <f t="shared" si="56"/>
        <v/>
      </c>
      <c r="N707" t="str">
        <f t="shared" si="57"/>
        <v/>
      </c>
      <c r="O707" t="str">
        <f t="shared" si="58"/>
        <v/>
      </c>
    </row>
    <row r="708" spans="11:15" x14ac:dyDescent="0.3">
      <c r="K708" t="str">
        <f t="shared" si="59"/>
        <v/>
      </c>
      <c r="L708" t="str">
        <f t="shared" si="55"/>
        <v/>
      </c>
      <c r="M708" t="str">
        <f t="shared" si="56"/>
        <v/>
      </c>
      <c r="N708" t="str">
        <f t="shared" si="57"/>
        <v/>
      </c>
      <c r="O708" t="str">
        <f t="shared" si="58"/>
        <v/>
      </c>
    </row>
    <row r="709" spans="11:15" x14ac:dyDescent="0.3">
      <c r="K709" t="str">
        <f t="shared" si="59"/>
        <v/>
      </c>
      <c r="L709" t="str">
        <f t="shared" si="55"/>
        <v/>
      </c>
      <c r="M709" t="str">
        <f t="shared" si="56"/>
        <v/>
      </c>
      <c r="N709" t="str">
        <f t="shared" si="57"/>
        <v/>
      </c>
      <c r="O709" t="str">
        <f t="shared" si="58"/>
        <v/>
      </c>
    </row>
    <row r="710" spans="11:15" x14ac:dyDescent="0.3">
      <c r="K710" t="str">
        <f t="shared" si="59"/>
        <v/>
      </c>
      <c r="L710" t="str">
        <f t="shared" si="55"/>
        <v/>
      </c>
      <c r="M710" t="str">
        <f t="shared" si="56"/>
        <v/>
      </c>
      <c r="N710" t="str">
        <f t="shared" si="57"/>
        <v/>
      </c>
      <c r="O710" t="str">
        <f t="shared" si="58"/>
        <v/>
      </c>
    </row>
    <row r="711" spans="11:15" x14ac:dyDescent="0.3">
      <c r="K711" t="str">
        <f t="shared" si="59"/>
        <v/>
      </c>
      <c r="L711" t="str">
        <f t="shared" si="55"/>
        <v/>
      </c>
      <c r="M711" t="str">
        <f t="shared" si="56"/>
        <v/>
      </c>
      <c r="N711" t="str">
        <f t="shared" si="57"/>
        <v/>
      </c>
      <c r="O711" t="str">
        <f t="shared" si="58"/>
        <v/>
      </c>
    </row>
    <row r="712" spans="11:15" x14ac:dyDescent="0.3">
      <c r="K712" t="str">
        <f t="shared" si="59"/>
        <v/>
      </c>
      <c r="L712" t="str">
        <f t="shared" si="55"/>
        <v/>
      </c>
      <c r="M712" t="str">
        <f t="shared" si="56"/>
        <v/>
      </c>
      <c r="N712" t="str">
        <f t="shared" si="57"/>
        <v/>
      </c>
      <c r="O712" t="str">
        <f t="shared" si="58"/>
        <v/>
      </c>
    </row>
    <row r="713" spans="11:15" x14ac:dyDescent="0.3">
      <c r="K713" t="str">
        <f t="shared" si="59"/>
        <v/>
      </c>
      <c r="L713" t="str">
        <f t="shared" si="55"/>
        <v/>
      </c>
      <c r="M713" t="str">
        <f t="shared" si="56"/>
        <v/>
      </c>
      <c r="N713" t="str">
        <f t="shared" si="57"/>
        <v/>
      </c>
      <c r="O713" t="str">
        <f t="shared" si="58"/>
        <v/>
      </c>
    </row>
    <row r="714" spans="11:15" x14ac:dyDescent="0.3">
      <c r="K714" t="str">
        <f t="shared" si="59"/>
        <v/>
      </c>
      <c r="L714" t="str">
        <f t="shared" si="55"/>
        <v/>
      </c>
      <c r="M714" t="str">
        <f t="shared" si="56"/>
        <v/>
      </c>
      <c r="N714" t="str">
        <f t="shared" si="57"/>
        <v/>
      </c>
      <c r="O714" t="str">
        <f t="shared" si="58"/>
        <v/>
      </c>
    </row>
    <row r="715" spans="11:15" x14ac:dyDescent="0.3">
      <c r="K715" t="str">
        <f t="shared" si="59"/>
        <v/>
      </c>
      <c r="L715" t="str">
        <f t="shared" si="55"/>
        <v/>
      </c>
      <c r="M715" t="str">
        <f t="shared" si="56"/>
        <v/>
      </c>
      <c r="N715" t="str">
        <f t="shared" si="57"/>
        <v/>
      </c>
      <c r="O715" t="str">
        <f t="shared" si="58"/>
        <v/>
      </c>
    </row>
    <row r="716" spans="11:15" x14ac:dyDescent="0.3">
      <c r="K716" t="str">
        <f t="shared" si="59"/>
        <v/>
      </c>
      <c r="L716" t="str">
        <f t="shared" si="55"/>
        <v/>
      </c>
      <c r="M716" t="str">
        <f t="shared" si="56"/>
        <v/>
      </c>
      <c r="N716" t="str">
        <f t="shared" si="57"/>
        <v/>
      </c>
      <c r="O716" t="str">
        <f t="shared" si="58"/>
        <v/>
      </c>
    </row>
    <row r="717" spans="11:15" x14ac:dyDescent="0.3">
      <c r="K717" t="str">
        <f t="shared" si="59"/>
        <v/>
      </c>
      <c r="L717" t="str">
        <f t="shared" si="55"/>
        <v/>
      </c>
      <c r="M717" t="str">
        <f t="shared" si="56"/>
        <v/>
      </c>
      <c r="N717" t="str">
        <f t="shared" si="57"/>
        <v/>
      </c>
      <c r="O717" t="str">
        <f t="shared" si="58"/>
        <v/>
      </c>
    </row>
    <row r="718" spans="11:15" x14ac:dyDescent="0.3">
      <c r="K718" t="str">
        <f t="shared" si="59"/>
        <v/>
      </c>
      <c r="L718" t="str">
        <f t="shared" si="55"/>
        <v/>
      </c>
      <c r="M718" t="str">
        <f t="shared" si="56"/>
        <v/>
      </c>
      <c r="N718" t="str">
        <f t="shared" si="57"/>
        <v/>
      </c>
      <c r="O718" t="str">
        <f t="shared" si="58"/>
        <v/>
      </c>
    </row>
    <row r="719" spans="11:15" x14ac:dyDescent="0.3">
      <c r="K719" t="str">
        <f t="shared" si="59"/>
        <v/>
      </c>
      <c r="L719" t="str">
        <f t="shared" si="55"/>
        <v/>
      </c>
      <c r="M719" t="str">
        <f t="shared" si="56"/>
        <v/>
      </c>
      <c r="N719" t="str">
        <f t="shared" si="57"/>
        <v/>
      </c>
      <c r="O719" t="str">
        <f t="shared" si="58"/>
        <v/>
      </c>
    </row>
    <row r="720" spans="11:15" x14ac:dyDescent="0.3">
      <c r="K720" t="str">
        <f t="shared" si="59"/>
        <v/>
      </c>
      <c r="L720" t="str">
        <f t="shared" si="55"/>
        <v/>
      </c>
      <c r="M720" t="str">
        <f t="shared" si="56"/>
        <v/>
      </c>
      <c r="N720" t="str">
        <f t="shared" si="57"/>
        <v/>
      </c>
      <c r="O720" t="str">
        <f t="shared" si="58"/>
        <v/>
      </c>
    </row>
    <row r="721" spans="11:15" x14ac:dyDescent="0.3">
      <c r="K721" t="str">
        <f t="shared" si="59"/>
        <v/>
      </c>
      <c r="L721" t="str">
        <f t="shared" si="55"/>
        <v/>
      </c>
      <c r="M721" t="str">
        <f t="shared" si="56"/>
        <v/>
      </c>
      <c r="N721" t="str">
        <f t="shared" si="57"/>
        <v/>
      </c>
      <c r="O721" t="str">
        <f t="shared" si="58"/>
        <v/>
      </c>
    </row>
    <row r="722" spans="11:15" x14ac:dyDescent="0.3">
      <c r="K722" t="str">
        <f t="shared" si="59"/>
        <v/>
      </c>
      <c r="L722" t="str">
        <f t="shared" si="55"/>
        <v/>
      </c>
      <c r="M722" t="str">
        <f t="shared" si="56"/>
        <v/>
      </c>
      <c r="N722" t="str">
        <f t="shared" si="57"/>
        <v/>
      </c>
      <c r="O722" t="str">
        <f t="shared" si="58"/>
        <v/>
      </c>
    </row>
    <row r="723" spans="11:15" x14ac:dyDescent="0.3">
      <c r="K723" t="str">
        <f t="shared" si="59"/>
        <v/>
      </c>
      <c r="L723" t="str">
        <f t="shared" si="55"/>
        <v/>
      </c>
      <c r="M723" t="str">
        <f t="shared" si="56"/>
        <v/>
      </c>
      <c r="N723" t="str">
        <f t="shared" si="57"/>
        <v/>
      </c>
      <c r="O723" t="str">
        <f t="shared" si="58"/>
        <v/>
      </c>
    </row>
    <row r="724" spans="11:15" x14ac:dyDescent="0.3">
      <c r="K724" t="str">
        <f t="shared" si="59"/>
        <v/>
      </c>
      <c r="L724" t="str">
        <f t="shared" si="55"/>
        <v/>
      </c>
      <c r="M724" t="str">
        <f t="shared" si="56"/>
        <v/>
      </c>
      <c r="N724" t="str">
        <f t="shared" si="57"/>
        <v/>
      </c>
      <c r="O724" t="str">
        <f t="shared" si="58"/>
        <v/>
      </c>
    </row>
    <row r="725" spans="11:15" x14ac:dyDescent="0.3">
      <c r="K725" t="str">
        <f t="shared" si="59"/>
        <v/>
      </c>
      <c r="L725" t="str">
        <f t="shared" si="55"/>
        <v/>
      </c>
      <c r="M725" t="str">
        <f t="shared" si="56"/>
        <v/>
      </c>
      <c r="N725" t="str">
        <f t="shared" si="57"/>
        <v/>
      </c>
      <c r="O725" t="str">
        <f t="shared" si="58"/>
        <v/>
      </c>
    </row>
    <row r="726" spans="11:15" x14ac:dyDescent="0.3">
      <c r="K726" t="str">
        <f t="shared" si="59"/>
        <v/>
      </c>
      <c r="L726" t="str">
        <f t="shared" si="55"/>
        <v/>
      </c>
      <c r="M726" t="str">
        <f t="shared" si="56"/>
        <v/>
      </c>
      <c r="N726" t="str">
        <f t="shared" si="57"/>
        <v/>
      </c>
      <c r="O726" t="str">
        <f t="shared" si="58"/>
        <v/>
      </c>
    </row>
    <row r="727" spans="11:15" x14ac:dyDescent="0.3">
      <c r="K727" t="str">
        <f t="shared" si="59"/>
        <v/>
      </c>
      <c r="L727" t="str">
        <f t="shared" si="55"/>
        <v/>
      </c>
      <c r="M727" t="str">
        <f t="shared" si="56"/>
        <v/>
      </c>
      <c r="N727" t="str">
        <f t="shared" si="57"/>
        <v/>
      </c>
      <c r="O727" t="str">
        <f t="shared" si="58"/>
        <v/>
      </c>
    </row>
    <row r="728" spans="11:15" x14ac:dyDescent="0.3">
      <c r="K728" t="str">
        <f t="shared" si="59"/>
        <v/>
      </c>
      <c r="L728" t="str">
        <f t="shared" si="55"/>
        <v/>
      </c>
      <c r="M728" t="str">
        <f t="shared" si="56"/>
        <v/>
      </c>
      <c r="N728" t="str">
        <f t="shared" si="57"/>
        <v/>
      </c>
      <c r="O728" t="str">
        <f t="shared" si="58"/>
        <v/>
      </c>
    </row>
    <row r="729" spans="11:15" x14ac:dyDescent="0.3">
      <c r="K729" t="str">
        <f t="shared" si="59"/>
        <v/>
      </c>
      <c r="L729" t="str">
        <f t="shared" si="55"/>
        <v/>
      </c>
      <c r="M729" t="str">
        <f t="shared" si="56"/>
        <v/>
      </c>
      <c r="N729" t="str">
        <f t="shared" si="57"/>
        <v/>
      </c>
      <c r="O729" t="str">
        <f t="shared" si="58"/>
        <v/>
      </c>
    </row>
    <row r="730" spans="11:15" x14ac:dyDescent="0.3">
      <c r="K730" t="str">
        <f t="shared" si="59"/>
        <v/>
      </c>
      <c r="L730" t="str">
        <f t="shared" si="55"/>
        <v/>
      </c>
      <c r="M730" t="str">
        <f t="shared" si="56"/>
        <v/>
      </c>
      <c r="N730" t="str">
        <f t="shared" si="57"/>
        <v/>
      </c>
      <c r="O730" t="str">
        <f t="shared" si="58"/>
        <v/>
      </c>
    </row>
    <row r="731" spans="11:15" x14ac:dyDescent="0.3">
      <c r="K731" t="str">
        <f t="shared" si="59"/>
        <v/>
      </c>
      <c r="L731" t="str">
        <f t="shared" si="55"/>
        <v/>
      </c>
      <c r="M731" t="str">
        <f t="shared" si="56"/>
        <v/>
      </c>
      <c r="N731" t="str">
        <f t="shared" si="57"/>
        <v/>
      </c>
      <c r="O731" t="str">
        <f t="shared" si="58"/>
        <v/>
      </c>
    </row>
    <row r="732" spans="11:15" x14ac:dyDescent="0.3">
      <c r="K732" t="str">
        <f t="shared" si="59"/>
        <v/>
      </c>
      <c r="L732" t="str">
        <f t="shared" si="55"/>
        <v/>
      </c>
      <c r="M732" t="str">
        <f t="shared" si="56"/>
        <v/>
      </c>
      <c r="N732" t="str">
        <f t="shared" si="57"/>
        <v/>
      </c>
      <c r="O732" t="str">
        <f t="shared" si="58"/>
        <v/>
      </c>
    </row>
    <row r="733" spans="11:15" x14ac:dyDescent="0.3">
      <c r="K733" t="str">
        <f t="shared" si="59"/>
        <v/>
      </c>
      <c r="L733" t="str">
        <f t="shared" si="55"/>
        <v/>
      </c>
      <c r="M733" t="str">
        <f t="shared" si="56"/>
        <v/>
      </c>
      <c r="N733" t="str">
        <f t="shared" si="57"/>
        <v/>
      </c>
      <c r="O733" t="str">
        <f t="shared" si="58"/>
        <v/>
      </c>
    </row>
    <row r="734" spans="11:15" x14ac:dyDescent="0.3">
      <c r="K734" t="str">
        <f t="shared" si="59"/>
        <v/>
      </c>
      <c r="L734" t="str">
        <f t="shared" si="55"/>
        <v/>
      </c>
      <c r="M734" t="str">
        <f t="shared" si="56"/>
        <v/>
      </c>
      <c r="N734" t="str">
        <f t="shared" si="57"/>
        <v/>
      </c>
      <c r="O734" t="str">
        <f t="shared" si="58"/>
        <v/>
      </c>
    </row>
    <row r="735" spans="11:15" x14ac:dyDescent="0.3">
      <c r="K735" t="str">
        <f t="shared" si="59"/>
        <v/>
      </c>
      <c r="L735" t="str">
        <f t="shared" si="55"/>
        <v/>
      </c>
      <c r="M735" t="str">
        <f t="shared" si="56"/>
        <v/>
      </c>
      <c r="N735" t="str">
        <f t="shared" si="57"/>
        <v/>
      </c>
      <c r="O735" t="str">
        <f t="shared" si="58"/>
        <v/>
      </c>
    </row>
    <row r="736" spans="11:15" x14ac:dyDescent="0.3">
      <c r="K736" t="str">
        <f t="shared" si="59"/>
        <v/>
      </c>
      <c r="L736" t="str">
        <f t="shared" si="55"/>
        <v/>
      </c>
      <c r="M736" t="str">
        <f t="shared" si="56"/>
        <v/>
      </c>
      <c r="N736" t="str">
        <f t="shared" si="57"/>
        <v/>
      </c>
      <c r="O736" t="str">
        <f t="shared" si="58"/>
        <v/>
      </c>
    </row>
    <row r="737" spans="11:15" x14ac:dyDescent="0.3">
      <c r="K737" t="str">
        <f t="shared" si="59"/>
        <v/>
      </c>
      <c r="L737" t="str">
        <f t="shared" si="55"/>
        <v/>
      </c>
      <c r="M737" t="str">
        <f t="shared" si="56"/>
        <v/>
      </c>
      <c r="N737" t="str">
        <f t="shared" si="57"/>
        <v/>
      </c>
      <c r="O737" t="str">
        <f t="shared" si="58"/>
        <v/>
      </c>
    </row>
    <row r="738" spans="11:15" x14ac:dyDescent="0.3">
      <c r="K738" t="str">
        <f t="shared" si="59"/>
        <v/>
      </c>
      <c r="L738" t="str">
        <f t="shared" si="55"/>
        <v/>
      </c>
      <c r="M738" t="str">
        <f t="shared" si="56"/>
        <v/>
      </c>
      <c r="N738" t="str">
        <f t="shared" si="57"/>
        <v/>
      </c>
      <c r="O738" t="str">
        <f t="shared" si="58"/>
        <v/>
      </c>
    </row>
    <row r="739" spans="11:15" x14ac:dyDescent="0.3">
      <c r="K739" t="str">
        <f t="shared" si="59"/>
        <v/>
      </c>
      <c r="L739" t="str">
        <f t="shared" si="55"/>
        <v/>
      </c>
      <c r="M739" t="str">
        <f t="shared" si="56"/>
        <v/>
      </c>
      <c r="N739" t="str">
        <f t="shared" si="57"/>
        <v/>
      </c>
      <c r="O739" t="str">
        <f t="shared" si="58"/>
        <v/>
      </c>
    </row>
    <row r="740" spans="11:15" x14ac:dyDescent="0.3">
      <c r="K740" t="str">
        <f t="shared" si="59"/>
        <v/>
      </c>
      <c r="L740" t="str">
        <f t="shared" si="55"/>
        <v/>
      </c>
      <c r="M740" t="str">
        <f t="shared" si="56"/>
        <v/>
      </c>
      <c r="N740" t="str">
        <f t="shared" si="57"/>
        <v/>
      </c>
      <c r="O740" t="str">
        <f t="shared" si="58"/>
        <v/>
      </c>
    </row>
    <row r="741" spans="11:15" x14ac:dyDescent="0.3">
      <c r="K741" t="str">
        <f t="shared" si="59"/>
        <v/>
      </c>
      <c r="L741" t="str">
        <f t="shared" si="55"/>
        <v/>
      </c>
      <c r="M741" t="str">
        <f t="shared" si="56"/>
        <v/>
      </c>
      <c r="N741" t="str">
        <f t="shared" si="57"/>
        <v/>
      </c>
      <c r="O741" t="str">
        <f t="shared" si="58"/>
        <v/>
      </c>
    </row>
    <row r="742" spans="11:15" x14ac:dyDescent="0.3">
      <c r="K742" t="str">
        <f t="shared" si="59"/>
        <v/>
      </c>
      <c r="L742" t="str">
        <f t="shared" si="55"/>
        <v/>
      </c>
      <c r="M742" t="str">
        <f t="shared" si="56"/>
        <v/>
      </c>
      <c r="N742" t="str">
        <f t="shared" si="57"/>
        <v/>
      </c>
      <c r="O742" t="str">
        <f t="shared" si="58"/>
        <v/>
      </c>
    </row>
    <row r="743" spans="11:15" x14ac:dyDescent="0.3">
      <c r="K743" t="str">
        <f t="shared" si="59"/>
        <v/>
      </c>
      <c r="L743" t="str">
        <f t="shared" si="55"/>
        <v/>
      </c>
      <c r="M743" t="str">
        <f t="shared" si="56"/>
        <v/>
      </c>
      <c r="N743" t="str">
        <f t="shared" si="57"/>
        <v/>
      </c>
      <c r="O743" t="str">
        <f t="shared" si="58"/>
        <v/>
      </c>
    </row>
    <row r="744" spans="11:15" x14ac:dyDescent="0.3">
      <c r="K744" t="str">
        <f t="shared" si="59"/>
        <v/>
      </c>
      <c r="L744" t="str">
        <f t="shared" si="55"/>
        <v/>
      </c>
      <c r="M744" t="str">
        <f t="shared" si="56"/>
        <v/>
      </c>
      <c r="N744" t="str">
        <f t="shared" si="57"/>
        <v/>
      </c>
      <c r="O744" t="str">
        <f t="shared" si="58"/>
        <v/>
      </c>
    </row>
    <row r="745" spans="11:15" x14ac:dyDescent="0.3">
      <c r="K745" t="str">
        <f t="shared" si="59"/>
        <v/>
      </c>
      <c r="L745" t="str">
        <f t="shared" si="55"/>
        <v/>
      </c>
      <c r="M745" t="str">
        <f t="shared" si="56"/>
        <v/>
      </c>
      <c r="N745" t="str">
        <f t="shared" si="57"/>
        <v/>
      </c>
      <c r="O745" t="str">
        <f t="shared" si="58"/>
        <v/>
      </c>
    </row>
    <row r="746" spans="11:15" x14ac:dyDescent="0.3">
      <c r="K746" t="str">
        <f t="shared" si="59"/>
        <v/>
      </c>
      <c r="L746" t="str">
        <f t="shared" si="55"/>
        <v/>
      </c>
      <c r="M746" t="str">
        <f t="shared" si="56"/>
        <v/>
      </c>
      <c r="N746" t="str">
        <f t="shared" si="57"/>
        <v/>
      </c>
      <c r="O746" t="str">
        <f t="shared" si="58"/>
        <v/>
      </c>
    </row>
    <row r="747" spans="11:15" x14ac:dyDescent="0.3">
      <c r="K747" t="str">
        <f t="shared" si="59"/>
        <v/>
      </c>
      <c r="L747" t="str">
        <f t="shared" si="55"/>
        <v/>
      </c>
      <c r="M747" t="str">
        <f t="shared" si="56"/>
        <v/>
      </c>
      <c r="N747" t="str">
        <f t="shared" si="57"/>
        <v/>
      </c>
      <c r="O747" t="str">
        <f t="shared" si="58"/>
        <v/>
      </c>
    </row>
    <row r="748" spans="11:15" x14ac:dyDescent="0.3">
      <c r="K748" t="str">
        <f t="shared" si="59"/>
        <v/>
      </c>
      <c r="L748" t="str">
        <f t="shared" si="55"/>
        <v/>
      </c>
      <c r="M748" t="str">
        <f t="shared" si="56"/>
        <v/>
      </c>
      <c r="N748" t="str">
        <f t="shared" si="57"/>
        <v/>
      </c>
      <c r="O748" t="str">
        <f t="shared" si="58"/>
        <v/>
      </c>
    </row>
    <row r="749" spans="11:15" x14ac:dyDescent="0.3">
      <c r="K749" t="str">
        <f t="shared" si="59"/>
        <v/>
      </c>
      <c r="L749" t="str">
        <f t="shared" si="55"/>
        <v/>
      </c>
      <c r="M749" t="str">
        <f t="shared" si="56"/>
        <v/>
      </c>
      <c r="N749" t="str">
        <f t="shared" si="57"/>
        <v/>
      </c>
      <c r="O749" t="str">
        <f t="shared" si="58"/>
        <v/>
      </c>
    </row>
    <row r="750" spans="11:15" x14ac:dyDescent="0.3">
      <c r="K750" t="str">
        <f t="shared" si="59"/>
        <v/>
      </c>
      <c r="L750" t="str">
        <f t="shared" si="55"/>
        <v/>
      </c>
      <c r="M750" t="str">
        <f t="shared" si="56"/>
        <v/>
      </c>
      <c r="N750" t="str">
        <f t="shared" si="57"/>
        <v/>
      </c>
      <c r="O750" t="str">
        <f t="shared" si="58"/>
        <v/>
      </c>
    </row>
    <row r="751" spans="11:15" x14ac:dyDescent="0.3">
      <c r="K751" t="str">
        <f t="shared" si="59"/>
        <v/>
      </c>
      <c r="L751" t="str">
        <f t="shared" si="55"/>
        <v/>
      </c>
      <c r="M751" t="str">
        <f t="shared" si="56"/>
        <v/>
      </c>
      <c r="N751" t="str">
        <f t="shared" si="57"/>
        <v/>
      </c>
      <c r="O751" t="str">
        <f t="shared" si="58"/>
        <v/>
      </c>
    </row>
    <row r="752" spans="11:15" x14ac:dyDescent="0.3">
      <c r="K752" t="str">
        <f t="shared" si="59"/>
        <v/>
      </c>
      <c r="L752" t="str">
        <f t="shared" si="55"/>
        <v/>
      </c>
      <c r="M752" t="str">
        <f t="shared" si="56"/>
        <v/>
      </c>
      <c r="N752" t="str">
        <f t="shared" si="57"/>
        <v/>
      </c>
      <c r="O752" t="str">
        <f t="shared" si="58"/>
        <v/>
      </c>
    </row>
    <row r="753" spans="11:15" x14ac:dyDescent="0.3">
      <c r="K753" t="str">
        <f t="shared" si="59"/>
        <v/>
      </c>
      <c r="L753" t="str">
        <f t="shared" si="55"/>
        <v/>
      </c>
      <c r="M753" t="str">
        <f t="shared" si="56"/>
        <v/>
      </c>
      <c r="N753" t="str">
        <f t="shared" si="57"/>
        <v/>
      </c>
      <c r="O753" t="str">
        <f t="shared" si="58"/>
        <v/>
      </c>
    </row>
    <row r="754" spans="11:15" x14ac:dyDescent="0.3">
      <c r="K754" t="str">
        <f t="shared" si="59"/>
        <v/>
      </c>
      <c r="L754" t="str">
        <f t="shared" si="55"/>
        <v/>
      </c>
      <c r="M754" t="str">
        <f t="shared" si="56"/>
        <v/>
      </c>
      <c r="N754" t="str">
        <f t="shared" si="57"/>
        <v/>
      </c>
      <c r="O754" t="str">
        <f t="shared" si="58"/>
        <v/>
      </c>
    </row>
    <row r="755" spans="11:15" x14ac:dyDescent="0.3">
      <c r="K755" t="str">
        <f t="shared" si="59"/>
        <v/>
      </c>
      <c r="L755" t="str">
        <f t="shared" si="55"/>
        <v/>
      </c>
      <c r="M755" t="str">
        <f t="shared" si="56"/>
        <v/>
      </c>
      <c r="N755" t="str">
        <f t="shared" si="57"/>
        <v/>
      </c>
      <c r="O755" t="str">
        <f t="shared" si="58"/>
        <v/>
      </c>
    </row>
    <row r="756" spans="11:15" x14ac:dyDescent="0.3">
      <c r="K756" t="str">
        <f t="shared" si="59"/>
        <v/>
      </c>
      <c r="L756" t="str">
        <f t="shared" si="55"/>
        <v/>
      </c>
      <c r="M756" t="str">
        <f t="shared" si="56"/>
        <v/>
      </c>
      <c r="N756" t="str">
        <f t="shared" si="57"/>
        <v/>
      </c>
      <c r="O756" t="str">
        <f t="shared" si="58"/>
        <v/>
      </c>
    </row>
    <row r="757" spans="11:15" x14ac:dyDescent="0.3">
      <c r="K757" t="str">
        <f t="shared" si="59"/>
        <v/>
      </c>
      <c r="L757" t="str">
        <f t="shared" si="55"/>
        <v/>
      </c>
      <c r="M757" t="str">
        <f t="shared" si="56"/>
        <v/>
      </c>
      <c r="N757" t="str">
        <f t="shared" si="57"/>
        <v/>
      </c>
      <c r="O757" t="str">
        <f t="shared" si="58"/>
        <v/>
      </c>
    </row>
    <row r="758" spans="11:15" x14ac:dyDescent="0.3">
      <c r="K758" t="str">
        <f t="shared" si="59"/>
        <v/>
      </c>
      <c r="L758" t="str">
        <f t="shared" si="55"/>
        <v/>
      </c>
      <c r="M758" t="str">
        <f t="shared" si="56"/>
        <v/>
      </c>
      <c r="N758" t="str">
        <f t="shared" si="57"/>
        <v/>
      </c>
      <c r="O758" t="str">
        <f t="shared" si="58"/>
        <v/>
      </c>
    </row>
    <row r="759" spans="11:15" x14ac:dyDescent="0.3">
      <c r="K759" t="str">
        <f t="shared" si="59"/>
        <v/>
      </c>
      <c r="L759" t="str">
        <f t="shared" si="55"/>
        <v/>
      </c>
      <c r="M759" t="str">
        <f t="shared" si="56"/>
        <v/>
      </c>
      <c r="N759" t="str">
        <f t="shared" si="57"/>
        <v/>
      </c>
      <c r="O759" t="str">
        <f t="shared" si="58"/>
        <v/>
      </c>
    </row>
    <row r="760" spans="11:15" x14ac:dyDescent="0.3">
      <c r="K760" t="str">
        <f t="shared" si="59"/>
        <v/>
      </c>
      <c r="L760" t="str">
        <f t="shared" si="55"/>
        <v/>
      </c>
      <c r="M760" t="str">
        <f t="shared" si="56"/>
        <v/>
      </c>
      <c r="N760" t="str">
        <f t="shared" si="57"/>
        <v/>
      </c>
      <c r="O760" t="str">
        <f t="shared" si="58"/>
        <v/>
      </c>
    </row>
    <row r="761" spans="11:15" x14ac:dyDescent="0.3">
      <c r="K761" t="str">
        <f t="shared" si="59"/>
        <v/>
      </c>
      <c r="L761" t="str">
        <f t="shared" si="55"/>
        <v/>
      </c>
      <c r="M761" t="str">
        <f t="shared" si="56"/>
        <v/>
      </c>
      <c r="N761" t="str">
        <f t="shared" si="57"/>
        <v/>
      </c>
      <c r="O761" t="str">
        <f t="shared" si="58"/>
        <v/>
      </c>
    </row>
    <row r="762" spans="11:15" x14ac:dyDescent="0.3">
      <c r="K762" t="str">
        <f t="shared" si="59"/>
        <v/>
      </c>
      <c r="L762" t="str">
        <f t="shared" si="55"/>
        <v/>
      </c>
      <c r="M762" t="str">
        <f t="shared" si="56"/>
        <v/>
      </c>
      <c r="N762" t="str">
        <f t="shared" si="57"/>
        <v/>
      </c>
      <c r="O762" t="str">
        <f t="shared" si="58"/>
        <v/>
      </c>
    </row>
    <row r="763" spans="11:15" x14ac:dyDescent="0.3">
      <c r="K763" t="str">
        <f t="shared" si="59"/>
        <v/>
      </c>
      <c r="L763" t="str">
        <f t="shared" si="55"/>
        <v/>
      </c>
      <c r="M763" t="str">
        <f t="shared" si="56"/>
        <v/>
      </c>
      <c r="N763" t="str">
        <f t="shared" si="57"/>
        <v/>
      </c>
      <c r="O763" t="str">
        <f t="shared" si="58"/>
        <v/>
      </c>
    </row>
    <row r="764" spans="11:15" x14ac:dyDescent="0.3">
      <c r="K764" t="str">
        <f t="shared" si="59"/>
        <v/>
      </c>
      <c r="L764" t="str">
        <f t="shared" si="55"/>
        <v/>
      </c>
      <c r="M764" t="str">
        <f t="shared" si="56"/>
        <v/>
      </c>
      <c r="N764" t="str">
        <f t="shared" si="57"/>
        <v/>
      </c>
      <c r="O764" t="str">
        <f t="shared" si="58"/>
        <v/>
      </c>
    </row>
    <row r="765" spans="11:15" x14ac:dyDescent="0.3">
      <c r="K765" t="str">
        <f t="shared" si="59"/>
        <v/>
      </c>
      <c r="L765" t="str">
        <f t="shared" si="55"/>
        <v/>
      </c>
      <c r="M765" t="str">
        <f t="shared" si="56"/>
        <v/>
      </c>
      <c r="N765" t="str">
        <f t="shared" si="57"/>
        <v/>
      </c>
      <c r="O765" t="str">
        <f t="shared" si="58"/>
        <v/>
      </c>
    </row>
    <row r="766" spans="11:15" x14ac:dyDescent="0.3">
      <c r="K766" t="str">
        <f t="shared" si="59"/>
        <v/>
      </c>
      <c r="L766" t="str">
        <f t="shared" si="55"/>
        <v/>
      </c>
      <c r="M766" t="str">
        <f t="shared" si="56"/>
        <v/>
      </c>
      <c r="N766" t="str">
        <f t="shared" si="57"/>
        <v/>
      </c>
      <c r="O766" t="str">
        <f t="shared" si="58"/>
        <v/>
      </c>
    </row>
    <row r="767" spans="11:15" x14ac:dyDescent="0.3">
      <c r="K767" t="str">
        <f t="shared" si="59"/>
        <v/>
      </c>
      <c r="L767" t="str">
        <f t="shared" si="55"/>
        <v/>
      </c>
      <c r="M767" t="str">
        <f t="shared" si="56"/>
        <v/>
      </c>
      <c r="N767" t="str">
        <f t="shared" si="57"/>
        <v/>
      </c>
      <c r="O767" t="str">
        <f t="shared" si="58"/>
        <v/>
      </c>
    </row>
    <row r="768" spans="11:15" x14ac:dyDescent="0.3">
      <c r="K768" t="str">
        <f t="shared" si="59"/>
        <v/>
      </c>
      <c r="L768" t="str">
        <f t="shared" si="55"/>
        <v/>
      </c>
      <c r="M768" t="str">
        <f t="shared" si="56"/>
        <v/>
      </c>
      <c r="N768" t="str">
        <f t="shared" si="57"/>
        <v/>
      </c>
      <c r="O768" t="str">
        <f t="shared" si="58"/>
        <v/>
      </c>
    </row>
    <row r="769" spans="11:15" x14ac:dyDescent="0.3">
      <c r="K769" t="str">
        <f t="shared" si="59"/>
        <v/>
      </c>
      <c r="L769" t="str">
        <f t="shared" ref="L769:L832" si="60">IF(A769="","",IF(ISNUMBER(--LEFT(A769,FIND(" - ",A769&amp;" - ")-1)),LEFT(A769,FIND(" - ",A769&amp;" - ")-1),TRIM(A769)))</f>
        <v/>
      </c>
      <c r="M769" t="str">
        <f t="shared" ref="M769:M832" si="61">IF(OR(K769="",K769=A769,A769=""),"",K769&amp;"|"&amp;L769)</f>
        <v/>
      </c>
      <c r="N769" t="str">
        <f t="shared" ref="N769:N832" si="62">IF(M769="","",IF(ISNUMBER(B769),B769,IFERROR(_xlfn.NUMBERVALUE(B769,".",","),0)))</f>
        <v/>
      </c>
      <c r="O769" t="str">
        <f t="shared" ref="O769:O832" si="63">IF(M769="","",IF(ISNUMBER(C769),C769,IFERROR(_xlfn.NUMBERVALUE(C769,".",","),0)))</f>
        <v/>
      </c>
    </row>
    <row r="770" spans="11:15" x14ac:dyDescent="0.3">
      <c r="K770" t="str">
        <f t="shared" ref="K770:K833" si="64">IF(OR(LEFT(B770,9)="DOANH THU",LEFT(B770,8)="SỐ LƯỢNG"),A770,K769)</f>
        <v/>
      </c>
      <c r="L770" t="str">
        <f t="shared" si="60"/>
        <v/>
      </c>
      <c r="M770" t="str">
        <f t="shared" si="61"/>
        <v/>
      </c>
      <c r="N770" t="str">
        <f t="shared" si="62"/>
        <v/>
      </c>
      <c r="O770" t="str">
        <f t="shared" si="63"/>
        <v/>
      </c>
    </row>
    <row r="771" spans="11:15" x14ac:dyDescent="0.3">
      <c r="K771" t="str">
        <f t="shared" si="64"/>
        <v/>
      </c>
      <c r="L771" t="str">
        <f t="shared" si="60"/>
        <v/>
      </c>
      <c r="M771" t="str">
        <f t="shared" si="61"/>
        <v/>
      </c>
      <c r="N771" t="str">
        <f t="shared" si="62"/>
        <v/>
      </c>
      <c r="O771" t="str">
        <f t="shared" si="63"/>
        <v/>
      </c>
    </row>
    <row r="772" spans="11:15" x14ac:dyDescent="0.3">
      <c r="K772" t="str">
        <f t="shared" si="64"/>
        <v/>
      </c>
      <c r="L772" t="str">
        <f t="shared" si="60"/>
        <v/>
      </c>
      <c r="M772" t="str">
        <f t="shared" si="61"/>
        <v/>
      </c>
      <c r="N772" t="str">
        <f t="shared" si="62"/>
        <v/>
      </c>
      <c r="O772" t="str">
        <f t="shared" si="63"/>
        <v/>
      </c>
    </row>
    <row r="773" spans="11:15" x14ac:dyDescent="0.3">
      <c r="K773" t="str">
        <f t="shared" si="64"/>
        <v/>
      </c>
      <c r="L773" t="str">
        <f t="shared" si="60"/>
        <v/>
      </c>
      <c r="M773" t="str">
        <f t="shared" si="61"/>
        <v/>
      </c>
      <c r="N773" t="str">
        <f t="shared" si="62"/>
        <v/>
      </c>
      <c r="O773" t="str">
        <f t="shared" si="63"/>
        <v/>
      </c>
    </row>
    <row r="774" spans="11:15" x14ac:dyDescent="0.3">
      <c r="K774" t="str">
        <f t="shared" si="64"/>
        <v/>
      </c>
      <c r="L774" t="str">
        <f t="shared" si="60"/>
        <v/>
      </c>
      <c r="M774" t="str">
        <f t="shared" si="61"/>
        <v/>
      </c>
      <c r="N774" t="str">
        <f t="shared" si="62"/>
        <v/>
      </c>
      <c r="O774" t="str">
        <f t="shared" si="63"/>
        <v/>
      </c>
    </row>
    <row r="775" spans="11:15" x14ac:dyDescent="0.3">
      <c r="K775" t="str">
        <f t="shared" si="64"/>
        <v/>
      </c>
      <c r="L775" t="str">
        <f t="shared" si="60"/>
        <v/>
      </c>
      <c r="M775" t="str">
        <f t="shared" si="61"/>
        <v/>
      </c>
      <c r="N775" t="str">
        <f t="shared" si="62"/>
        <v/>
      </c>
      <c r="O775" t="str">
        <f t="shared" si="63"/>
        <v/>
      </c>
    </row>
    <row r="776" spans="11:15" x14ac:dyDescent="0.3">
      <c r="K776" t="str">
        <f t="shared" si="64"/>
        <v/>
      </c>
      <c r="L776" t="str">
        <f t="shared" si="60"/>
        <v/>
      </c>
      <c r="M776" t="str">
        <f t="shared" si="61"/>
        <v/>
      </c>
      <c r="N776" t="str">
        <f t="shared" si="62"/>
        <v/>
      </c>
      <c r="O776" t="str">
        <f t="shared" si="63"/>
        <v/>
      </c>
    </row>
    <row r="777" spans="11:15" x14ac:dyDescent="0.3">
      <c r="K777" t="str">
        <f t="shared" si="64"/>
        <v/>
      </c>
      <c r="L777" t="str">
        <f t="shared" si="60"/>
        <v/>
      </c>
      <c r="M777" t="str">
        <f t="shared" si="61"/>
        <v/>
      </c>
      <c r="N777" t="str">
        <f t="shared" si="62"/>
        <v/>
      </c>
      <c r="O777" t="str">
        <f t="shared" si="63"/>
        <v/>
      </c>
    </row>
    <row r="778" spans="11:15" x14ac:dyDescent="0.3">
      <c r="K778" t="str">
        <f t="shared" si="64"/>
        <v/>
      </c>
      <c r="L778" t="str">
        <f t="shared" si="60"/>
        <v/>
      </c>
      <c r="M778" t="str">
        <f t="shared" si="61"/>
        <v/>
      </c>
      <c r="N778" t="str">
        <f t="shared" si="62"/>
        <v/>
      </c>
      <c r="O778" t="str">
        <f t="shared" si="63"/>
        <v/>
      </c>
    </row>
    <row r="779" spans="11:15" x14ac:dyDescent="0.3">
      <c r="K779" t="str">
        <f t="shared" si="64"/>
        <v/>
      </c>
      <c r="L779" t="str">
        <f t="shared" si="60"/>
        <v/>
      </c>
      <c r="M779" t="str">
        <f t="shared" si="61"/>
        <v/>
      </c>
      <c r="N779" t="str">
        <f t="shared" si="62"/>
        <v/>
      </c>
      <c r="O779" t="str">
        <f t="shared" si="63"/>
        <v/>
      </c>
    </row>
    <row r="780" spans="11:15" x14ac:dyDescent="0.3">
      <c r="K780" t="str">
        <f t="shared" si="64"/>
        <v/>
      </c>
      <c r="L780" t="str">
        <f t="shared" si="60"/>
        <v/>
      </c>
      <c r="M780" t="str">
        <f t="shared" si="61"/>
        <v/>
      </c>
      <c r="N780" t="str">
        <f t="shared" si="62"/>
        <v/>
      </c>
      <c r="O780" t="str">
        <f t="shared" si="63"/>
        <v/>
      </c>
    </row>
    <row r="781" spans="11:15" x14ac:dyDescent="0.3">
      <c r="K781" t="str">
        <f t="shared" si="64"/>
        <v/>
      </c>
      <c r="L781" t="str">
        <f t="shared" si="60"/>
        <v/>
      </c>
      <c r="M781" t="str">
        <f t="shared" si="61"/>
        <v/>
      </c>
      <c r="N781" t="str">
        <f t="shared" si="62"/>
        <v/>
      </c>
      <c r="O781" t="str">
        <f t="shared" si="63"/>
        <v/>
      </c>
    </row>
    <row r="782" spans="11:15" x14ac:dyDescent="0.3">
      <c r="K782" t="str">
        <f t="shared" si="64"/>
        <v/>
      </c>
      <c r="L782" t="str">
        <f t="shared" si="60"/>
        <v/>
      </c>
      <c r="M782" t="str">
        <f t="shared" si="61"/>
        <v/>
      </c>
      <c r="N782" t="str">
        <f t="shared" si="62"/>
        <v/>
      </c>
      <c r="O782" t="str">
        <f t="shared" si="63"/>
        <v/>
      </c>
    </row>
    <row r="783" spans="11:15" x14ac:dyDescent="0.3">
      <c r="K783" t="str">
        <f t="shared" si="64"/>
        <v/>
      </c>
      <c r="L783" t="str">
        <f t="shared" si="60"/>
        <v/>
      </c>
      <c r="M783" t="str">
        <f t="shared" si="61"/>
        <v/>
      </c>
      <c r="N783" t="str">
        <f t="shared" si="62"/>
        <v/>
      </c>
      <c r="O783" t="str">
        <f t="shared" si="63"/>
        <v/>
      </c>
    </row>
    <row r="784" spans="11:15" x14ac:dyDescent="0.3">
      <c r="K784" t="str">
        <f t="shared" si="64"/>
        <v/>
      </c>
      <c r="L784" t="str">
        <f t="shared" si="60"/>
        <v/>
      </c>
      <c r="M784" t="str">
        <f t="shared" si="61"/>
        <v/>
      </c>
      <c r="N784" t="str">
        <f t="shared" si="62"/>
        <v/>
      </c>
      <c r="O784" t="str">
        <f t="shared" si="63"/>
        <v/>
      </c>
    </row>
    <row r="785" spans="11:15" x14ac:dyDescent="0.3">
      <c r="K785" t="str">
        <f t="shared" si="64"/>
        <v/>
      </c>
      <c r="L785" t="str">
        <f t="shared" si="60"/>
        <v/>
      </c>
      <c r="M785" t="str">
        <f t="shared" si="61"/>
        <v/>
      </c>
      <c r="N785" t="str">
        <f t="shared" si="62"/>
        <v/>
      </c>
      <c r="O785" t="str">
        <f t="shared" si="63"/>
        <v/>
      </c>
    </row>
    <row r="786" spans="11:15" x14ac:dyDescent="0.3">
      <c r="K786" t="str">
        <f t="shared" si="64"/>
        <v/>
      </c>
      <c r="L786" t="str">
        <f t="shared" si="60"/>
        <v/>
      </c>
      <c r="M786" t="str">
        <f t="shared" si="61"/>
        <v/>
      </c>
      <c r="N786" t="str">
        <f t="shared" si="62"/>
        <v/>
      </c>
      <c r="O786" t="str">
        <f t="shared" si="63"/>
        <v/>
      </c>
    </row>
    <row r="787" spans="11:15" x14ac:dyDescent="0.3">
      <c r="K787" t="str">
        <f t="shared" si="64"/>
        <v/>
      </c>
      <c r="L787" t="str">
        <f t="shared" si="60"/>
        <v/>
      </c>
      <c r="M787" t="str">
        <f t="shared" si="61"/>
        <v/>
      </c>
      <c r="N787" t="str">
        <f t="shared" si="62"/>
        <v/>
      </c>
      <c r="O787" t="str">
        <f t="shared" si="63"/>
        <v/>
      </c>
    </row>
    <row r="788" spans="11:15" x14ac:dyDescent="0.3">
      <c r="K788" t="str">
        <f t="shared" si="64"/>
        <v/>
      </c>
      <c r="L788" t="str">
        <f t="shared" si="60"/>
        <v/>
      </c>
      <c r="M788" t="str">
        <f t="shared" si="61"/>
        <v/>
      </c>
      <c r="N788" t="str">
        <f t="shared" si="62"/>
        <v/>
      </c>
      <c r="O788" t="str">
        <f t="shared" si="63"/>
        <v/>
      </c>
    </row>
    <row r="789" spans="11:15" x14ac:dyDescent="0.3">
      <c r="K789" t="str">
        <f t="shared" si="64"/>
        <v/>
      </c>
      <c r="L789" t="str">
        <f t="shared" si="60"/>
        <v/>
      </c>
      <c r="M789" t="str">
        <f t="shared" si="61"/>
        <v/>
      </c>
      <c r="N789" t="str">
        <f t="shared" si="62"/>
        <v/>
      </c>
      <c r="O789" t="str">
        <f t="shared" si="63"/>
        <v/>
      </c>
    </row>
    <row r="790" spans="11:15" x14ac:dyDescent="0.3">
      <c r="K790" t="str">
        <f t="shared" si="64"/>
        <v/>
      </c>
      <c r="L790" t="str">
        <f t="shared" si="60"/>
        <v/>
      </c>
      <c r="M790" t="str">
        <f t="shared" si="61"/>
        <v/>
      </c>
      <c r="N790" t="str">
        <f t="shared" si="62"/>
        <v/>
      </c>
      <c r="O790" t="str">
        <f t="shared" si="63"/>
        <v/>
      </c>
    </row>
    <row r="791" spans="11:15" x14ac:dyDescent="0.3">
      <c r="K791" t="str">
        <f t="shared" si="64"/>
        <v/>
      </c>
      <c r="L791" t="str">
        <f t="shared" si="60"/>
        <v/>
      </c>
      <c r="M791" t="str">
        <f t="shared" si="61"/>
        <v/>
      </c>
      <c r="N791" t="str">
        <f t="shared" si="62"/>
        <v/>
      </c>
      <c r="O791" t="str">
        <f t="shared" si="63"/>
        <v/>
      </c>
    </row>
    <row r="792" spans="11:15" x14ac:dyDescent="0.3">
      <c r="K792" t="str">
        <f t="shared" si="64"/>
        <v/>
      </c>
      <c r="L792" t="str">
        <f t="shared" si="60"/>
        <v/>
      </c>
      <c r="M792" t="str">
        <f t="shared" si="61"/>
        <v/>
      </c>
      <c r="N792" t="str">
        <f t="shared" si="62"/>
        <v/>
      </c>
      <c r="O792" t="str">
        <f t="shared" si="63"/>
        <v/>
      </c>
    </row>
    <row r="793" spans="11:15" x14ac:dyDescent="0.3">
      <c r="K793" t="str">
        <f t="shared" si="64"/>
        <v/>
      </c>
      <c r="L793" t="str">
        <f t="shared" si="60"/>
        <v/>
      </c>
      <c r="M793" t="str">
        <f t="shared" si="61"/>
        <v/>
      </c>
      <c r="N793" t="str">
        <f t="shared" si="62"/>
        <v/>
      </c>
      <c r="O793" t="str">
        <f t="shared" si="63"/>
        <v/>
      </c>
    </row>
    <row r="794" spans="11:15" x14ac:dyDescent="0.3">
      <c r="K794" t="str">
        <f t="shared" si="64"/>
        <v/>
      </c>
      <c r="L794" t="str">
        <f t="shared" si="60"/>
        <v/>
      </c>
      <c r="M794" t="str">
        <f t="shared" si="61"/>
        <v/>
      </c>
      <c r="N794" t="str">
        <f t="shared" si="62"/>
        <v/>
      </c>
      <c r="O794" t="str">
        <f t="shared" si="63"/>
        <v/>
      </c>
    </row>
    <row r="795" spans="11:15" x14ac:dyDescent="0.3">
      <c r="K795" t="str">
        <f t="shared" si="64"/>
        <v/>
      </c>
      <c r="L795" t="str">
        <f t="shared" si="60"/>
        <v/>
      </c>
      <c r="M795" t="str">
        <f t="shared" si="61"/>
        <v/>
      </c>
      <c r="N795" t="str">
        <f t="shared" si="62"/>
        <v/>
      </c>
      <c r="O795" t="str">
        <f t="shared" si="63"/>
        <v/>
      </c>
    </row>
    <row r="796" spans="11:15" x14ac:dyDescent="0.3">
      <c r="K796" t="str">
        <f t="shared" si="64"/>
        <v/>
      </c>
      <c r="L796" t="str">
        <f t="shared" si="60"/>
        <v/>
      </c>
      <c r="M796" t="str">
        <f t="shared" si="61"/>
        <v/>
      </c>
      <c r="N796" t="str">
        <f t="shared" si="62"/>
        <v/>
      </c>
      <c r="O796" t="str">
        <f t="shared" si="63"/>
        <v/>
      </c>
    </row>
    <row r="797" spans="11:15" x14ac:dyDescent="0.3">
      <c r="K797" t="str">
        <f t="shared" si="64"/>
        <v/>
      </c>
      <c r="L797" t="str">
        <f t="shared" si="60"/>
        <v/>
      </c>
      <c r="M797" t="str">
        <f t="shared" si="61"/>
        <v/>
      </c>
      <c r="N797" t="str">
        <f t="shared" si="62"/>
        <v/>
      </c>
      <c r="O797" t="str">
        <f t="shared" si="63"/>
        <v/>
      </c>
    </row>
    <row r="798" spans="11:15" x14ac:dyDescent="0.3">
      <c r="K798" t="str">
        <f t="shared" si="64"/>
        <v/>
      </c>
      <c r="L798" t="str">
        <f t="shared" si="60"/>
        <v/>
      </c>
      <c r="M798" t="str">
        <f t="shared" si="61"/>
        <v/>
      </c>
      <c r="N798" t="str">
        <f t="shared" si="62"/>
        <v/>
      </c>
      <c r="O798" t="str">
        <f t="shared" si="63"/>
        <v/>
      </c>
    </row>
    <row r="799" spans="11:15" x14ac:dyDescent="0.3">
      <c r="K799" t="str">
        <f t="shared" si="64"/>
        <v/>
      </c>
      <c r="L799" t="str">
        <f t="shared" si="60"/>
        <v/>
      </c>
      <c r="M799" t="str">
        <f t="shared" si="61"/>
        <v/>
      </c>
      <c r="N799" t="str">
        <f t="shared" si="62"/>
        <v/>
      </c>
      <c r="O799" t="str">
        <f t="shared" si="63"/>
        <v/>
      </c>
    </row>
    <row r="800" spans="11:15" x14ac:dyDescent="0.3">
      <c r="K800" t="str">
        <f t="shared" si="64"/>
        <v/>
      </c>
      <c r="L800" t="str">
        <f t="shared" si="60"/>
        <v/>
      </c>
      <c r="M800" t="str">
        <f t="shared" si="61"/>
        <v/>
      </c>
      <c r="N800" t="str">
        <f t="shared" si="62"/>
        <v/>
      </c>
      <c r="O800" t="str">
        <f t="shared" si="63"/>
        <v/>
      </c>
    </row>
    <row r="801" spans="11:15" x14ac:dyDescent="0.3">
      <c r="K801" t="str">
        <f t="shared" si="64"/>
        <v/>
      </c>
      <c r="L801" t="str">
        <f t="shared" si="60"/>
        <v/>
      </c>
      <c r="M801" t="str">
        <f t="shared" si="61"/>
        <v/>
      </c>
      <c r="N801" t="str">
        <f t="shared" si="62"/>
        <v/>
      </c>
      <c r="O801" t="str">
        <f t="shared" si="63"/>
        <v/>
      </c>
    </row>
    <row r="802" spans="11:15" x14ac:dyDescent="0.3">
      <c r="K802" t="str">
        <f t="shared" si="64"/>
        <v/>
      </c>
      <c r="L802" t="str">
        <f t="shared" si="60"/>
        <v/>
      </c>
      <c r="M802" t="str">
        <f t="shared" si="61"/>
        <v/>
      </c>
      <c r="N802" t="str">
        <f t="shared" si="62"/>
        <v/>
      </c>
      <c r="O802" t="str">
        <f t="shared" si="63"/>
        <v/>
      </c>
    </row>
    <row r="803" spans="11:15" x14ac:dyDescent="0.3">
      <c r="K803" t="str">
        <f t="shared" si="64"/>
        <v/>
      </c>
      <c r="L803" t="str">
        <f t="shared" si="60"/>
        <v/>
      </c>
      <c r="M803" t="str">
        <f t="shared" si="61"/>
        <v/>
      </c>
      <c r="N803" t="str">
        <f t="shared" si="62"/>
        <v/>
      </c>
      <c r="O803" t="str">
        <f t="shared" si="63"/>
        <v/>
      </c>
    </row>
    <row r="804" spans="11:15" x14ac:dyDescent="0.3">
      <c r="K804" t="str">
        <f t="shared" si="64"/>
        <v/>
      </c>
      <c r="L804" t="str">
        <f t="shared" si="60"/>
        <v/>
      </c>
      <c r="M804" t="str">
        <f t="shared" si="61"/>
        <v/>
      </c>
      <c r="N804" t="str">
        <f t="shared" si="62"/>
        <v/>
      </c>
      <c r="O804" t="str">
        <f t="shared" si="63"/>
        <v/>
      </c>
    </row>
    <row r="805" spans="11:15" x14ac:dyDescent="0.3">
      <c r="K805" t="str">
        <f t="shared" si="64"/>
        <v/>
      </c>
      <c r="L805" t="str">
        <f t="shared" si="60"/>
        <v/>
      </c>
      <c r="M805" t="str">
        <f t="shared" si="61"/>
        <v/>
      </c>
      <c r="N805" t="str">
        <f t="shared" si="62"/>
        <v/>
      </c>
      <c r="O805" t="str">
        <f t="shared" si="63"/>
        <v/>
      </c>
    </row>
    <row r="806" spans="11:15" x14ac:dyDescent="0.3">
      <c r="K806" t="str">
        <f t="shared" si="64"/>
        <v/>
      </c>
      <c r="L806" t="str">
        <f t="shared" si="60"/>
        <v/>
      </c>
      <c r="M806" t="str">
        <f t="shared" si="61"/>
        <v/>
      </c>
      <c r="N806" t="str">
        <f t="shared" si="62"/>
        <v/>
      </c>
      <c r="O806" t="str">
        <f t="shared" si="63"/>
        <v/>
      </c>
    </row>
    <row r="807" spans="11:15" x14ac:dyDescent="0.3">
      <c r="K807" t="str">
        <f t="shared" si="64"/>
        <v/>
      </c>
      <c r="L807" t="str">
        <f t="shared" si="60"/>
        <v/>
      </c>
      <c r="M807" t="str">
        <f t="shared" si="61"/>
        <v/>
      </c>
      <c r="N807" t="str">
        <f t="shared" si="62"/>
        <v/>
      </c>
      <c r="O807" t="str">
        <f t="shared" si="63"/>
        <v/>
      </c>
    </row>
    <row r="808" spans="11:15" x14ac:dyDescent="0.3">
      <c r="K808" t="str">
        <f t="shared" si="64"/>
        <v/>
      </c>
      <c r="L808" t="str">
        <f t="shared" si="60"/>
        <v/>
      </c>
      <c r="M808" t="str">
        <f t="shared" si="61"/>
        <v/>
      </c>
      <c r="N808" t="str">
        <f t="shared" si="62"/>
        <v/>
      </c>
      <c r="O808" t="str">
        <f t="shared" si="63"/>
        <v/>
      </c>
    </row>
    <row r="809" spans="11:15" x14ac:dyDescent="0.3">
      <c r="K809" t="str">
        <f t="shared" si="64"/>
        <v/>
      </c>
      <c r="L809" t="str">
        <f t="shared" si="60"/>
        <v/>
      </c>
      <c r="M809" t="str">
        <f t="shared" si="61"/>
        <v/>
      </c>
      <c r="N809" t="str">
        <f t="shared" si="62"/>
        <v/>
      </c>
      <c r="O809" t="str">
        <f t="shared" si="63"/>
        <v/>
      </c>
    </row>
    <row r="810" spans="11:15" x14ac:dyDescent="0.3">
      <c r="K810" t="str">
        <f t="shared" si="64"/>
        <v/>
      </c>
      <c r="L810" t="str">
        <f t="shared" si="60"/>
        <v/>
      </c>
      <c r="M810" t="str">
        <f t="shared" si="61"/>
        <v/>
      </c>
      <c r="N810" t="str">
        <f t="shared" si="62"/>
        <v/>
      </c>
      <c r="O810" t="str">
        <f t="shared" si="63"/>
        <v/>
      </c>
    </row>
    <row r="811" spans="11:15" x14ac:dyDescent="0.3">
      <c r="K811" t="str">
        <f t="shared" si="64"/>
        <v/>
      </c>
      <c r="L811" t="str">
        <f t="shared" si="60"/>
        <v/>
      </c>
      <c r="M811" t="str">
        <f t="shared" si="61"/>
        <v/>
      </c>
      <c r="N811" t="str">
        <f t="shared" si="62"/>
        <v/>
      </c>
      <c r="O811" t="str">
        <f t="shared" si="63"/>
        <v/>
      </c>
    </row>
    <row r="812" spans="11:15" x14ac:dyDescent="0.3">
      <c r="K812" t="str">
        <f t="shared" si="64"/>
        <v/>
      </c>
      <c r="L812" t="str">
        <f t="shared" si="60"/>
        <v/>
      </c>
      <c r="M812" t="str">
        <f t="shared" si="61"/>
        <v/>
      </c>
      <c r="N812" t="str">
        <f t="shared" si="62"/>
        <v/>
      </c>
      <c r="O812" t="str">
        <f t="shared" si="63"/>
        <v/>
      </c>
    </row>
    <row r="813" spans="11:15" x14ac:dyDescent="0.3">
      <c r="K813" t="str">
        <f t="shared" si="64"/>
        <v/>
      </c>
      <c r="L813" t="str">
        <f t="shared" si="60"/>
        <v/>
      </c>
      <c r="M813" t="str">
        <f t="shared" si="61"/>
        <v/>
      </c>
      <c r="N813" t="str">
        <f t="shared" si="62"/>
        <v/>
      </c>
      <c r="O813" t="str">
        <f t="shared" si="63"/>
        <v/>
      </c>
    </row>
    <row r="814" spans="11:15" x14ac:dyDescent="0.3">
      <c r="K814" t="str">
        <f t="shared" si="64"/>
        <v/>
      </c>
      <c r="L814" t="str">
        <f t="shared" si="60"/>
        <v/>
      </c>
      <c r="M814" t="str">
        <f t="shared" si="61"/>
        <v/>
      </c>
      <c r="N814" t="str">
        <f t="shared" si="62"/>
        <v/>
      </c>
      <c r="O814" t="str">
        <f t="shared" si="63"/>
        <v/>
      </c>
    </row>
    <row r="815" spans="11:15" x14ac:dyDescent="0.3">
      <c r="K815" t="str">
        <f t="shared" si="64"/>
        <v/>
      </c>
      <c r="L815" t="str">
        <f t="shared" si="60"/>
        <v/>
      </c>
      <c r="M815" t="str">
        <f t="shared" si="61"/>
        <v/>
      </c>
      <c r="N815" t="str">
        <f t="shared" si="62"/>
        <v/>
      </c>
      <c r="O815" t="str">
        <f t="shared" si="63"/>
        <v/>
      </c>
    </row>
    <row r="816" spans="11:15" x14ac:dyDescent="0.3">
      <c r="K816" t="str">
        <f t="shared" si="64"/>
        <v/>
      </c>
      <c r="L816" t="str">
        <f t="shared" si="60"/>
        <v/>
      </c>
      <c r="M816" t="str">
        <f t="shared" si="61"/>
        <v/>
      </c>
      <c r="N816" t="str">
        <f t="shared" si="62"/>
        <v/>
      </c>
      <c r="O816" t="str">
        <f t="shared" si="63"/>
        <v/>
      </c>
    </row>
    <row r="817" spans="11:15" x14ac:dyDescent="0.3">
      <c r="K817" t="str">
        <f t="shared" si="64"/>
        <v/>
      </c>
      <c r="L817" t="str">
        <f t="shared" si="60"/>
        <v/>
      </c>
      <c r="M817" t="str">
        <f t="shared" si="61"/>
        <v/>
      </c>
      <c r="N817" t="str">
        <f t="shared" si="62"/>
        <v/>
      </c>
      <c r="O817" t="str">
        <f t="shared" si="63"/>
        <v/>
      </c>
    </row>
    <row r="818" spans="11:15" x14ac:dyDescent="0.3">
      <c r="K818" t="str">
        <f t="shared" si="64"/>
        <v/>
      </c>
      <c r="L818" t="str">
        <f t="shared" si="60"/>
        <v/>
      </c>
      <c r="M818" t="str">
        <f t="shared" si="61"/>
        <v/>
      </c>
      <c r="N818" t="str">
        <f t="shared" si="62"/>
        <v/>
      </c>
      <c r="O818" t="str">
        <f t="shared" si="63"/>
        <v/>
      </c>
    </row>
    <row r="819" spans="11:15" x14ac:dyDescent="0.3">
      <c r="K819" t="str">
        <f t="shared" si="64"/>
        <v/>
      </c>
      <c r="L819" t="str">
        <f t="shared" si="60"/>
        <v/>
      </c>
      <c r="M819" t="str">
        <f t="shared" si="61"/>
        <v/>
      </c>
      <c r="N819" t="str">
        <f t="shared" si="62"/>
        <v/>
      </c>
      <c r="O819" t="str">
        <f t="shared" si="63"/>
        <v/>
      </c>
    </row>
    <row r="820" spans="11:15" x14ac:dyDescent="0.3">
      <c r="K820" t="str">
        <f t="shared" si="64"/>
        <v/>
      </c>
      <c r="L820" t="str">
        <f t="shared" si="60"/>
        <v/>
      </c>
      <c r="M820" t="str">
        <f t="shared" si="61"/>
        <v/>
      </c>
      <c r="N820" t="str">
        <f t="shared" si="62"/>
        <v/>
      </c>
      <c r="O820" t="str">
        <f t="shared" si="63"/>
        <v/>
      </c>
    </row>
    <row r="821" spans="11:15" x14ac:dyDescent="0.3">
      <c r="K821" t="str">
        <f t="shared" si="64"/>
        <v/>
      </c>
      <c r="L821" t="str">
        <f t="shared" si="60"/>
        <v/>
      </c>
      <c r="M821" t="str">
        <f t="shared" si="61"/>
        <v/>
      </c>
      <c r="N821" t="str">
        <f t="shared" si="62"/>
        <v/>
      </c>
      <c r="O821" t="str">
        <f t="shared" si="63"/>
        <v/>
      </c>
    </row>
    <row r="822" spans="11:15" x14ac:dyDescent="0.3">
      <c r="K822" t="str">
        <f t="shared" si="64"/>
        <v/>
      </c>
      <c r="L822" t="str">
        <f t="shared" si="60"/>
        <v/>
      </c>
      <c r="M822" t="str">
        <f t="shared" si="61"/>
        <v/>
      </c>
      <c r="N822" t="str">
        <f t="shared" si="62"/>
        <v/>
      </c>
      <c r="O822" t="str">
        <f t="shared" si="63"/>
        <v/>
      </c>
    </row>
    <row r="823" spans="11:15" x14ac:dyDescent="0.3">
      <c r="K823" t="str">
        <f t="shared" si="64"/>
        <v/>
      </c>
      <c r="L823" t="str">
        <f t="shared" si="60"/>
        <v/>
      </c>
      <c r="M823" t="str">
        <f t="shared" si="61"/>
        <v/>
      </c>
      <c r="N823" t="str">
        <f t="shared" si="62"/>
        <v/>
      </c>
      <c r="O823" t="str">
        <f t="shared" si="63"/>
        <v/>
      </c>
    </row>
    <row r="824" spans="11:15" x14ac:dyDescent="0.3">
      <c r="K824" t="str">
        <f t="shared" si="64"/>
        <v/>
      </c>
      <c r="L824" t="str">
        <f t="shared" si="60"/>
        <v/>
      </c>
      <c r="M824" t="str">
        <f t="shared" si="61"/>
        <v/>
      </c>
      <c r="N824" t="str">
        <f t="shared" si="62"/>
        <v/>
      </c>
      <c r="O824" t="str">
        <f t="shared" si="63"/>
        <v/>
      </c>
    </row>
    <row r="825" spans="11:15" x14ac:dyDescent="0.3">
      <c r="K825" t="str">
        <f t="shared" si="64"/>
        <v/>
      </c>
      <c r="L825" t="str">
        <f t="shared" si="60"/>
        <v/>
      </c>
      <c r="M825" t="str">
        <f t="shared" si="61"/>
        <v/>
      </c>
      <c r="N825" t="str">
        <f t="shared" si="62"/>
        <v/>
      </c>
      <c r="O825" t="str">
        <f t="shared" si="63"/>
        <v/>
      </c>
    </row>
    <row r="826" spans="11:15" x14ac:dyDescent="0.3">
      <c r="K826" t="str">
        <f t="shared" si="64"/>
        <v/>
      </c>
      <c r="L826" t="str">
        <f t="shared" si="60"/>
        <v/>
      </c>
      <c r="M826" t="str">
        <f t="shared" si="61"/>
        <v/>
      </c>
      <c r="N826" t="str">
        <f t="shared" si="62"/>
        <v/>
      </c>
      <c r="O826" t="str">
        <f t="shared" si="63"/>
        <v/>
      </c>
    </row>
    <row r="827" spans="11:15" x14ac:dyDescent="0.3">
      <c r="K827" t="str">
        <f t="shared" si="64"/>
        <v/>
      </c>
      <c r="L827" t="str">
        <f t="shared" si="60"/>
        <v/>
      </c>
      <c r="M827" t="str">
        <f t="shared" si="61"/>
        <v/>
      </c>
      <c r="N827" t="str">
        <f t="shared" si="62"/>
        <v/>
      </c>
      <c r="O827" t="str">
        <f t="shared" si="63"/>
        <v/>
      </c>
    </row>
    <row r="828" spans="11:15" x14ac:dyDescent="0.3">
      <c r="K828" t="str">
        <f t="shared" si="64"/>
        <v/>
      </c>
      <c r="L828" t="str">
        <f t="shared" si="60"/>
        <v/>
      </c>
      <c r="M828" t="str">
        <f t="shared" si="61"/>
        <v/>
      </c>
      <c r="N828" t="str">
        <f t="shared" si="62"/>
        <v/>
      </c>
      <c r="O828" t="str">
        <f t="shared" si="63"/>
        <v/>
      </c>
    </row>
    <row r="829" spans="11:15" x14ac:dyDescent="0.3">
      <c r="K829" t="str">
        <f t="shared" si="64"/>
        <v/>
      </c>
      <c r="L829" t="str">
        <f t="shared" si="60"/>
        <v/>
      </c>
      <c r="M829" t="str">
        <f t="shared" si="61"/>
        <v/>
      </c>
      <c r="N829" t="str">
        <f t="shared" si="62"/>
        <v/>
      </c>
      <c r="O829" t="str">
        <f t="shared" si="63"/>
        <v/>
      </c>
    </row>
    <row r="830" spans="11:15" x14ac:dyDescent="0.3">
      <c r="K830" t="str">
        <f t="shared" si="64"/>
        <v/>
      </c>
      <c r="L830" t="str">
        <f t="shared" si="60"/>
        <v/>
      </c>
      <c r="M830" t="str">
        <f t="shared" si="61"/>
        <v/>
      </c>
      <c r="N830" t="str">
        <f t="shared" si="62"/>
        <v/>
      </c>
      <c r="O830" t="str">
        <f t="shared" si="63"/>
        <v/>
      </c>
    </row>
    <row r="831" spans="11:15" x14ac:dyDescent="0.3">
      <c r="K831" t="str">
        <f t="shared" si="64"/>
        <v/>
      </c>
      <c r="L831" t="str">
        <f t="shared" si="60"/>
        <v/>
      </c>
      <c r="M831" t="str">
        <f t="shared" si="61"/>
        <v/>
      </c>
      <c r="N831" t="str">
        <f t="shared" si="62"/>
        <v/>
      </c>
      <c r="O831" t="str">
        <f t="shared" si="63"/>
        <v/>
      </c>
    </row>
    <row r="832" spans="11:15" x14ac:dyDescent="0.3">
      <c r="K832" t="str">
        <f t="shared" si="64"/>
        <v/>
      </c>
      <c r="L832" t="str">
        <f t="shared" si="60"/>
        <v/>
      </c>
      <c r="M832" t="str">
        <f t="shared" si="61"/>
        <v/>
      </c>
      <c r="N832" t="str">
        <f t="shared" si="62"/>
        <v/>
      </c>
      <c r="O832" t="str">
        <f t="shared" si="63"/>
        <v/>
      </c>
    </row>
    <row r="833" spans="11:15" x14ac:dyDescent="0.3">
      <c r="K833" t="str">
        <f t="shared" si="64"/>
        <v/>
      </c>
      <c r="L833" t="str">
        <f t="shared" ref="L833:L896" si="65">IF(A833="","",IF(ISNUMBER(--LEFT(A833,FIND(" - ",A833&amp;" - ")-1)),LEFT(A833,FIND(" - ",A833&amp;" - ")-1),TRIM(A833)))</f>
        <v/>
      </c>
      <c r="M833" t="str">
        <f t="shared" ref="M833:M896" si="66">IF(OR(K833="",K833=A833,A833=""),"",K833&amp;"|"&amp;L833)</f>
        <v/>
      </c>
      <c r="N833" t="str">
        <f t="shared" ref="N833:N896" si="67">IF(M833="","",IF(ISNUMBER(B833),B833,IFERROR(_xlfn.NUMBERVALUE(B833,".",","),0)))</f>
        <v/>
      </c>
      <c r="O833" t="str">
        <f t="shared" ref="O833:O896" si="68">IF(M833="","",IF(ISNUMBER(C833),C833,IFERROR(_xlfn.NUMBERVALUE(C833,".",","),0)))</f>
        <v/>
      </c>
    </row>
    <row r="834" spans="11:15" x14ac:dyDescent="0.3">
      <c r="K834" t="str">
        <f t="shared" ref="K834:K897" si="69">IF(OR(LEFT(B834,9)="DOANH THU",LEFT(B834,8)="SỐ LƯỢNG"),A834,K833)</f>
        <v/>
      </c>
      <c r="L834" t="str">
        <f t="shared" si="65"/>
        <v/>
      </c>
      <c r="M834" t="str">
        <f t="shared" si="66"/>
        <v/>
      </c>
      <c r="N834" t="str">
        <f t="shared" si="67"/>
        <v/>
      </c>
      <c r="O834" t="str">
        <f t="shared" si="68"/>
        <v/>
      </c>
    </row>
    <row r="835" spans="11:15" x14ac:dyDescent="0.3">
      <c r="K835" t="str">
        <f t="shared" si="69"/>
        <v/>
      </c>
      <c r="L835" t="str">
        <f t="shared" si="65"/>
        <v/>
      </c>
      <c r="M835" t="str">
        <f t="shared" si="66"/>
        <v/>
      </c>
      <c r="N835" t="str">
        <f t="shared" si="67"/>
        <v/>
      </c>
      <c r="O835" t="str">
        <f t="shared" si="68"/>
        <v/>
      </c>
    </row>
    <row r="836" spans="11:15" x14ac:dyDescent="0.3">
      <c r="K836" t="str">
        <f t="shared" si="69"/>
        <v/>
      </c>
      <c r="L836" t="str">
        <f t="shared" si="65"/>
        <v/>
      </c>
      <c r="M836" t="str">
        <f t="shared" si="66"/>
        <v/>
      </c>
      <c r="N836" t="str">
        <f t="shared" si="67"/>
        <v/>
      </c>
      <c r="O836" t="str">
        <f t="shared" si="68"/>
        <v/>
      </c>
    </row>
    <row r="837" spans="11:15" x14ac:dyDescent="0.3">
      <c r="K837" t="str">
        <f t="shared" si="69"/>
        <v/>
      </c>
      <c r="L837" t="str">
        <f t="shared" si="65"/>
        <v/>
      </c>
      <c r="M837" t="str">
        <f t="shared" si="66"/>
        <v/>
      </c>
      <c r="N837" t="str">
        <f t="shared" si="67"/>
        <v/>
      </c>
      <c r="O837" t="str">
        <f t="shared" si="68"/>
        <v/>
      </c>
    </row>
    <row r="838" spans="11:15" x14ac:dyDescent="0.3">
      <c r="K838" t="str">
        <f t="shared" si="69"/>
        <v/>
      </c>
      <c r="L838" t="str">
        <f t="shared" si="65"/>
        <v/>
      </c>
      <c r="M838" t="str">
        <f t="shared" si="66"/>
        <v/>
      </c>
      <c r="N838" t="str">
        <f t="shared" si="67"/>
        <v/>
      </c>
      <c r="O838" t="str">
        <f t="shared" si="68"/>
        <v/>
      </c>
    </row>
    <row r="839" spans="11:15" x14ac:dyDescent="0.3">
      <c r="K839" t="str">
        <f t="shared" si="69"/>
        <v/>
      </c>
      <c r="L839" t="str">
        <f t="shared" si="65"/>
        <v/>
      </c>
      <c r="M839" t="str">
        <f t="shared" si="66"/>
        <v/>
      </c>
      <c r="N839" t="str">
        <f t="shared" si="67"/>
        <v/>
      </c>
      <c r="O839" t="str">
        <f t="shared" si="68"/>
        <v/>
      </c>
    </row>
    <row r="840" spans="11:15" x14ac:dyDescent="0.3">
      <c r="K840" t="str">
        <f t="shared" si="69"/>
        <v/>
      </c>
      <c r="L840" t="str">
        <f t="shared" si="65"/>
        <v/>
      </c>
      <c r="M840" t="str">
        <f t="shared" si="66"/>
        <v/>
      </c>
      <c r="N840" t="str">
        <f t="shared" si="67"/>
        <v/>
      </c>
      <c r="O840" t="str">
        <f t="shared" si="68"/>
        <v/>
      </c>
    </row>
    <row r="841" spans="11:15" x14ac:dyDescent="0.3">
      <c r="K841" t="str">
        <f t="shared" si="69"/>
        <v/>
      </c>
      <c r="L841" t="str">
        <f t="shared" si="65"/>
        <v/>
      </c>
      <c r="M841" t="str">
        <f t="shared" si="66"/>
        <v/>
      </c>
      <c r="N841" t="str">
        <f t="shared" si="67"/>
        <v/>
      </c>
      <c r="O841" t="str">
        <f t="shared" si="68"/>
        <v/>
      </c>
    </row>
    <row r="842" spans="11:15" x14ac:dyDescent="0.3">
      <c r="K842" t="str">
        <f t="shared" si="69"/>
        <v/>
      </c>
      <c r="L842" t="str">
        <f t="shared" si="65"/>
        <v/>
      </c>
      <c r="M842" t="str">
        <f t="shared" si="66"/>
        <v/>
      </c>
      <c r="N842" t="str">
        <f t="shared" si="67"/>
        <v/>
      </c>
      <c r="O842" t="str">
        <f t="shared" si="68"/>
        <v/>
      </c>
    </row>
    <row r="843" spans="11:15" x14ac:dyDescent="0.3">
      <c r="K843" t="str">
        <f t="shared" si="69"/>
        <v/>
      </c>
      <c r="L843" t="str">
        <f t="shared" si="65"/>
        <v/>
      </c>
      <c r="M843" t="str">
        <f t="shared" si="66"/>
        <v/>
      </c>
      <c r="N843" t="str">
        <f t="shared" si="67"/>
        <v/>
      </c>
      <c r="O843" t="str">
        <f t="shared" si="68"/>
        <v/>
      </c>
    </row>
    <row r="844" spans="11:15" x14ac:dyDescent="0.3">
      <c r="K844" t="str">
        <f t="shared" si="69"/>
        <v/>
      </c>
      <c r="L844" t="str">
        <f t="shared" si="65"/>
        <v/>
      </c>
      <c r="M844" t="str">
        <f t="shared" si="66"/>
        <v/>
      </c>
      <c r="N844" t="str">
        <f t="shared" si="67"/>
        <v/>
      </c>
      <c r="O844" t="str">
        <f t="shared" si="68"/>
        <v/>
      </c>
    </row>
    <row r="845" spans="11:15" x14ac:dyDescent="0.3">
      <c r="K845" t="str">
        <f t="shared" si="69"/>
        <v/>
      </c>
      <c r="L845" t="str">
        <f t="shared" si="65"/>
        <v/>
      </c>
      <c r="M845" t="str">
        <f t="shared" si="66"/>
        <v/>
      </c>
      <c r="N845" t="str">
        <f t="shared" si="67"/>
        <v/>
      </c>
      <c r="O845" t="str">
        <f t="shared" si="68"/>
        <v/>
      </c>
    </row>
    <row r="846" spans="11:15" x14ac:dyDescent="0.3">
      <c r="K846" t="str">
        <f t="shared" si="69"/>
        <v/>
      </c>
      <c r="L846" t="str">
        <f t="shared" si="65"/>
        <v/>
      </c>
      <c r="M846" t="str">
        <f t="shared" si="66"/>
        <v/>
      </c>
      <c r="N846" t="str">
        <f t="shared" si="67"/>
        <v/>
      </c>
      <c r="O846" t="str">
        <f t="shared" si="68"/>
        <v/>
      </c>
    </row>
    <row r="847" spans="11:15" x14ac:dyDescent="0.3">
      <c r="K847" t="str">
        <f t="shared" si="69"/>
        <v/>
      </c>
      <c r="L847" t="str">
        <f t="shared" si="65"/>
        <v/>
      </c>
      <c r="M847" t="str">
        <f t="shared" si="66"/>
        <v/>
      </c>
      <c r="N847" t="str">
        <f t="shared" si="67"/>
        <v/>
      </c>
      <c r="O847" t="str">
        <f t="shared" si="68"/>
        <v/>
      </c>
    </row>
    <row r="848" spans="11:15" x14ac:dyDescent="0.3">
      <c r="K848" t="str">
        <f t="shared" si="69"/>
        <v/>
      </c>
      <c r="L848" t="str">
        <f t="shared" si="65"/>
        <v/>
      </c>
      <c r="M848" t="str">
        <f t="shared" si="66"/>
        <v/>
      </c>
      <c r="N848" t="str">
        <f t="shared" si="67"/>
        <v/>
      </c>
      <c r="O848" t="str">
        <f t="shared" si="68"/>
        <v/>
      </c>
    </row>
    <row r="849" spans="11:15" x14ac:dyDescent="0.3">
      <c r="K849" t="str">
        <f t="shared" si="69"/>
        <v/>
      </c>
      <c r="L849" t="str">
        <f t="shared" si="65"/>
        <v/>
      </c>
      <c r="M849" t="str">
        <f t="shared" si="66"/>
        <v/>
      </c>
      <c r="N849" t="str">
        <f t="shared" si="67"/>
        <v/>
      </c>
      <c r="O849" t="str">
        <f t="shared" si="68"/>
        <v/>
      </c>
    </row>
    <row r="850" spans="11:15" x14ac:dyDescent="0.3">
      <c r="K850" t="str">
        <f t="shared" si="69"/>
        <v/>
      </c>
      <c r="L850" t="str">
        <f t="shared" si="65"/>
        <v/>
      </c>
      <c r="M850" t="str">
        <f t="shared" si="66"/>
        <v/>
      </c>
      <c r="N850" t="str">
        <f t="shared" si="67"/>
        <v/>
      </c>
      <c r="O850" t="str">
        <f t="shared" si="68"/>
        <v/>
      </c>
    </row>
    <row r="851" spans="11:15" x14ac:dyDescent="0.3">
      <c r="K851" t="str">
        <f t="shared" si="69"/>
        <v/>
      </c>
      <c r="L851" t="str">
        <f t="shared" si="65"/>
        <v/>
      </c>
      <c r="M851" t="str">
        <f t="shared" si="66"/>
        <v/>
      </c>
      <c r="N851" t="str">
        <f t="shared" si="67"/>
        <v/>
      </c>
      <c r="O851" t="str">
        <f t="shared" si="68"/>
        <v/>
      </c>
    </row>
    <row r="852" spans="11:15" x14ac:dyDescent="0.3">
      <c r="K852" t="str">
        <f t="shared" si="69"/>
        <v/>
      </c>
      <c r="L852" t="str">
        <f t="shared" si="65"/>
        <v/>
      </c>
      <c r="M852" t="str">
        <f t="shared" si="66"/>
        <v/>
      </c>
      <c r="N852" t="str">
        <f t="shared" si="67"/>
        <v/>
      </c>
      <c r="O852" t="str">
        <f t="shared" si="68"/>
        <v/>
      </c>
    </row>
    <row r="853" spans="11:15" x14ac:dyDescent="0.3">
      <c r="K853" t="str">
        <f t="shared" si="69"/>
        <v/>
      </c>
      <c r="L853" t="str">
        <f t="shared" si="65"/>
        <v/>
      </c>
      <c r="M853" t="str">
        <f t="shared" si="66"/>
        <v/>
      </c>
      <c r="N853" t="str">
        <f t="shared" si="67"/>
        <v/>
      </c>
      <c r="O853" t="str">
        <f t="shared" si="68"/>
        <v/>
      </c>
    </row>
    <row r="854" spans="11:15" x14ac:dyDescent="0.3">
      <c r="K854" t="str">
        <f t="shared" si="69"/>
        <v/>
      </c>
      <c r="L854" t="str">
        <f t="shared" si="65"/>
        <v/>
      </c>
      <c r="M854" t="str">
        <f t="shared" si="66"/>
        <v/>
      </c>
      <c r="N854" t="str">
        <f t="shared" si="67"/>
        <v/>
      </c>
      <c r="O854" t="str">
        <f t="shared" si="68"/>
        <v/>
      </c>
    </row>
    <row r="855" spans="11:15" x14ac:dyDescent="0.3">
      <c r="K855" t="str">
        <f t="shared" si="69"/>
        <v/>
      </c>
      <c r="L855" t="str">
        <f t="shared" si="65"/>
        <v/>
      </c>
      <c r="M855" t="str">
        <f t="shared" si="66"/>
        <v/>
      </c>
      <c r="N855" t="str">
        <f t="shared" si="67"/>
        <v/>
      </c>
      <c r="O855" t="str">
        <f t="shared" si="68"/>
        <v/>
      </c>
    </row>
    <row r="856" spans="11:15" x14ac:dyDescent="0.3">
      <c r="K856" t="str">
        <f t="shared" si="69"/>
        <v/>
      </c>
      <c r="L856" t="str">
        <f t="shared" si="65"/>
        <v/>
      </c>
      <c r="M856" t="str">
        <f t="shared" si="66"/>
        <v/>
      </c>
      <c r="N856" t="str">
        <f t="shared" si="67"/>
        <v/>
      </c>
      <c r="O856" t="str">
        <f t="shared" si="68"/>
        <v/>
      </c>
    </row>
    <row r="857" spans="11:15" x14ac:dyDescent="0.3">
      <c r="K857" t="str">
        <f t="shared" si="69"/>
        <v/>
      </c>
      <c r="L857" t="str">
        <f t="shared" si="65"/>
        <v/>
      </c>
      <c r="M857" t="str">
        <f t="shared" si="66"/>
        <v/>
      </c>
      <c r="N857" t="str">
        <f t="shared" si="67"/>
        <v/>
      </c>
      <c r="O857" t="str">
        <f t="shared" si="68"/>
        <v/>
      </c>
    </row>
    <row r="858" spans="11:15" x14ac:dyDescent="0.3">
      <c r="K858" t="str">
        <f t="shared" si="69"/>
        <v/>
      </c>
      <c r="L858" t="str">
        <f t="shared" si="65"/>
        <v/>
      </c>
      <c r="M858" t="str">
        <f t="shared" si="66"/>
        <v/>
      </c>
      <c r="N858" t="str">
        <f t="shared" si="67"/>
        <v/>
      </c>
      <c r="O858" t="str">
        <f t="shared" si="68"/>
        <v/>
      </c>
    </row>
    <row r="859" spans="11:15" x14ac:dyDescent="0.3">
      <c r="K859" t="str">
        <f t="shared" si="69"/>
        <v/>
      </c>
      <c r="L859" t="str">
        <f t="shared" si="65"/>
        <v/>
      </c>
      <c r="M859" t="str">
        <f t="shared" si="66"/>
        <v/>
      </c>
      <c r="N859" t="str">
        <f t="shared" si="67"/>
        <v/>
      </c>
      <c r="O859" t="str">
        <f t="shared" si="68"/>
        <v/>
      </c>
    </row>
    <row r="860" spans="11:15" x14ac:dyDescent="0.3">
      <c r="K860" t="str">
        <f t="shared" si="69"/>
        <v/>
      </c>
      <c r="L860" t="str">
        <f t="shared" si="65"/>
        <v/>
      </c>
      <c r="M860" t="str">
        <f t="shared" si="66"/>
        <v/>
      </c>
      <c r="N860" t="str">
        <f t="shared" si="67"/>
        <v/>
      </c>
      <c r="O860" t="str">
        <f t="shared" si="68"/>
        <v/>
      </c>
    </row>
    <row r="861" spans="11:15" x14ac:dyDescent="0.3">
      <c r="K861" t="str">
        <f t="shared" si="69"/>
        <v/>
      </c>
      <c r="L861" t="str">
        <f t="shared" si="65"/>
        <v/>
      </c>
      <c r="M861" t="str">
        <f t="shared" si="66"/>
        <v/>
      </c>
      <c r="N861" t="str">
        <f t="shared" si="67"/>
        <v/>
      </c>
      <c r="O861" t="str">
        <f t="shared" si="68"/>
        <v/>
      </c>
    </row>
    <row r="862" spans="11:15" x14ac:dyDescent="0.3">
      <c r="K862" t="str">
        <f t="shared" si="69"/>
        <v/>
      </c>
      <c r="L862" t="str">
        <f t="shared" si="65"/>
        <v/>
      </c>
      <c r="M862" t="str">
        <f t="shared" si="66"/>
        <v/>
      </c>
      <c r="N862" t="str">
        <f t="shared" si="67"/>
        <v/>
      </c>
      <c r="O862" t="str">
        <f t="shared" si="68"/>
        <v/>
      </c>
    </row>
    <row r="863" spans="11:15" x14ac:dyDescent="0.3">
      <c r="K863" t="str">
        <f t="shared" si="69"/>
        <v/>
      </c>
      <c r="L863" t="str">
        <f t="shared" si="65"/>
        <v/>
      </c>
      <c r="M863" t="str">
        <f t="shared" si="66"/>
        <v/>
      </c>
      <c r="N863" t="str">
        <f t="shared" si="67"/>
        <v/>
      </c>
      <c r="O863" t="str">
        <f t="shared" si="68"/>
        <v/>
      </c>
    </row>
    <row r="864" spans="11:15" x14ac:dyDescent="0.3">
      <c r="K864" t="str">
        <f t="shared" si="69"/>
        <v/>
      </c>
      <c r="L864" t="str">
        <f t="shared" si="65"/>
        <v/>
      </c>
      <c r="M864" t="str">
        <f t="shared" si="66"/>
        <v/>
      </c>
      <c r="N864" t="str">
        <f t="shared" si="67"/>
        <v/>
      </c>
      <c r="O864" t="str">
        <f t="shared" si="68"/>
        <v/>
      </c>
    </row>
    <row r="865" spans="11:15" x14ac:dyDescent="0.3">
      <c r="K865" t="str">
        <f t="shared" si="69"/>
        <v/>
      </c>
      <c r="L865" t="str">
        <f t="shared" si="65"/>
        <v/>
      </c>
      <c r="M865" t="str">
        <f t="shared" si="66"/>
        <v/>
      </c>
      <c r="N865" t="str">
        <f t="shared" si="67"/>
        <v/>
      </c>
      <c r="O865" t="str">
        <f t="shared" si="68"/>
        <v/>
      </c>
    </row>
    <row r="866" spans="11:15" x14ac:dyDescent="0.3">
      <c r="K866" t="str">
        <f t="shared" si="69"/>
        <v/>
      </c>
      <c r="L866" t="str">
        <f t="shared" si="65"/>
        <v/>
      </c>
      <c r="M866" t="str">
        <f t="shared" si="66"/>
        <v/>
      </c>
      <c r="N866" t="str">
        <f t="shared" si="67"/>
        <v/>
      </c>
      <c r="O866" t="str">
        <f t="shared" si="68"/>
        <v/>
      </c>
    </row>
    <row r="867" spans="11:15" x14ac:dyDescent="0.3">
      <c r="K867" t="str">
        <f t="shared" si="69"/>
        <v/>
      </c>
      <c r="L867" t="str">
        <f t="shared" si="65"/>
        <v/>
      </c>
      <c r="M867" t="str">
        <f t="shared" si="66"/>
        <v/>
      </c>
      <c r="N867" t="str">
        <f t="shared" si="67"/>
        <v/>
      </c>
      <c r="O867" t="str">
        <f t="shared" si="68"/>
        <v/>
      </c>
    </row>
    <row r="868" spans="11:15" x14ac:dyDescent="0.3">
      <c r="K868" t="str">
        <f t="shared" si="69"/>
        <v/>
      </c>
      <c r="L868" t="str">
        <f t="shared" si="65"/>
        <v/>
      </c>
      <c r="M868" t="str">
        <f t="shared" si="66"/>
        <v/>
      </c>
      <c r="N868" t="str">
        <f t="shared" si="67"/>
        <v/>
      </c>
      <c r="O868" t="str">
        <f t="shared" si="68"/>
        <v/>
      </c>
    </row>
    <row r="869" spans="11:15" x14ac:dyDescent="0.3">
      <c r="K869" t="str">
        <f t="shared" si="69"/>
        <v/>
      </c>
      <c r="L869" t="str">
        <f t="shared" si="65"/>
        <v/>
      </c>
      <c r="M869" t="str">
        <f t="shared" si="66"/>
        <v/>
      </c>
      <c r="N869" t="str">
        <f t="shared" si="67"/>
        <v/>
      </c>
      <c r="O869" t="str">
        <f t="shared" si="68"/>
        <v/>
      </c>
    </row>
    <row r="870" spans="11:15" x14ac:dyDescent="0.3">
      <c r="K870" t="str">
        <f t="shared" si="69"/>
        <v/>
      </c>
      <c r="L870" t="str">
        <f t="shared" si="65"/>
        <v/>
      </c>
      <c r="M870" t="str">
        <f t="shared" si="66"/>
        <v/>
      </c>
      <c r="N870" t="str">
        <f t="shared" si="67"/>
        <v/>
      </c>
      <c r="O870" t="str">
        <f t="shared" si="68"/>
        <v/>
      </c>
    </row>
    <row r="871" spans="11:15" x14ac:dyDescent="0.3">
      <c r="K871" t="str">
        <f t="shared" si="69"/>
        <v/>
      </c>
      <c r="L871" t="str">
        <f t="shared" si="65"/>
        <v/>
      </c>
      <c r="M871" t="str">
        <f t="shared" si="66"/>
        <v/>
      </c>
      <c r="N871" t="str">
        <f t="shared" si="67"/>
        <v/>
      </c>
      <c r="O871" t="str">
        <f t="shared" si="68"/>
        <v/>
      </c>
    </row>
    <row r="872" spans="11:15" x14ac:dyDescent="0.3">
      <c r="K872" t="str">
        <f t="shared" si="69"/>
        <v/>
      </c>
      <c r="L872" t="str">
        <f t="shared" si="65"/>
        <v/>
      </c>
      <c r="M872" t="str">
        <f t="shared" si="66"/>
        <v/>
      </c>
      <c r="N872" t="str">
        <f t="shared" si="67"/>
        <v/>
      </c>
      <c r="O872" t="str">
        <f t="shared" si="68"/>
        <v/>
      </c>
    </row>
    <row r="873" spans="11:15" x14ac:dyDescent="0.3">
      <c r="K873" t="str">
        <f t="shared" si="69"/>
        <v/>
      </c>
      <c r="L873" t="str">
        <f t="shared" si="65"/>
        <v/>
      </c>
      <c r="M873" t="str">
        <f t="shared" si="66"/>
        <v/>
      </c>
      <c r="N873" t="str">
        <f t="shared" si="67"/>
        <v/>
      </c>
      <c r="O873" t="str">
        <f t="shared" si="68"/>
        <v/>
      </c>
    </row>
    <row r="874" spans="11:15" x14ac:dyDescent="0.3">
      <c r="K874" t="str">
        <f t="shared" si="69"/>
        <v/>
      </c>
      <c r="L874" t="str">
        <f t="shared" si="65"/>
        <v/>
      </c>
      <c r="M874" t="str">
        <f t="shared" si="66"/>
        <v/>
      </c>
      <c r="N874" t="str">
        <f t="shared" si="67"/>
        <v/>
      </c>
      <c r="O874" t="str">
        <f t="shared" si="68"/>
        <v/>
      </c>
    </row>
    <row r="875" spans="11:15" x14ac:dyDescent="0.3">
      <c r="K875" t="str">
        <f t="shared" si="69"/>
        <v/>
      </c>
      <c r="L875" t="str">
        <f t="shared" si="65"/>
        <v/>
      </c>
      <c r="M875" t="str">
        <f t="shared" si="66"/>
        <v/>
      </c>
      <c r="N875" t="str">
        <f t="shared" si="67"/>
        <v/>
      </c>
      <c r="O875" t="str">
        <f t="shared" si="68"/>
        <v/>
      </c>
    </row>
    <row r="876" spans="11:15" x14ac:dyDescent="0.3">
      <c r="K876" t="str">
        <f t="shared" si="69"/>
        <v/>
      </c>
      <c r="L876" t="str">
        <f t="shared" si="65"/>
        <v/>
      </c>
      <c r="M876" t="str">
        <f t="shared" si="66"/>
        <v/>
      </c>
      <c r="N876" t="str">
        <f t="shared" si="67"/>
        <v/>
      </c>
      <c r="O876" t="str">
        <f t="shared" si="68"/>
        <v/>
      </c>
    </row>
    <row r="877" spans="11:15" x14ac:dyDescent="0.3">
      <c r="K877" t="str">
        <f t="shared" si="69"/>
        <v/>
      </c>
      <c r="L877" t="str">
        <f t="shared" si="65"/>
        <v/>
      </c>
      <c r="M877" t="str">
        <f t="shared" si="66"/>
        <v/>
      </c>
      <c r="N877" t="str">
        <f t="shared" si="67"/>
        <v/>
      </c>
      <c r="O877" t="str">
        <f t="shared" si="68"/>
        <v/>
      </c>
    </row>
    <row r="878" spans="11:15" x14ac:dyDescent="0.3">
      <c r="K878" t="str">
        <f t="shared" si="69"/>
        <v/>
      </c>
      <c r="L878" t="str">
        <f t="shared" si="65"/>
        <v/>
      </c>
      <c r="M878" t="str">
        <f t="shared" si="66"/>
        <v/>
      </c>
      <c r="N878" t="str">
        <f t="shared" si="67"/>
        <v/>
      </c>
      <c r="O878" t="str">
        <f t="shared" si="68"/>
        <v/>
      </c>
    </row>
    <row r="879" spans="11:15" x14ac:dyDescent="0.3">
      <c r="K879" t="str">
        <f t="shared" si="69"/>
        <v/>
      </c>
      <c r="L879" t="str">
        <f t="shared" si="65"/>
        <v/>
      </c>
      <c r="M879" t="str">
        <f t="shared" si="66"/>
        <v/>
      </c>
      <c r="N879" t="str">
        <f t="shared" si="67"/>
        <v/>
      </c>
      <c r="O879" t="str">
        <f t="shared" si="68"/>
        <v/>
      </c>
    </row>
    <row r="880" spans="11:15" x14ac:dyDescent="0.3">
      <c r="K880" t="str">
        <f t="shared" si="69"/>
        <v/>
      </c>
      <c r="L880" t="str">
        <f t="shared" si="65"/>
        <v/>
      </c>
      <c r="M880" t="str">
        <f t="shared" si="66"/>
        <v/>
      </c>
      <c r="N880" t="str">
        <f t="shared" si="67"/>
        <v/>
      </c>
      <c r="O880" t="str">
        <f t="shared" si="68"/>
        <v/>
      </c>
    </row>
    <row r="881" spans="11:15" x14ac:dyDescent="0.3">
      <c r="K881" t="str">
        <f t="shared" si="69"/>
        <v/>
      </c>
      <c r="L881" t="str">
        <f t="shared" si="65"/>
        <v/>
      </c>
      <c r="M881" t="str">
        <f t="shared" si="66"/>
        <v/>
      </c>
      <c r="N881" t="str">
        <f t="shared" si="67"/>
        <v/>
      </c>
      <c r="O881" t="str">
        <f t="shared" si="68"/>
        <v/>
      </c>
    </row>
    <row r="882" spans="11:15" x14ac:dyDescent="0.3">
      <c r="K882" t="str">
        <f t="shared" si="69"/>
        <v/>
      </c>
      <c r="L882" t="str">
        <f t="shared" si="65"/>
        <v/>
      </c>
      <c r="M882" t="str">
        <f t="shared" si="66"/>
        <v/>
      </c>
      <c r="N882" t="str">
        <f t="shared" si="67"/>
        <v/>
      </c>
      <c r="O882" t="str">
        <f t="shared" si="68"/>
        <v/>
      </c>
    </row>
    <row r="883" spans="11:15" x14ac:dyDescent="0.3">
      <c r="K883" t="str">
        <f t="shared" si="69"/>
        <v/>
      </c>
      <c r="L883" t="str">
        <f t="shared" si="65"/>
        <v/>
      </c>
      <c r="M883" t="str">
        <f t="shared" si="66"/>
        <v/>
      </c>
      <c r="N883" t="str">
        <f t="shared" si="67"/>
        <v/>
      </c>
      <c r="O883" t="str">
        <f t="shared" si="68"/>
        <v/>
      </c>
    </row>
    <row r="884" spans="11:15" x14ac:dyDescent="0.3">
      <c r="K884" t="str">
        <f t="shared" si="69"/>
        <v/>
      </c>
      <c r="L884" t="str">
        <f t="shared" si="65"/>
        <v/>
      </c>
      <c r="M884" t="str">
        <f t="shared" si="66"/>
        <v/>
      </c>
      <c r="N884" t="str">
        <f t="shared" si="67"/>
        <v/>
      </c>
      <c r="O884" t="str">
        <f t="shared" si="68"/>
        <v/>
      </c>
    </row>
    <row r="885" spans="11:15" x14ac:dyDescent="0.3">
      <c r="K885" t="str">
        <f t="shared" si="69"/>
        <v/>
      </c>
      <c r="L885" t="str">
        <f t="shared" si="65"/>
        <v/>
      </c>
      <c r="M885" t="str">
        <f t="shared" si="66"/>
        <v/>
      </c>
      <c r="N885" t="str">
        <f t="shared" si="67"/>
        <v/>
      </c>
      <c r="O885" t="str">
        <f t="shared" si="68"/>
        <v/>
      </c>
    </row>
    <row r="886" spans="11:15" x14ac:dyDescent="0.3">
      <c r="K886" t="str">
        <f t="shared" si="69"/>
        <v/>
      </c>
      <c r="L886" t="str">
        <f t="shared" si="65"/>
        <v/>
      </c>
      <c r="M886" t="str">
        <f t="shared" si="66"/>
        <v/>
      </c>
      <c r="N886" t="str">
        <f t="shared" si="67"/>
        <v/>
      </c>
      <c r="O886" t="str">
        <f t="shared" si="68"/>
        <v/>
      </c>
    </row>
    <row r="887" spans="11:15" x14ac:dyDescent="0.3">
      <c r="K887" t="str">
        <f t="shared" si="69"/>
        <v/>
      </c>
      <c r="L887" t="str">
        <f t="shared" si="65"/>
        <v/>
      </c>
      <c r="M887" t="str">
        <f t="shared" si="66"/>
        <v/>
      </c>
      <c r="N887" t="str">
        <f t="shared" si="67"/>
        <v/>
      </c>
      <c r="O887" t="str">
        <f t="shared" si="68"/>
        <v/>
      </c>
    </row>
    <row r="888" spans="11:15" x14ac:dyDescent="0.3">
      <c r="K888" t="str">
        <f t="shared" si="69"/>
        <v/>
      </c>
      <c r="L888" t="str">
        <f t="shared" si="65"/>
        <v/>
      </c>
      <c r="M888" t="str">
        <f t="shared" si="66"/>
        <v/>
      </c>
      <c r="N888" t="str">
        <f t="shared" si="67"/>
        <v/>
      </c>
      <c r="O888" t="str">
        <f t="shared" si="68"/>
        <v/>
      </c>
    </row>
    <row r="889" spans="11:15" x14ac:dyDescent="0.3">
      <c r="K889" t="str">
        <f t="shared" si="69"/>
        <v/>
      </c>
      <c r="L889" t="str">
        <f t="shared" si="65"/>
        <v/>
      </c>
      <c r="M889" t="str">
        <f t="shared" si="66"/>
        <v/>
      </c>
      <c r="N889" t="str">
        <f t="shared" si="67"/>
        <v/>
      </c>
      <c r="O889" t="str">
        <f t="shared" si="68"/>
        <v/>
      </c>
    </row>
    <row r="890" spans="11:15" x14ac:dyDescent="0.3">
      <c r="K890" t="str">
        <f t="shared" si="69"/>
        <v/>
      </c>
      <c r="L890" t="str">
        <f t="shared" si="65"/>
        <v/>
      </c>
      <c r="M890" t="str">
        <f t="shared" si="66"/>
        <v/>
      </c>
      <c r="N890" t="str">
        <f t="shared" si="67"/>
        <v/>
      </c>
      <c r="O890" t="str">
        <f t="shared" si="68"/>
        <v/>
      </c>
    </row>
    <row r="891" spans="11:15" x14ac:dyDescent="0.3">
      <c r="K891" t="str">
        <f t="shared" si="69"/>
        <v/>
      </c>
      <c r="L891" t="str">
        <f t="shared" si="65"/>
        <v/>
      </c>
      <c r="M891" t="str">
        <f t="shared" si="66"/>
        <v/>
      </c>
      <c r="N891" t="str">
        <f t="shared" si="67"/>
        <v/>
      </c>
      <c r="O891" t="str">
        <f t="shared" si="68"/>
        <v/>
      </c>
    </row>
    <row r="892" spans="11:15" x14ac:dyDescent="0.3">
      <c r="K892" t="str">
        <f t="shared" si="69"/>
        <v/>
      </c>
      <c r="L892" t="str">
        <f t="shared" si="65"/>
        <v/>
      </c>
      <c r="M892" t="str">
        <f t="shared" si="66"/>
        <v/>
      </c>
      <c r="N892" t="str">
        <f t="shared" si="67"/>
        <v/>
      </c>
      <c r="O892" t="str">
        <f t="shared" si="68"/>
        <v/>
      </c>
    </row>
    <row r="893" spans="11:15" x14ac:dyDescent="0.3">
      <c r="K893" t="str">
        <f t="shared" si="69"/>
        <v/>
      </c>
      <c r="L893" t="str">
        <f t="shared" si="65"/>
        <v/>
      </c>
      <c r="M893" t="str">
        <f t="shared" si="66"/>
        <v/>
      </c>
      <c r="N893" t="str">
        <f t="shared" si="67"/>
        <v/>
      </c>
      <c r="O893" t="str">
        <f t="shared" si="68"/>
        <v/>
      </c>
    </row>
    <row r="894" spans="11:15" x14ac:dyDescent="0.3">
      <c r="K894" t="str">
        <f t="shared" si="69"/>
        <v/>
      </c>
      <c r="L894" t="str">
        <f t="shared" si="65"/>
        <v/>
      </c>
      <c r="M894" t="str">
        <f t="shared" si="66"/>
        <v/>
      </c>
      <c r="N894" t="str">
        <f t="shared" si="67"/>
        <v/>
      </c>
      <c r="O894" t="str">
        <f t="shared" si="68"/>
        <v/>
      </c>
    </row>
    <row r="895" spans="11:15" x14ac:dyDescent="0.3">
      <c r="K895" t="str">
        <f t="shared" si="69"/>
        <v/>
      </c>
      <c r="L895" t="str">
        <f t="shared" si="65"/>
        <v/>
      </c>
      <c r="M895" t="str">
        <f t="shared" si="66"/>
        <v/>
      </c>
      <c r="N895" t="str">
        <f t="shared" si="67"/>
        <v/>
      </c>
      <c r="O895" t="str">
        <f t="shared" si="68"/>
        <v/>
      </c>
    </row>
    <row r="896" spans="11:15" x14ac:dyDescent="0.3">
      <c r="K896" t="str">
        <f t="shared" si="69"/>
        <v/>
      </c>
      <c r="L896" t="str">
        <f t="shared" si="65"/>
        <v/>
      </c>
      <c r="M896" t="str">
        <f t="shared" si="66"/>
        <v/>
      </c>
      <c r="N896" t="str">
        <f t="shared" si="67"/>
        <v/>
      </c>
      <c r="O896" t="str">
        <f t="shared" si="68"/>
        <v/>
      </c>
    </row>
    <row r="897" spans="11:15" x14ac:dyDescent="0.3">
      <c r="K897" t="str">
        <f t="shared" si="69"/>
        <v/>
      </c>
      <c r="L897" t="str">
        <f t="shared" ref="L897:L960" si="70">IF(A897="","",IF(ISNUMBER(--LEFT(A897,FIND(" - ",A897&amp;" - ")-1)),LEFT(A897,FIND(" - ",A897&amp;" - ")-1),TRIM(A897)))</f>
        <v/>
      </c>
      <c r="M897" t="str">
        <f t="shared" ref="M897:M960" si="71">IF(OR(K897="",K897=A897,A897=""),"",K897&amp;"|"&amp;L897)</f>
        <v/>
      </c>
      <c r="N897" t="str">
        <f t="shared" ref="N897:N960" si="72">IF(M897="","",IF(ISNUMBER(B897),B897,IFERROR(_xlfn.NUMBERVALUE(B897,".",","),0)))</f>
        <v/>
      </c>
      <c r="O897" t="str">
        <f t="shared" ref="O897:O960" si="73">IF(M897="","",IF(ISNUMBER(C897),C897,IFERROR(_xlfn.NUMBERVALUE(C897,".",","),0)))</f>
        <v/>
      </c>
    </row>
    <row r="898" spans="11:15" x14ac:dyDescent="0.3">
      <c r="K898" t="str">
        <f t="shared" ref="K898:K961" si="74">IF(OR(LEFT(B898,9)="DOANH THU",LEFT(B898,8)="SỐ LƯỢNG"),A898,K897)</f>
        <v/>
      </c>
      <c r="L898" t="str">
        <f t="shared" si="70"/>
        <v/>
      </c>
      <c r="M898" t="str">
        <f t="shared" si="71"/>
        <v/>
      </c>
      <c r="N898" t="str">
        <f t="shared" si="72"/>
        <v/>
      </c>
      <c r="O898" t="str">
        <f t="shared" si="73"/>
        <v/>
      </c>
    </row>
    <row r="899" spans="11:15" x14ac:dyDescent="0.3">
      <c r="K899" t="str">
        <f t="shared" si="74"/>
        <v/>
      </c>
      <c r="L899" t="str">
        <f t="shared" si="70"/>
        <v/>
      </c>
      <c r="M899" t="str">
        <f t="shared" si="71"/>
        <v/>
      </c>
      <c r="N899" t="str">
        <f t="shared" si="72"/>
        <v/>
      </c>
      <c r="O899" t="str">
        <f t="shared" si="73"/>
        <v/>
      </c>
    </row>
    <row r="900" spans="11:15" x14ac:dyDescent="0.3">
      <c r="K900" t="str">
        <f t="shared" si="74"/>
        <v/>
      </c>
      <c r="L900" t="str">
        <f t="shared" si="70"/>
        <v/>
      </c>
      <c r="M900" t="str">
        <f t="shared" si="71"/>
        <v/>
      </c>
      <c r="N900" t="str">
        <f t="shared" si="72"/>
        <v/>
      </c>
      <c r="O900" t="str">
        <f t="shared" si="73"/>
        <v/>
      </c>
    </row>
    <row r="901" spans="11:15" x14ac:dyDescent="0.3">
      <c r="K901" t="str">
        <f t="shared" si="74"/>
        <v/>
      </c>
      <c r="L901" t="str">
        <f t="shared" si="70"/>
        <v/>
      </c>
      <c r="M901" t="str">
        <f t="shared" si="71"/>
        <v/>
      </c>
      <c r="N901" t="str">
        <f t="shared" si="72"/>
        <v/>
      </c>
      <c r="O901" t="str">
        <f t="shared" si="73"/>
        <v/>
      </c>
    </row>
    <row r="902" spans="11:15" x14ac:dyDescent="0.3">
      <c r="K902" t="str">
        <f t="shared" si="74"/>
        <v/>
      </c>
      <c r="L902" t="str">
        <f t="shared" si="70"/>
        <v/>
      </c>
      <c r="M902" t="str">
        <f t="shared" si="71"/>
        <v/>
      </c>
      <c r="N902" t="str">
        <f t="shared" si="72"/>
        <v/>
      </c>
      <c r="O902" t="str">
        <f t="shared" si="73"/>
        <v/>
      </c>
    </row>
    <row r="903" spans="11:15" x14ac:dyDescent="0.3">
      <c r="K903" t="str">
        <f t="shared" si="74"/>
        <v/>
      </c>
      <c r="L903" t="str">
        <f t="shared" si="70"/>
        <v/>
      </c>
      <c r="M903" t="str">
        <f t="shared" si="71"/>
        <v/>
      </c>
      <c r="N903" t="str">
        <f t="shared" si="72"/>
        <v/>
      </c>
      <c r="O903" t="str">
        <f t="shared" si="73"/>
        <v/>
      </c>
    </row>
    <row r="904" spans="11:15" x14ac:dyDescent="0.3">
      <c r="K904" t="str">
        <f t="shared" si="74"/>
        <v/>
      </c>
      <c r="L904" t="str">
        <f t="shared" si="70"/>
        <v/>
      </c>
      <c r="M904" t="str">
        <f t="shared" si="71"/>
        <v/>
      </c>
      <c r="N904" t="str">
        <f t="shared" si="72"/>
        <v/>
      </c>
      <c r="O904" t="str">
        <f t="shared" si="73"/>
        <v/>
      </c>
    </row>
    <row r="905" spans="11:15" x14ac:dyDescent="0.3">
      <c r="K905" t="str">
        <f t="shared" si="74"/>
        <v/>
      </c>
      <c r="L905" t="str">
        <f t="shared" si="70"/>
        <v/>
      </c>
      <c r="M905" t="str">
        <f t="shared" si="71"/>
        <v/>
      </c>
      <c r="N905" t="str">
        <f t="shared" si="72"/>
        <v/>
      </c>
      <c r="O905" t="str">
        <f t="shared" si="73"/>
        <v/>
      </c>
    </row>
    <row r="906" spans="11:15" x14ac:dyDescent="0.3">
      <c r="K906" t="str">
        <f t="shared" si="74"/>
        <v/>
      </c>
      <c r="L906" t="str">
        <f t="shared" si="70"/>
        <v/>
      </c>
      <c r="M906" t="str">
        <f t="shared" si="71"/>
        <v/>
      </c>
      <c r="N906" t="str">
        <f t="shared" si="72"/>
        <v/>
      </c>
      <c r="O906" t="str">
        <f t="shared" si="73"/>
        <v/>
      </c>
    </row>
    <row r="907" spans="11:15" x14ac:dyDescent="0.3">
      <c r="K907" t="str">
        <f t="shared" si="74"/>
        <v/>
      </c>
      <c r="L907" t="str">
        <f t="shared" si="70"/>
        <v/>
      </c>
      <c r="M907" t="str">
        <f t="shared" si="71"/>
        <v/>
      </c>
      <c r="N907" t="str">
        <f t="shared" si="72"/>
        <v/>
      </c>
      <c r="O907" t="str">
        <f t="shared" si="73"/>
        <v/>
      </c>
    </row>
    <row r="908" spans="11:15" x14ac:dyDescent="0.3">
      <c r="K908" t="str">
        <f t="shared" si="74"/>
        <v/>
      </c>
      <c r="L908" t="str">
        <f t="shared" si="70"/>
        <v/>
      </c>
      <c r="M908" t="str">
        <f t="shared" si="71"/>
        <v/>
      </c>
      <c r="N908" t="str">
        <f t="shared" si="72"/>
        <v/>
      </c>
      <c r="O908" t="str">
        <f t="shared" si="73"/>
        <v/>
      </c>
    </row>
    <row r="909" spans="11:15" x14ac:dyDescent="0.3">
      <c r="K909" t="str">
        <f t="shared" si="74"/>
        <v/>
      </c>
      <c r="L909" t="str">
        <f t="shared" si="70"/>
        <v/>
      </c>
      <c r="M909" t="str">
        <f t="shared" si="71"/>
        <v/>
      </c>
      <c r="N909" t="str">
        <f t="shared" si="72"/>
        <v/>
      </c>
      <c r="O909" t="str">
        <f t="shared" si="73"/>
        <v/>
      </c>
    </row>
    <row r="910" spans="11:15" x14ac:dyDescent="0.3">
      <c r="K910" t="str">
        <f t="shared" si="74"/>
        <v/>
      </c>
      <c r="L910" t="str">
        <f t="shared" si="70"/>
        <v/>
      </c>
      <c r="M910" t="str">
        <f t="shared" si="71"/>
        <v/>
      </c>
      <c r="N910" t="str">
        <f t="shared" si="72"/>
        <v/>
      </c>
      <c r="O910" t="str">
        <f t="shared" si="73"/>
        <v/>
      </c>
    </row>
    <row r="911" spans="11:15" x14ac:dyDescent="0.3">
      <c r="K911" t="str">
        <f t="shared" si="74"/>
        <v/>
      </c>
      <c r="L911" t="str">
        <f t="shared" si="70"/>
        <v/>
      </c>
      <c r="M911" t="str">
        <f t="shared" si="71"/>
        <v/>
      </c>
      <c r="N911" t="str">
        <f t="shared" si="72"/>
        <v/>
      </c>
      <c r="O911" t="str">
        <f t="shared" si="73"/>
        <v/>
      </c>
    </row>
    <row r="912" spans="11:15" x14ac:dyDescent="0.3">
      <c r="K912" t="str">
        <f t="shared" si="74"/>
        <v/>
      </c>
      <c r="L912" t="str">
        <f t="shared" si="70"/>
        <v/>
      </c>
      <c r="M912" t="str">
        <f t="shared" si="71"/>
        <v/>
      </c>
      <c r="N912" t="str">
        <f t="shared" si="72"/>
        <v/>
      </c>
      <c r="O912" t="str">
        <f t="shared" si="73"/>
        <v/>
      </c>
    </row>
    <row r="913" spans="11:15" x14ac:dyDescent="0.3">
      <c r="K913" t="str">
        <f t="shared" si="74"/>
        <v/>
      </c>
      <c r="L913" t="str">
        <f t="shared" si="70"/>
        <v/>
      </c>
      <c r="M913" t="str">
        <f t="shared" si="71"/>
        <v/>
      </c>
      <c r="N913" t="str">
        <f t="shared" si="72"/>
        <v/>
      </c>
      <c r="O913" t="str">
        <f t="shared" si="73"/>
        <v/>
      </c>
    </row>
    <row r="914" spans="11:15" x14ac:dyDescent="0.3">
      <c r="K914" t="str">
        <f t="shared" si="74"/>
        <v/>
      </c>
      <c r="L914" t="str">
        <f t="shared" si="70"/>
        <v/>
      </c>
      <c r="M914" t="str">
        <f t="shared" si="71"/>
        <v/>
      </c>
      <c r="N914" t="str">
        <f t="shared" si="72"/>
        <v/>
      </c>
      <c r="O914" t="str">
        <f t="shared" si="73"/>
        <v/>
      </c>
    </row>
    <row r="915" spans="11:15" x14ac:dyDescent="0.3">
      <c r="K915" t="str">
        <f t="shared" si="74"/>
        <v/>
      </c>
      <c r="L915" t="str">
        <f t="shared" si="70"/>
        <v/>
      </c>
      <c r="M915" t="str">
        <f t="shared" si="71"/>
        <v/>
      </c>
      <c r="N915" t="str">
        <f t="shared" si="72"/>
        <v/>
      </c>
      <c r="O915" t="str">
        <f t="shared" si="73"/>
        <v/>
      </c>
    </row>
    <row r="916" spans="11:15" x14ac:dyDescent="0.3">
      <c r="K916" t="str">
        <f t="shared" si="74"/>
        <v/>
      </c>
      <c r="L916" t="str">
        <f t="shared" si="70"/>
        <v/>
      </c>
      <c r="M916" t="str">
        <f t="shared" si="71"/>
        <v/>
      </c>
      <c r="N916" t="str">
        <f t="shared" si="72"/>
        <v/>
      </c>
      <c r="O916" t="str">
        <f t="shared" si="73"/>
        <v/>
      </c>
    </row>
    <row r="917" spans="11:15" x14ac:dyDescent="0.3">
      <c r="K917" t="str">
        <f t="shared" si="74"/>
        <v/>
      </c>
      <c r="L917" t="str">
        <f t="shared" si="70"/>
        <v/>
      </c>
      <c r="M917" t="str">
        <f t="shared" si="71"/>
        <v/>
      </c>
      <c r="N917" t="str">
        <f t="shared" si="72"/>
        <v/>
      </c>
      <c r="O917" t="str">
        <f t="shared" si="73"/>
        <v/>
      </c>
    </row>
    <row r="918" spans="11:15" x14ac:dyDescent="0.3">
      <c r="K918" t="str">
        <f t="shared" si="74"/>
        <v/>
      </c>
      <c r="L918" t="str">
        <f t="shared" si="70"/>
        <v/>
      </c>
      <c r="M918" t="str">
        <f t="shared" si="71"/>
        <v/>
      </c>
      <c r="N918" t="str">
        <f t="shared" si="72"/>
        <v/>
      </c>
      <c r="O918" t="str">
        <f t="shared" si="73"/>
        <v/>
      </c>
    </row>
    <row r="919" spans="11:15" x14ac:dyDescent="0.3">
      <c r="K919" t="str">
        <f t="shared" si="74"/>
        <v/>
      </c>
      <c r="L919" t="str">
        <f t="shared" si="70"/>
        <v/>
      </c>
      <c r="M919" t="str">
        <f t="shared" si="71"/>
        <v/>
      </c>
      <c r="N919" t="str">
        <f t="shared" si="72"/>
        <v/>
      </c>
      <c r="O919" t="str">
        <f t="shared" si="73"/>
        <v/>
      </c>
    </row>
    <row r="920" spans="11:15" x14ac:dyDescent="0.3">
      <c r="K920" t="str">
        <f t="shared" si="74"/>
        <v/>
      </c>
      <c r="L920" t="str">
        <f t="shared" si="70"/>
        <v/>
      </c>
      <c r="M920" t="str">
        <f t="shared" si="71"/>
        <v/>
      </c>
      <c r="N920" t="str">
        <f t="shared" si="72"/>
        <v/>
      </c>
      <c r="O920" t="str">
        <f t="shared" si="73"/>
        <v/>
      </c>
    </row>
    <row r="921" spans="11:15" x14ac:dyDescent="0.3">
      <c r="K921" t="str">
        <f t="shared" si="74"/>
        <v/>
      </c>
      <c r="L921" t="str">
        <f t="shared" si="70"/>
        <v/>
      </c>
      <c r="M921" t="str">
        <f t="shared" si="71"/>
        <v/>
      </c>
      <c r="N921" t="str">
        <f t="shared" si="72"/>
        <v/>
      </c>
      <c r="O921" t="str">
        <f t="shared" si="73"/>
        <v/>
      </c>
    </row>
    <row r="922" spans="11:15" x14ac:dyDescent="0.3">
      <c r="K922" t="str">
        <f t="shared" si="74"/>
        <v/>
      </c>
      <c r="L922" t="str">
        <f t="shared" si="70"/>
        <v/>
      </c>
      <c r="M922" t="str">
        <f t="shared" si="71"/>
        <v/>
      </c>
      <c r="N922" t="str">
        <f t="shared" si="72"/>
        <v/>
      </c>
      <c r="O922" t="str">
        <f t="shared" si="73"/>
        <v/>
      </c>
    </row>
    <row r="923" spans="11:15" x14ac:dyDescent="0.3">
      <c r="K923" t="str">
        <f t="shared" si="74"/>
        <v/>
      </c>
      <c r="L923" t="str">
        <f t="shared" si="70"/>
        <v/>
      </c>
      <c r="M923" t="str">
        <f t="shared" si="71"/>
        <v/>
      </c>
      <c r="N923" t="str">
        <f t="shared" si="72"/>
        <v/>
      </c>
      <c r="O923" t="str">
        <f t="shared" si="73"/>
        <v/>
      </c>
    </row>
    <row r="924" spans="11:15" x14ac:dyDescent="0.3">
      <c r="K924" t="str">
        <f t="shared" si="74"/>
        <v/>
      </c>
      <c r="L924" t="str">
        <f t="shared" si="70"/>
        <v/>
      </c>
      <c r="M924" t="str">
        <f t="shared" si="71"/>
        <v/>
      </c>
      <c r="N924" t="str">
        <f t="shared" si="72"/>
        <v/>
      </c>
      <c r="O924" t="str">
        <f t="shared" si="73"/>
        <v/>
      </c>
    </row>
    <row r="925" spans="11:15" x14ac:dyDescent="0.3">
      <c r="K925" t="str">
        <f t="shared" si="74"/>
        <v/>
      </c>
      <c r="L925" t="str">
        <f t="shared" si="70"/>
        <v/>
      </c>
      <c r="M925" t="str">
        <f t="shared" si="71"/>
        <v/>
      </c>
      <c r="N925" t="str">
        <f t="shared" si="72"/>
        <v/>
      </c>
      <c r="O925" t="str">
        <f t="shared" si="73"/>
        <v/>
      </c>
    </row>
    <row r="926" spans="11:15" x14ac:dyDescent="0.3">
      <c r="K926" t="str">
        <f t="shared" si="74"/>
        <v/>
      </c>
      <c r="L926" t="str">
        <f t="shared" si="70"/>
        <v/>
      </c>
      <c r="M926" t="str">
        <f t="shared" si="71"/>
        <v/>
      </c>
      <c r="N926" t="str">
        <f t="shared" si="72"/>
        <v/>
      </c>
      <c r="O926" t="str">
        <f t="shared" si="73"/>
        <v/>
      </c>
    </row>
    <row r="927" spans="11:15" x14ac:dyDescent="0.3">
      <c r="K927" t="str">
        <f t="shared" si="74"/>
        <v/>
      </c>
      <c r="L927" t="str">
        <f t="shared" si="70"/>
        <v/>
      </c>
      <c r="M927" t="str">
        <f t="shared" si="71"/>
        <v/>
      </c>
      <c r="N927" t="str">
        <f t="shared" si="72"/>
        <v/>
      </c>
      <c r="O927" t="str">
        <f t="shared" si="73"/>
        <v/>
      </c>
    </row>
    <row r="928" spans="11:15" x14ac:dyDescent="0.3">
      <c r="K928" t="str">
        <f t="shared" si="74"/>
        <v/>
      </c>
      <c r="L928" t="str">
        <f t="shared" si="70"/>
        <v/>
      </c>
      <c r="M928" t="str">
        <f t="shared" si="71"/>
        <v/>
      </c>
      <c r="N928" t="str">
        <f t="shared" si="72"/>
        <v/>
      </c>
      <c r="O928" t="str">
        <f t="shared" si="73"/>
        <v/>
      </c>
    </row>
    <row r="929" spans="11:15" x14ac:dyDescent="0.3">
      <c r="K929" t="str">
        <f t="shared" si="74"/>
        <v/>
      </c>
      <c r="L929" t="str">
        <f t="shared" si="70"/>
        <v/>
      </c>
      <c r="M929" t="str">
        <f t="shared" si="71"/>
        <v/>
      </c>
      <c r="N929" t="str">
        <f t="shared" si="72"/>
        <v/>
      </c>
      <c r="O929" t="str">
        <f t="shared" si="73"/>
        <v/>
      </c>
    </row>
    <row r="930" spans="11:15" x14ac:dyDescent="0.3">
      <c r="K930" t="str">
        <f t="shared" si="74"/>
        <v/>
      </c>
      <c r="L930" t="str">
        <f t="shared" si="70"/>
        <v/>
      </c>
      <c r="M930" t="str">
        <f t="shared" si="71"/>
        <v/>
      </c>
      <c r="N930" t="str">
        <f t="shared" si="72"/>
        <v/>
      </c>
      <c r="O930" t="str">
        <f t="shared" si="73"/>
        <v/>
      </c>
    </row>
    <row r="931" spans="11:15" x14ac:dyDescent="0.3">
      <c r="K931" t="str">
        <f t="shared" si="74"/>
        <v/>
      </c>
      <c r="L931" t="str">
        <f t="shared" si="70"/>
        <v/>
      </c>
      <c r="M931" t="str">
        <f t="shared" si="71"/>
        <v/>
      </c>
      <c r="N931" t="str">
        <f t="shared" si="72"/>
        <v/>
      </c>
      <c r="O931" t="str">
        <f t="shared" si="73"/>
        <v/>
      </c>
    </row>
    <row r="932" spans="11:15" x14ac:dyDescent="0.3">
      <c r="K932" t="str">
        <f t="shared" si="74"/>
        <v/>
      </c>
      <c r="L932" t="str">
        <f t="shared" si="70"/>
        <v/>
      </c>
      <c r="M932" t="str">
        <f t="shared" si="71"/>
        <v/>
      </c>
      <c r="N932" t="str">
        <f t="shared" si="72"/>
        <v/>
      </c>
      <c r="O932" t="str">
        <f t="shared" si="73"/>
        <v/>
      </c>
    </row>
    <row r="933" spans="11:15" x14ac:dyDescent="0.3">
      <c r="K933" t="str">
        <f t="shared" si="74"/>
        <v/>
      </c>
      <c r="L933" t="str">
        <f t="shared" si="70"/>
        <v/>
      </c>
      <c r="M933" t="str">
        <f t="shared" si="71"/>
        <v/>
      </c>
      <c r="N933" t="str">
        <f t="shared" si="72"/>
        <v/>
      </c>
      <c r="O933" t="str">
        <f t="shared" si="73"/>
        <v/>
      </c>
    </row>
    <row r="934" spans="11:15" x14ac:dyDescent="0.3">
      <c r="K934" t="str">
        <f t="shared" si="74"/>
        <v/>
      </c>
      <c r="L934" t="str">
        <f t="shared" si="70"/>
        <v/>
      </c>
      <c r="M934" t="str">
        <f t="shared" si="71"/>
        <v/>
      </c>
      <c r="N934" t="str">
        <f t="shared" si="72"/>
        <v/>
      </c>
      <c r="O934" t="str">
        <f t="shared" si="73"/>
        <v/>
      </c>
    </row>
    <row r="935" spans="11:15" x14ac:dyDescent="0.3">
      <c r="K935" t="str">
        <f t="shared" si="74"/>
        <v/>
      </c>
      <c r="L935" t="str">
        <f t="shared" si="70"/>
        <v/>
      </c>
      <c r="M935" t="str">
        <f t="shared" si="71"/>
        <v/>
      </c>
      <c r="N935" t="str">
        <f t="shared" si="72"/>
        <v/>
      </c>
      <c r="O935" t="str">
        <f t="shared" si="73"/>
        <v/>
      </c>
    </row>
    <row r="936" spans="11:15" x14ac:dyDescent="0.3">
      <c r="K936" t="str">
        <f t="shared" si="74"/>
        <v/>
      </c>
      <c r="L936" t="str">
        <f t="shared" si="70"/>
        <v/>
      </c>
      <c r="M936" t="str">
        <f t="shared" si="71"/>
        <v/>
      </c>
      <c r="N936" t="str">
        <f t="shared" si="72"/>
        <v/>
      </c>
      <c r="O936" t="str">
        <f t="shared" si="73"/>
        <v/>
      </c>
    </row>
    <row r="937" spans="11:15" x14ac:dyDescent="0.3">
      <c r="K937" t="str">
        <f t="shared" si="74"/>
        <v/>
      </c>
      <c r="L937" t="str">
        <f t="shared" si="70"/>
        <v/>
      </c>
      <c r="M937" t="str">
        <f t="shared" si="71"/>
        <v/>
      </c>
      <c r="N937" t="str">
        <f t="shared" si="72"/>
        <v/>
      </c>
      <c r="O937" t="str">
        <f t="shared" si="73"/>
        <v/>
      </c>
    </row>
    <row r="938" spans="11:15" x14ac:dyDescent="0.3">
      <c r="K938" t="str">
        <f t="shared" si="74"/>
        <v/>
      </c>
      <c r="L938" t="str">
        <f t="shared" si="70"/>
        <v/>
      </c>
      <c r="M938" t="str">
        <f t="shared" si="71"/>
        <v/>
      </c>
      <c r="N938" t="str">
        <f t="shared" si="72"/>
        <v/>
      </c>
      <c r="O938" t="str">
        <f t="shared" si="73"/>
        <v/>
      </c>
    </row>
    <row r="939" spans="11:15" x14ac:dyDescent="0.3">
      <c r="K939" t="str">
        <f t="shared" si="74"/>
        <v/>
      </c>
      <c r="L939" t="str">
        <f t="shared" si="70"/>
        <v/>
      </c>
      <c r="M939" t="str">
        <f t="shared" si="71"/>
        <v/>
      </c>
      <c r="N939" t="str">
        <f t="shared" si="72"/>
        <v/>
      </c>
      <c r="O939" t="str">
        <f t="shared" si="73"/>
        <v/>
      </c>
    </row>
    <row r="940" spans="11:15" x14ac:dyDescent="0.3">
      <c r="K940" t="str">
        <f t="shared" si="74"/>
        <v/>
      </c>
      <c r="L940" t="str">
        <f t="shared" si="70"/>
        <v/>
      </c>
      <c r="M940" t="str">
        <f t="shared" si="71"/>
        <v/>
      </c>
      <c r="N940" t="str">
        <f t="shared" si="72"/>
        <v/>
      </c>
      <c r="O940" t="str">
        <f t="shared" si="73"/>
        <v/>
      </c>
    </row>
    <row r="941" spans="11:15" x14ac:dyDescent="0.3">
      <c r="K941" t="str">
        <f t="shared" si="74"/>
        <v/>
      </c>
      <c r="L941" t="str">
        <f t="shared" si="70"/>
        <v/>
      </c>
      <c r="M941" t="str">
        <f t="shared" si="71"/>
        <v/>
      </c>
      <c r="N941" t="str">
        <f t="shared" si="72"/>
        <v/>
      </c>
      <c r="O941" t="str">
        <f t="shared" si="73"/>
        <v/>
      </c>
    </row>
    <row r="942" spans="11:15" x14ac:dyDescent="0.3">
      <c r="K942" t="str">
        <f t="shared" si="74"/>
        <v/>
      </c>
      <c r="L942" t="str">
        <f t="shared" si="70"/>
        <v/>
      </c>
      <c r="M942" t="str">
        <f t="shared" si="71"/>
        <v/>
      </c>
      <c r="N942" t="str">
        <f t="shared" si="72"/>
        <v/>
      </c>
      <c r="O942" t="str">
        <f t="shared" si="73"/>
        <v/>
      </c>
    </row>
    <row r="943" spans="11:15" x14ac:dyDescent="0.3">
      <c r="K943" t="str">
        <f t="shared" si="74"/>
        <v/>
      </c>
      <c r="L943" t="str">
        <f t="shared" si="70"/>
        <v/>
      </c>
      <c r="M943" t="str">
        <f t="shared" si="71"/>
        <v/>
      </c>
      <c r="N943" t="str">
        <f t="shared" si="72"/>
        <v/>
      </c>
      <c r="O943" t="str">
        <f t="shared" si="73"/>
        <v/>
      </c>
    </row>
    <row r="944" spans="11:15" x14ac:dyDescent="0.3">
      <c r="K944" t="str">
        <f t="shared" si="74"/>
        <v/>
      </c>
      <c r="L944" t="str">
        <f t="shared" si="70"/>
        <v/>
      </c>
      <c r="M944" t="str">
        <f t="shared" si="71"/>
        <v/>
      </c>
      <c r="N944" t="str">
        <f t="shared" si="72"/>
        <v/>
      </c>
      <c r="O944" t="str">
        <f t="shared" si="73"/>
        <v/>
      </c>
    </row>
    <row r="945" spans="11:15" x14ac:dyDescent="0.3">
      <c r="K945" t="str">
        <f t="shared" si="74"/>
        <v/>
      </c>
      <c r="L945" t="str">
        <f t="shared" si="70"/>
        <v/>
      </c>
      <c r="M945" t="str">
        <f t="shared" si="71"/>
        <v/>
      </c>
      <c r="N945" t="str">
        <f t="shared" si="72"/>
        <v/>
      </c>
      <c r="O945" t="str">
        <f t="shared" si="73"/>
        <v/>
      </c>
    </row>
    <row r="946" spans="11:15" x14ac:dyDescent="0.3">
      <c r="K946" t="str">
        <f t="shared" si="74"/>
        <v/>
      </c>
      <c r="L946" t="str">
        <f t="shared" si="70"/>
        <v/>
      </c>
      <c r="M946" t="str">
        <f t="shared" si="71"/>
        <v/>
      </c>
      <c r="N946" t="str">
        <f t="shared" si="72"/>
        <v/>
      </c>
      <c r="O946" t="str">
        <f t="shared" si="73"/>
        <v/>
      </c>
    </row>
    <row r="947" spans="11:15" x14ac:dyDescent="0.3">
      <c r="K947" t="str">
        <f t="shared" si="74"/>
        <v/>
      </c>
      <c r="L947" t="str">
        <f t="shared" si="70"/>
        <v/>
      </c>
      <c r="M947" t="str">
        <f t="shared" si="71"/>
        <v/>
      </c>
      <c r="N947" t="str">
        <f t="shared" si="72"/>
        <v/>
      </c>
      <c r="O947" t="str">
        <f t="shared" si="73"/>
        <v/>
      </c>
    </row>
    <row r="948" spans="11:15" x14ac:dyDescent="0.3">
      <c r="K948" t="str">
        <f t="shared" si="74"/>
        <v/>
      </c>
      <c r="L948" t="str">
        <f t="shared" si="70"/>
        <v/>
      </c>
      <c r="M948" t="str">
        <f t="shared" si="71"/>
        <v/>
      </c>
      <c r="N948" t="str">
        <f t="shared" si="72"/>
        <v/>
      </c>
      <c r="O948" t="str">
        <f t="shared" si="73"/>
        <v/>
      </c>
    </row>
    <row r="949" spans="11:15" x14ac:dyDescent="0.3">
      <c r="K949" t="str">
        <f t="shared" si="74"/>
        <v/>
      </c>
      <c r="L949" t="str">
        <f t="shared" si="70"/>
        <v/>
      </c>
      <c r="M949" t="str">
        <f t="shared" si="71"/>
        <v/>
      </c>
      <c r="N949" t="str">
        <f t="shared" si="72"/>
        <v/>
      </c>
      <c r="O949" t="str">
        <f t="shared" si="73"/>
        <v/>
      </c>
    </row>
    <row r="950" spans="11:15" x14ac:dyDescent="0.3">
      <c r="K950" t="str">
        <f t="shared" si="74"/>
        <v/>
      </c>
      <c r="L950" t="str">
        <f t="shared" si="70"/>
        <v/>
      </c>
      <c r="M950" t="str">
        <f t="shared" si="71"/>
        <v/>
      </c>
      <c r="N950" t="str">
        <f t="shared" si="72"/>
        <v/>
      </c>
      <c r="O950" t="str">
        <f t="shared" si="73"/>
        <v/>
      </c>
    </row>
    <row r="951" spans="11:15" x14ac:dyDescent="0.3">
      <c r="K951" t="str">
        <f t="shared" si="74"/>
        <v/>
      </c>
      <c r="L951" t="str">
        <f t="shared" si="70"/>
        <v/>
      </c>
      <c r="M951" t="str">
        <f t="shared" si="71"/>
        <v/>
      </c>
      <c r="N951" t="str">
        <f t="shared" si="72"/>
        <v/>
      </c>
      <c r="O951" t="str">
        <f t="shared" si="73"/>
        <v/>
      </c>
    </row>
    <row r="952" spans="11:15" x14ac:dyDescent="0.3">
      <c r="K952" t="str">
        <f t="shared" si="74"/>
        <v/>
      </c>
      <c r="L952" t="str">
        <f t="shared" si="70"/>
        <v/>
      </c>
      <c r="M952" t="str">
        <f t="shared" si="71"/>
        <v/>
      </c>
      <c r="N952" t="str">
        <f t="shared" si="72"/>
        <v/>
      </c>
      <c r="O952" t="str">
        <f t="shared" si="73"/>
        <v/>
      </c>
    </row>
    <row r="953" spans="11:15" x14ac:dyDescent="0.3">
      <c r="K953" t="str">
        <f t="shared" si="74"/>
        <v/>
      </c>
      <c r="L953" t="str">
        <f t="shared" si="70"/>
        <v/>
      </c>
      <c r="M953" t="str">
        <f t="shared" si="71"/>
        <v/>
      </c>
      <c r="N953" t="str">
        <f t="shared" si="72"/>
        <v/>
      </c>
      <c r="O953" t="str">
        <f t="shared" si="73"/>
        <v/>
      </c>
    </row>
    <row r="954" spans="11:15" x14ac:dyDescent="0.3">
      <c r="K954" t="str">
        <f t="shared" si="74"/>
        <v/>
      </c>
      <c r="L954" t="str">
        <f t="shared" si="70"/>
        <v/>
      </c>
      <c r="M954" t="str">
        <f t="shared" si="71"/>
        <v/>
      </c>
      <c r="N954" t="str">
        <f t="shared" si="72"/>
        <v/>
      </c>
      <c r="O954" t="str">
        <f t="shared" si="73"/>
        <v/>
      </c>
    </row>
    <row r="955" spans="11:15" x14ac:dyDescent="0.3">
      <c r="K955" t="str">
        <f t="shared" si="74"/>
        <v/>
      </c>
      <c r="L955" t="str">
        <f t="shared" si="70"/>
        <v/>
      </c>
      <c r="M955" t="str">
        <f t="shared" si="71"/>
        <v/>
      </c>
      <c r="N955" t="str">
        <f t="shared" si="72"/>
        <v/>
      </c>
      <c r="O955" t="str">
        <f t="shared" si="73"/>
        <v/>
      </c>
    </row>
    <row r="956" spans="11:15" x14ac:dyDescent="0.3">
      <c r="K956" t="str">
        <f t="shared" si="74"/>
        <v/>
      </c>
      <c r="L956" t="str">
        <f t="shared" si="70"/>
        <v/>
      </c>
      <c r="M956" t="str">
        <f t="shared" si="71"/>
        <v/>
      </c>
      <c r="N956" t="str">
        <f t="shared" si="72"/>
        <v/>
      </c>
      <c r="O956" t="str">
        <f t="shared" si="73"/>
        <v/>
      </c>
    </row>
    <row r="957" spans="11:15" x14ac:dyDescent="0.3">
      <c r="K957" t="str">
        <f t="shared" si="74"/>
        <v/>
      </c>
      <c r="L957" t="str">
        <f t="shared" si="70"/>
        <v/>
      </c>
      <c r="M957" t="str">
        <f t="shared" si="71"/>
        <v/>
      </c>
      <c r="N957" t="str">
        <f t="shared" si="72"/>
        <v/>
      </c>
      <c r="O957" t="str">
        <f t="shared" si="73"/>
        <v/>
      </c>
    </row>
    <row r="958" spans="11:15" x14ac:dyDescent="0.3">
      <c r="K958" t="str">
        <f t="shared" si="74"/>
        <v/>
      </c>
      <c r="L958" t="str">
        <f t="shared" si="70"/>
        <v/>
      </c>
      <c r="M958" t="str">
        <f t="shared" si="71"/>
        <v/>
      </c>
      <c r="N958" t="str">
        <f t="shared" si="72"/>
        <v/>
      </c>
      <c r="O958" t="str">
        <f t="shared" si="73"/>
        <v/>
      </c>
    </row>
    <row r="959" spans="11:15" x14ac:dyDescent="0.3">
      <c r="K959" t="str">
        <f t="shared" si="74"/>
        <v/>
      </c>
      <c r="L959" t="str">
        <f t="shared" si="70"/>
        <v/>
      </c>
      <c r="M959" t="str">
        <f t="shared" si="71"/>
        <v/>
      </c>
      <c r="N959" t="str">
        <f t="shared" si="72"/>
        <v/>
      </c>
      <c r="O959" t="str">
        <f t="shared" si="73"/>
        <v/>
      </c>
    </row>
    <row r="960" spans="11:15" x14ac:dyDescent="0.3">
      <c r="K960" t="str">
        <f t="shared" si="74"/>
        <v/>
      </c>
      <c r="L960" t="str">
        <f t="shared" si="70"/>
        <v/>
      </c>
      <c r="M960" t="str">
        <f t="shared" si="71"/>
        <v/>
      </c>
      <c r="N960" t="str">
        <f t="shared" si="72"/>
        <v/>
      </c>
      <c r="O960" t="str">
        <f t="shared" si="73"/>
        <v/>
      </c>
    </row>
    <row r="961" spans="11:15" x14ac:dyDescent="0.3">
      <c r="K961" t="str">
        <f t="shared" si="74"/>
        <v/>
      </c>
      <c r="L961" t="str">
        <f t="shared" ref="L961:L1024" si="75">IF(A961="","",IF(ISNUMBER(--LEFT(A961,FIND(" - ",A961&amp;" - ")-1)),LEFT(A961,FIND(" - ",A961&amp;" - ")-1),TRIM(A961)))</f>
        <v/>
      </c>
      <c r="M961" t="str">
        <f t="shared" ref="M961:M1024" si="76">IF(OR(K961="",K961=A961,A961=""),"",K961&amp;"|"&amp;L961)</f>
        <v/>
      </c>
      <c r="N961" t="str">
        <f t="shared" ref="N961:N1024" si="77">IF(M961="","",IF(ISNUMBER(B961),B961,IFERROR(_xlfn.NUMBERVALUE(B961,".",","),0)))</f>
        <v/>
      </c>
      <c r="O961" t="str">
        <f t="shared" ref="O961:O1024" si="78">IF(M961="","",IF(ISNUMBER(C961),C961,IFERROR(_xlfn.NUMBERVALUE(C961,".",","),0)))</f>
        <v/>
      </c>
    </row>
    <row r="962" spans="11:15" x14ac:dyDescent="0.3">
      <c r="K962" t="str">
        <f t="shared" ref="K962:K1025" si="79">IF(OR(LEFT(B962,9)="DOANH THU",LEFT(B962,8)="SỐ LƯỢNG"),A962,K961)</f>
        <v/>
      </c>
      <c r="L962" t="str">
        <f t="shared" si="75"/>
        <v/>
      </c>
      <c r="M962" t="str">
        <f t="shared" si="76"/>
        <v/>
      </c>
      <c r="N962" t="str">
        <f t="shared" si="77"/>
        <v/>
      </c>
      <c r="O962" t="str">
        <f t="shared" si="78"/>
        <v/>
      </c>
    </row>
    <row r="963" spans="11:15" x14ac:dyDescent="0.3">
      <c r="K963" t="str">
        <f t="shared" si="79"/>
        <v/>
      </c>
      <c r="L963" t="str">
        <f t="shared" si="75"/>
        <v/>
      </c>
      <c r="M963" t="str">
        <f t="shared" si="76"/>
        <v/>
      </c>
      <c r="N963" t="str">
        <f t="shared" si="77"/>
        <v/>
      </c>
      <c r="O963" t="str">
        <f t="shared" si="78"/>
        <v/>
      </c>
    </row>
    <row r="964" spans="11:15" x14ac:dyDescent="0.3">
      <c r="K964" t="str">
        <f t="shared" si="79"/>
        <v/>
      </c>
      <c r="L964" t="str">
        <f t="shared" si="75"/>
        <v/>
      </c>
      <c r="M964" t="str">
        <f t="shared" si="76"/>
        <v/>
      </c>
      <c r="N964" t="str">
        <f t="shared" si="77"/>
        <v/>
      </c>
      <c r="O964" t="str">
        <f t="shared" si="78"/>
        <v/>
      </c>
    </row>
    <row r="965" spans="11:15" x14ac:dyDescent="0.3">
      <c r="K965" t="str">
        <f t="shared" si="79"/>
        <v/>
      </c>
      <c r="L965" t="str">
        <f t="shared" si="75"/>
        <v/>
      </c>
      <c r="M965" t="str">
        <f t="shared" si="76"/>
        <v/>
      </c>
      <c r="N965" t="str">
        <f t="shared" si="77"/>
        <v/>
      </c>
      <c r="O965" t="str">
        <f t="shared" si="78"/>
        <v/>
      </c>
    </row>
    <row r="966" spans="11:15" x14ac:dyDescent="0.3">
      <c r="K966" t="str">
        <f t="shared" si="79"/>
        <v/>
      </c>
      <c r="L966" t="str">
        <f t="shared" si="75"/>
        <v/>
      </c>
      <c r="M966" t="str">
        <f t="shared" si="76"/>
        <v/>
      </c>
      <c r="N966" t="str">
        <f t="shared" si="77"/>
        <v/>
      </c>
      <c r="O966" t="str">
        <f t="shared" si="78"/>
        <v/>
      </c>
    </row>
    <row r="967" spans="11:15" x14ac:dyDescent="0.3">
      <c r="K967" t="str">
        <f t="shared" si="79"/>
        <v/>
      </c>
      <c r="L967" t="str">
        <f t="shared" si="75"/>
        <v/>
      </c>
      <c r="M967" t="str">
        <f t="shared" si="76"/>
        <v/>
      </c>
      <c r="N967" t="str">
        <f t="shared" si="77"/>
        <v/>
      </c>
      <c r="O967" t="str">
        <f t="shared" si="78"/>
        <v/>
      </c>
    </row>
    <row r="968" spans="11:15" x14ac:dyDescent="0.3">
      <c r="K968" t="str">
        <f t="shared" si="79"/>
        <v/>
      </c>
      <c r="L968" t="str">
        <f t="shared" si="75"/>
        <v/>
      </c>
      <c r="M968" t="str">
        <f t="shared" si="76"/>
        <v/>
      </c>
      <c r="N968" t="str">
        <f t="shared" si="77"/>
        <v/>
      </c>
      <c r="O968" t="str">
        <f t="shared" si="78"/>
        <v/>
      </c>
    </row>
    <row r="969" spans="11:15" x14ac:dyDescent="0.3">
      <c r="K969" t="str">
        <f t="shared" si="79"/>
        <v/>
      </c>
      <c r="L969" t="str">
        <f t="shared" si="75"/>
        <v/>
      </c>
      <c r="M969" t="str">
        <f t="shared" si="76"/>
        <v/>
      </c>
      <c r="N969" t="str">
        <f t="shared" si="77"/>
        <v/>
      </c>
      <c r="O969" t="str">
        <f t="shared" si="78"/>
        <v/>
      </c>
    </row>
    <row r="970" spans="11:15" x14ac:dyDescent="0.3">
      <c r="K970" t="str">
        <f t="shared" si="79"/>
        <v/>
      </c>
      <c r="L970" t="str">
        <f t="shared" si="75"/>
        <v/>
      </c>
      <c r="M970" t="str">
        <f t="shared" si="76"/>
        <v/>
      </c>
      <c r="N970" t="str">
        <f t="shared" si="77"/>
        <v/>
      </c>
      <c r="O970" t="str">
        <f t="shared" si="78"/>
        <v/>
      </c>
    </row>
    <row r="971" spans="11:15" x14ac:dyDescent="0.3">
      <c r="K971" t="str">
        <f t="shared" si="79"/>
        <v/>
      </c>
      <c r="L971" t="str">
        <f t="shared" si="75"/>
        <v/>
      </c>
      <c r="M971" t="str">
        <f t="shared" si="76"/>
        <v/>
      </c>
      <c r="N971" t="str">
        <f t="shared" si="77"/>
        <v/>
      </c>
      <c r="O971" t="str">
        <f t="shared" si="78"/>
        <v/>
      </c>
    </row>
    <row r="972" spans="11:15" x14ac:dyDescent="0.3">
      <c r="K972" t="str">
        <f t="shared" si="79"/>
        <v/>
      </c>
      <c r="L972" t="str">
        <f t="shared" si="75"/>
        <v/>
      </c>
      <c r="M972" t="str">
        <f t="shared" si="76"/>
        <v/>
      </c>
      <c r="N972" t="str">
        <f t="shared" si="77"/>
        <v/>
      </c>
      <c r="O972" t="str">
        <f t="shared" si="78"/>
        <v/>
      </c>
    </row>
    <row r="973" spans="11:15" x14ac:dyDescent="0.3">
      <c r="K973" t="str">
        <f t="shared" si="79"/>
        <v/>
      </c>
      <c r="L973" t="str">
        <f t="shared" si="75"/>
        <v/>
      </c>
      <c r="M973" t="str">
        <f t="shared" si="76"/>
        <v/>
      </c>
      <c r="N973" t="str">
        <f t="shared" si="77"/>
        <v/>
      </c>
      <c r="O973" t="str">
        <f t="shared" si="78"/>
        <v/>
      </c>
    </row>
    <row r="974" spans="11:15" x14ac:dyDescent="0.3">
      <c r="K974" t="str">
        <f t="shared" si="79"/>
        <v/>
      </c>
      <c r="L974" t="str">
        <f t="shared" si="75"/>
        <v/>
      </c>
      <c r="M974" t="str">
        <f t="shared" si="76"/>
        <v/>
      </c>
      <c r="N974" t="str">
        <f t="shared" si="77"/>
        <v/>
      </c>
      <c r="O974" t="str">
        <f t="shared" si="78"/>
        <v/>
      </c>
    </row>
    <row r="975" spans="11:15" x14ac:dyDescent="0.3">
      <c r="K975" t="str">
        <f t="shared" si="79"/>
        <v/>
      </c>
      <c r="L975" t="str">
        <f t="shared" si="75"/>
        <v/>
      </c>
      <c r="M975" t="str">
        <f t="shared" si="76"/>
        <v/>
      </c>
      <c r="N975" t="str">
        <f t="shared" si="77"/>
        <v/>
      </c>
      <c r="O975" t="str">
        <f t="shared" si="78"/>
        <v/>
      </c>
    </row>
    <row r="976" spans="11:15" x14ac:dyDescent="0.3">
      <c r="K976" t="str">
        <f t="shared" si="79"/>
        <v/>
      </c>
      <c r="L976" t="str">
        <f t="shared" si="75"/>
        <v/>
      </c>
      <c r="M976" t="str">
        <f t="shared" si="76"/>
        <v/>
      </c>
      <c r="N976" t="str">
        <f t="shared" si="77"/>
        <v/>
      </c>
      <c r="O976" t="str">
        <f t="shared" si="78"/>
        <v/>
      </c>
    </row>
    <row r="977" spans="11:15" x14ac:dyDescent="0.3">
      <c r="K977" t="str">
        <f t="shared" si="79"/>
        <v/>
      </c>
      <c r="L977" t="str">
        <f t="shared" si="75"/>
        <v/>
      </c>
      <c r="M977" t="str">
        <f t="shared" si="76"/>
        <v/>
      </c>
      <c r="N977" t="str">
        <f t="shared" si="77"/>
        <v/>
      </c>
      <c r="O977" t="str">
        <f t="shared" si="78"/>
        <v/>
      </c>
    </row>
    <row r="978" spans="11:15" x14ac:dyDescent="0.3">
      <c r="K978" t="str">
        <f t="shared" si="79"/>
        <v/>
      </c>
      <c r="L978" t="str">
        <f t="shared" si="75"/>
        <v/>
      </c>
      <c r="M978" t="str">
        <f t="shared" si="76"/>
        <v/>
      </c>
      <c r="N978" t="str">
        <f t="shared" si="77"/>
        <v/>
      </c>
      <c r="O978" t="str">
        <f t="shared" si="78"/>
        <v/>
      </c>
    </row>
    <row r="979" spans="11:15" x14ac:dyDescent="0.3">
      <c r="K979" t="str">
        <f t="shared" si="79"/>
        <v/>
      </c>
      <c r="L979" t="str">
        <f t="shared" si="75"/>
        <v/>
      </c>
      <c r="M979" t="str">
        <f t="shared" si="76"/>
        <v/>
      </c>
      <c r="N979" t="str">
        <f t="shared" si="77"/>
        <v/>
      </c>
      <c r="O979" t="str">
        <f t="shared" si="78"/>
        <v/>
      </c>
    </row>
    <row r="980" spans="11:15" x14ac:dyDescent="0.3">
      <c r="K980" t="str">
        <f t="shared" si="79"/>
        <v/>
      </c>
      <c r="L980" t="str">
        <f t="shared" si="75"/>
        <v/>
      </c>
      <c r="M980" t="str">
        <f t="shared" si="76"/>
        <v/>
      </c>
      <c r="N980" t="str">
        <f t="shared" si="77"/>
        <v/>
      </c>
      <c r="O980" t="str">
        <f t="shared" si="78"/>
        <v/>
      </c>
    </row>
    <row r="981" spans="11:15" x14ac:dyDescent="0.3">
      <c r="K981" t="str">
        <f t="shared" si="79"/>
        <v/>
      </c>
      <c r="L981" t="str">
        <f t="shared" si="75"/>
        <v/>
      </c>
      <c r="M981" t="str">
        <f t="shared" si="76"/>
        <v/>
      </c>
      <c r="N981" t="str">
        <f t="shared" si="77"/>
        <v/>
      </c>
      <c r="O981" t="str">
        <f t="shared" si="78"/>
        <v/>
      </c>
    </row>
    <row r="982" spans="11:15" x14ac:dyDescent="0.3">
      <c r="K982" t="str">
        <f t="shared" si="79"/>
        <v/>
      </c>
      <c r="L982" t="str">
        <f t="shared" si="75"/>
        <v/>
      </c>
      <c r="M982" t="str">
        <f t="shared" si="76"/>
        <v/>
      </c>
      <c r="N982" t="str">
        <f t="shared" si="77"/>
        <v/>
      </c>
      <c r="O982" t="str">
        <f t="shared" si="78"/>
        <v/>
      </c>
    </row>
    <row r="983" spans="11:15" x14ac:dyDescent="0.3">
      <c r="K983" t="str">
        <f t="shared" si="79"/>
        <v/>
      </c>
      <c r="L983" t="str">
        <f t="shared" si="75"/>
        <v/>
      </c>
      <c r="M983" t="str">
        <f t="shared" si="76"/>
        <v/>
      </c>
      <c r="N983" t="str">
        <f t="shared" si="77"/>
        <v/>
      </c>
      <c r="O983" t="str">
        <f t="shared" si="78"/>
        <v/>
      </c>
    </row>
    <row r="984" spans="11:15" x14ac:dyDescent="0.3">
      <c r="K984" t="str">
        <f t="shared" si="79"/>
        <v/>
      </c>
      <c r="L984" t="str">
        <f t="shared" si="75"/>
        <v/>
      </c>
      <c r="M984" t="str">
        <f t="shared" si="76"/>
        <v/>
      </c>
      <c r="N984" t="str">
        <f t="shared" si="77"/>
        <v/>
      </c>
      <c r="O984" t="str">
        <f t="shared" si="78"/>
        <v/>
      </c>
    </row>
    <row r="985" spans="11:15" x14ac:dyDescent="0.3">
      <c r="K985" t="str">
        <f t="shared" si="79"/>
        <v/>
      </c>
      <c r="L985" t="str">
        <f t="shared" si="75"/>
        <v/>
      </c>
      <c r="M985" t="str">
        <f t="shared" si="76"/>
        <v/>
      </c>
      <c r="N985" t="str">
        <f t="shared" si="77"/>
        <v/>
      </c>
      <c r="O985" t="str">
        <f t="shared" si="78"/>
        <v/>
      </c>
    </row>
    <row r="986" spans="11:15" x14ac:dyDescent="0.3">
      <c r="K986" t="str">
        <f t="shared" si="79"/>
        <v/>
      </c>
      <c r="L986" t="str">
        <f t="shared" si="75"/>
        <v/>
      </c>
      <c r="M986" t="str">
        <f t="shared" si="76"/>
        <v/>
      </c>
      <c r="N986" t="str">
        <f t="shared" si="77"/>
        <v/>
      </c>
      <c r="O986" t="str">
        <f t="shared" si="78"/>
        <v/>
      </c>
    </row>
    <row r="987" spans="11:15" x14ac:dyDescent="0.3">
      <c r="K987" t="str">
        <f t="shared" si="79"/>
        <v/>
      </c>
      <c r="L987" t="str">
        <f t="shared" si="75"/>
        <v/>
      </c>
      <c r="M987" t="str">
        <f t="shared" si="76"/>
        <v/>
      </c>
      <c r="N987" t="str">
        <f t="shared" si="77"/>
        <v/>
      </c>
      <c r="O987" t="str">
        <f t="shared" si="78"/>
        <v/>
      </c>
    </row>
    <row r="988" spans="11:15" x14ac:dyDescent="0.3">
      <c r="K988" t="str">
        <f t="shared" si="79"/>
        <v/>
      </c>
      <c r="L988" t="str">
        <f t="shared" si="75"/>
        <v/>
      </c>
      <c r="M988" t="str">
        <f t="shared" si="76"/>
        <v/>
      </c>
      <c r="N988" t="str">
        <f t="shared" si="77"/>
        <v/>
      </c>
      <c r="O988" t="str">
        <f t="shared" si="78"/>
        <v/>
      </c>
    </row>
    <row r="989" spans="11:15" x14ac:dyDescent="0.3">
      <c r="K989" t="str">
        <f t="shared" si="79"/>
        <v/>
      </c>
      <c r="L989" t="str">
        <f t="shared" si="75"/>
        <v/>
      </c>
      <c r="M989" t="str">
        <f t="shared" si="76"/>
        <v/>
      </c>
      <c r="N989" t="str">
        <f t="shared" si="77"/>
        <v/>
      </c>
      <c r="O989" t="str">
        <f t="shared" si="78"/>
        <v/>
      </c>
    </row>
    <row r="990" spans="11:15" x14ac:dyDescent="0.3">
      <c r="K990" t="str">
        <f t="shared" si="79"/>
        <v/>
      </c>
      <c r="L990" t="str">
        <f t="shared" si="75"/>
        <v/>
      </c>
      <c r="M990" t="str">
        <f t="shared" si="76"/>
        <v/>
      </c>
      <c r="N990" t="str">
        <f t="shared" si="77"/>
        <v/>
      </c>
      <c r="O990" t="str">
        <f t="shared" si="78"/>
        <v/>
      </c>
    </row>
    <row r="991" spans="11:15" x14ac:dyDescent="0.3">
      <c r="K991" t="str">
        <f t="shared" si="79"/>
        <v/>
      </c>
      <c r="L991" t="str">
        <f t="shared" si="75"/>
        <v/>
      </c>
      <c r="M991" t="str">
        <f t="shared" si="76"/>
        <v/>
      </c>
      <c r="N991" t="str">
        <f t="shared" si="77"/>
        <v/>
      </c>
      <c r="O991" t="str">
        <f t="shared" si="78"/>
        <v/>
      </c>
    </row>
    <row r="992" spans="11:15" x14ac:dyDescent="0.3">
      <c r="K992" t="str">
        <f t="shared" si="79"/>
        <v/>
      </c>
      <c r="L992" t="str">
        <f t="shared" si="75"/>
        <v/>
      </c>
      <c r="M992" t="str">
        <f t="shared" si="76"/>
        <v/>
      </c>
      <c r="N992" t="str">
        <f t="shared" si="77"/>
        <v/>
      </c>
      <c r="O992" t="str">
        <f t="shared" si="78"/>
        <v/>
      </c>
    </row>
    <row r="993" spans="11:15" x14ac:dyDescent="0.3">
      <c r="K993" t="str">
        <f t="shared" si="79"/>
        <v/>
      </c>
      <c r="L993" t="str">
        <f t="shared" si="75"/>
        <v/>
      </c>
      <c r="M993" t="str">
        <f t="shared" si="76"/>
        <v/>
      </c>
      <c r="N993" t="str">
        <f t="shared" si="77"/>
        <v/>
      </c>
      <c r="O993" t="str">
        <f t="shared" si="78"/>
        <v/>
      </c>
    </row>
    <row r="994" spans="11:15" x14ac:dyDescent="0.3">
      <c r="K994" t="str">
        <f t="shared" si="79"/>
        <v/>
      </c>
      <c r="L994" t="str">
        <f t="shared" si="75"/>
        <v/>
      </c>
      <c r="M994" t="str">
        <f t="shared" si="76"/>
        <v/>
      </c>
      <c r="N994" t="str">
        <f t="shared" si="77"/>
        <v/>
      </c>
      <c r="O994" t="str">
        <f t="shared" si="78"/>
        <v/>
      </c>
    </row>
    <row r="995" spans="11:15" x14ac:dyDescent="0.3">
      <c r="K995" t="str">
        <f t="shared" si="79"/>
        <v/>
      </c>
      <c r="L995" t="str">
        <f t="shared" si="75"/>
        <v/>
      </c>
      <c r="M995" t="str">
        <f t="shared" si="76"/>
        <v/>
      </c>
      <c r="N995" t="str">
        <f t="shared" si="77"/>
        <v/>
      </c>
      <c r="O995" t="str">
        <f t="shared" si="78"/>
        <v/>
      </c>
    </row>
    <row r="996" spans="11:15" x14ac:dyDescent="0.3">
      <c r="K996" t="str">
        <f t="shared" si="79"/>
        <v/>
      </c>
      <c r="L996" t="str">
        <f t="shared" si="75"/>
        <v/>
      </c>
      <c r="M996" t="str">
        <f t="shared" si="76"/>
        <v/>
      </c>
      <c r="N996" t="str">
        <f t="shared" si="77"/>
        <v/>
      </c>
      <c r="O996" t="str">
        <f t="shared" si="78"/>
        <v/>
      </c>
    </row>
    <row r="997" spans="11:15" x14ac:dyDescent="0.3">
      <c r="K997" t="str">
        <f t="shared" si="79"/>
        <v/>
      </c>
      <c r="L997" t="str">
        <f t="shared" si="75"/>
        <v/>
      </c>
      <c r="M997" t="str">
        <f t="shared" si="76"/>
        <v/>
      </c>
      <c r="N997" t="str">
        <f t="shared" si="77"/>
        <v/>
      </c>
      <c r="O997" t="str">
        <f t="shared" si="78"/>
        <v/>
      </c>
    </row>
    <row r="998" spans="11:15" x14ac:dyDescent="0.3">
      <c r="K998" t="str">
        <f t="shared" si="79"/>
        <v/>
      </c>
      <c r="L998" t="str">
        <f t="shared" si="75"/>
        <v/>
      </c>
      <c r="M998" t="str">
        <f t="shared" si="76"/>
        <v/>
      </c>
      <c r="N998" t="str">
        <f t="shared" si="77"/>
        <v/>
      </c>
      <c r="O998" t="str">
        <f t="shared" si="78"/>
        <v/>
      </c>
    </row>
    <row r="999" spans="11:15" x14ac:dyDescent="0.3">
      <c r="K999" t="str">
        <f t="shared" si="79"/>
        <v/>
      </c>
      <c r="L999" t="str">
        <f t="shared" si="75"/>
        <v/>
      </c>
      <c r="M999" t="str">
        <f t="shared" si="76"/>
        <v/>
      </c>
      <c r="N999" t="str">
        <f t="shared" si="77"/>
        <v/>
      </c>
      <c r="O999" t="str">
        <f t="shared" si="78"/>
        <v/>
      </c>
    </row>
    <row r="1000" spans="11:15" x14ac:dyDescent="0.3">
      <c r="K1000" t="str">
        <f t="shared" si="79"/>
        <v/>
      </c>
      <c r="L1000" t="str">
        <f t="shared" si="75"/>
        <v/>
      </c>
      <c r="M1000" t="str">
        <f t="shared" si="76"/>
        <v/>
      </c>
      <c r="N1000" t="str">
        <f t="shared" si="77"/>
        <v/>
      </c>
      <c r="O1000" t="str">
        <f t="shared" si="78"/>
        <v/>
      </c>
    </row>
    <row r="1001" spans="11:15" x14ac:dyDescent="0.3">
      <c r="K1001" t="str">
        <f t="shared" si="79"/>
        <v/>
      </c>
      <c r="L1001" t="str">
        <f t="shared" si="75"/>
        <v/>
      </c>
      <c r="M1001" t="str">
        <f t="shared" si="76"/>
        <v/>
      </c>
      <c r="N1001" t="str">
        <f t="shared" si="77"/>
        <v/>
      </c>
      <c r="O1001" t="str">
        <f t="shared" si="78"/>
        <v/>
      </c>
    </row>
    <row r="1002" spans="11:15" x14ac:dyDescent="0.3">
      <c r="K1002" t="str">
        <f t="shared" si="79"/>
        <v/>
      </c>
      <c r="L1002" t="str">
        <f t="shared" si="75"/>
        <v/>
      </c>
      <c r="M1002" t="str">
        <f t="shared" si="76"/>
        <v/>
      </c>
      <c r="N1002" t="str">
        <f t="shared" si="77"/>
        <v/>
      </c>
      <c r="O1002" t="str">
        <f t="shared" si="78"/>
        <v/>
      </c>
    </row>
    <row r="1003" spans="11:15" x14ac:dyDescent="0.3">
      <c r="K1003" t="str">
        <f t="shared" si="79"/>
        <v/>
      </c>
      <c r="L1003" t="str">
        <f t="shared" si="75"/>
        <v/>
      </c>
      <c r="M1003" t="str">
        <f t="shared" si="76"/>
        <v/>
      </c>
      <c r="N1003" t="str">
        <f t="shared" si="77"/>
        <v/>
      </c>
      <c r="O1003" t="str">
        <f t="shared" si="78"/>
        <v/>
      </c>
    </row>
    <row r="1004" spans="11:15" x14ac:dyDescent="0.3">
      <c r="K1004" t="str">
        <f t="shared" si="79"/>
        <v/>
      </c>
      <c r="L1004" t="str">
        <f t="shared" si="75"/>
        <v/>
      </c>
      <c r="M1004" t="str">
        <f t="shared" si="76"/>
        <v/>
      </c>
      <c r="N1004" t="str">
        <f t="shared" si="77"/>
        <v/>
      </c>
      <c r="O1004" t="str">
        <f t="shared" si="78"/>
        <v/>
      </c>
    </row>
    <row r="1005" spans="11:15" x14ac:dyDescent="0.3">
      <c r="K1005" t="str">
        <f t="shared" si="79"/>
        <v/>
      </c>
      <c r="L1005" t="str">
        <f t="shared" si="75"/>
        <v/>
      </c>
      <c r="M1005" t="str">
        <f t="shared" si="76"/>
        <v/>
      </c>
      <c r="N1005" t="str">
        <f t="shared" si="77"/>
        <v/>
      </c>
      <c r="O1005" t="str">
        <f t="shared" si="78"/>
        <v/>
      </c>
    </row>
    <row r="1006" spans="11:15" x14ac:dyDescent="0.3">
      <c r="K1006" t="str">
        <f t="shared" si="79"/>
        <v/>
      </c>
      <c r="L1006" t="str">
        <f t="shared" si="75"/>
        <v/>
      </c>
      <c r="M1006" t="str">
        <f t="shared" si="76"/>
        <v/>
      </c>
      <c r="N1006" t="str">
        <f t="shared" si="77"/>
        <v/>
      </c>
      <c r="O1006" t="str">
        <f t="shared" si="78"/>
        <v/>
      </c>
    </row>
    <row r="1007" spans="11:15" x14ac:dyDescent="0.3">
      <c r="K1007" t="str">
        <f t="shared" si="79"/>
        <v/>
      </c>
      <c r="L1007" t="str">
        <f t="shared" si="75"/>
        <v/>
      </c>
      <c r="M1007" t="str">
        <f t="shared" si="76"/>
        <v/>
      </c>
      <c r="N1007" t="str">
        <f t="shared" si="77"/>
        <v/>
      </c>
      <c r="O1007" t="str">
        <f t="shared" si="78"/>
        <v/>
      </c>
    </row>
    <row r="1008" spans="11:15" x14ac:dyDescent="0.3">
      <c r="K1008" t="str">
        <f t="shared" si="79"/>
        <v/>
      </c>
      <c r="L1008" t="str">
        <f t="shared" si="75"/>
        <v/>
      </c>
      <c r="M1008" t="str">
        <f t="shared" si="76"/>
        <v/>
      </c>
      <c r="N1008" t="str">
        <f t="shared" si="77"/>
        <v/>
      </c>
      <c r="O1008" t="str">
        <f t="shared" si="78"/>
        <v/>
      </c>
    </row>
    <row r="1009" spans="11:15" x14ac:dyDescent="0.3">
      <c r="K1009" t="str">
        <f t="shared" si="79"/>
        <v/>
      </c>
      <c r="L1009" t="str">
        <f t="shared" si="75"/>
        <v/>
      </c>
      <c r="M1009" t="str">
        <f t="shared" si="76"/>
        <v/>
      </c>
      <c r="N1009" t="str">
        <f t="shared" si="77"/>
        <v/>
      </c>
      <c r="O1009" t="str">
        <f t="shared" si="78"/>
        <v/>
      </c>
    </row>
    <row r="1010" spans="11:15" x14ac:dyDescent="0.3">
      <c r="K1010" t="str">
        <f t="shared" si="79"/>
        <v/>
      </c>
      <c r="L1010" t="str">
        <f t="shared" si="75"/>
        <v/>
      </c>
      <c r="M1010" t="str">
        <f t="shared" si="76"/>
        <v/>
      </c>
      <c r="N1010" t="str">
        <f t="shared" si="77"/>
        <v/>
      </c>
      <c r="O1010" t="str">
        <f t="shared" si="78"/>
        <v/>
      </c>
    </row>
    <row r="1011" spans="11:15" x14ac:dyDescent="0.3">
      <c r="K1011" t="str">
        <f t="shared" si="79"/>
        <v/>
      </c>
      <c r="L1011" t="str">
        <f t="shared" si="75"/>
        <v/>
      </c>
      <c r="M1011" t="str">
        <f t="shared" si="76"/>
        <v/>
      </c>
      <c r="N1011" t="str">
        <f t="shared" si="77"/>
        <v/>
      </c>
      <c r="O1011" t="str">
        <f t="shared" si="78"/>
        <v/>
      </c>
    </row>
    <row r="1012" spans="11:15" x14ac:dyDescent="0.3">
      <c r="K1012" t="str">
        <f t="shared" si="79"/>
        <v/>
      </c>
      <c r="L1012" t="str">
        <f t="shared" si="75"/>
        <v/>
      </c>
      <c r="M1012" t="str">
        <f t="shared" si="76"/>
        <v/>
      </c>
      <c r="N1012" t="str">
        <f t="shared" si="77"/>
        <v/>
      </c>
      <c r="O1012" t="str">
        <f t="shared" si="78"/>
        <v/>
      </c>
    </row>
    <row r="1013" spans="11:15" x14ac:dyDescent="0.3">
      <c r="K1013" t="str">
        <f t="shared" si="79"/>
        <v/>
      </c>
      <c r="L1013" t="str">
        <f t="shared" si="75"/>
        <v/>
      </c>
      <c r="M1013" t="str">
        <f t="shared" si="76"/>
        <v/>
      </c>
      <c r="N1013" t="str">
        <f t="shared" si="77"/>
        <v/>
      </c>
      <c r="O1013" t="str">
        <f t="shared" si="78"/>
        <v/>
      </c>
    </row>
    <row r="1014" spans="11:15" x14ac:dyDescent="0.3">
      <c r="K1014" t="str">
        <f t="shared" si="79"/>
        <v/>
      </c>
      <c r="L1014" t="str">
        <f t="shared" si="75"/>
        <v/>
      </c>
      <c r="M1014" t="str">
        <f t="shared" si="76"/>
        <v/>
      </c>
      <c r="N1014" t="str">
        <f t="shared" si="77"/>
        <v/>
      </c>
      <c r="O1014" t="str">
        <f t="shared" si="78"/>
        <v/>
      </c>
    </row>
    <row r="1015" spans="11:15" x14ac:dyDescent="0.3">
      <c r="K1015" t="str">
        <f t="shared" si="79"/>
        <v/>
      </c>
      <c r="L1015" t="str">
        <f t="shared" si="75"/>
        <v/>
      </c>
      <c r="M1015" t="str">
        <f t="shared" si="76"/>
        <v/>
      </c>
      <c r="N1015" t="str">
        <f t="shared" si="77"/>
        <v/>
      </c>
      <c r="O1015" t="str">
        <f t="shared" si="78"/>
        <v/>
      </c>
    </row>
    <row r="1016" spans="11:15" x14ac:dyDescent="0.3">
      <c r="K1016" t="str">
        <f t="shared" si="79"/>
        <v/>
      </c>
      <c r="L1016" t="str">
        <f t="shared" si="75"/>
        <v/>
      </c>
      <c r="M1016" t="str">
        <f t="shared" si="76"/>
        <v/>
      </c>
      <c r="N1016" t="str">
        <f t="shared" si="77"/>
        <v/>
      </c>
      <c r="O1016" t="str">
        <f t="shared" si="78"/>
        <v/>
      </c>
    </row>
    <row r="1017" spans="11:15" x14ac:dyDescent="0.3">
      <c r="K1017" t="str">
        <f t="shared" si="79"/>
        <v/>
      </c>
      <c r="L1017" t="str">
        <f t="shared" si="75"/>
        <v/>
      </c>
      <c r="M1017" t="str">
        <f t="shared" si="76"/>
        <v/>
      </c>
      <c r="N1017" t="str">
        <f t="shared" si="77"/>
        <v/>
      </c>
      <c r="O1017" t="str">
        <f t="shared" si="78"/>
        <v/>
      </c>
    </row>
    <row r="1018" spans="11:15" x14ac:dyDescent="0.3">
      <c r="K1018" t="str">
        <f t="shared" si="79"/>
        <v/>
      </c>
      <c r="L1018" t="str">
        <f t="shared" si="75"/>
        <v/>
      </c>
      <c r="M1018" t="str">
        <f t="shared" si="76"/>
        <v/>
      </c>
      <c r="N1018" t="str">
        <f t="shared" si="77"/>
        <v/>
      </c>
      <c r="O1018" t="str">
        <f t="shared" si="78"/>
        <v/>
      </c>
    </row>
    <row r="1019" spans="11:15" x14ac:dyDescent="0.3">
      <c r="K1019" t="str">
        <f t="shared" si="79"/>
        <v/>
      </c>
      <c r="L1019" t="str">
        <f t="shared" si="75"/>
        <v/>
      </c>
      <c r="M1019" t="str">
        <f t="shared" si="76"/>
        <v/>
      </c>
      <c r="N1019" t="str">
        <f t="shared" si="77"/>
        <v/>
      </c>
      <c r="O1019" t="str">
        <f t="shared" si="78"/>
        <v/>
      </c>
    </row>
    <row r="1020" spans="11:15" x14ac:dyDescent="0.3">
      <c r="K1020" t="str">
        <f t="shared" si="79"/>
        <v/>
      </c>
      <c r="L1020" t="str">
        <f t="shared" si="75"/>
        <v/>
      </c>
      <c r="M1020" t="str">
        <f t="shared" si="76"/>
        <v/>
      </c>
      <c r="N1020" t="str">
        <f t="shared" si="77"/>
        <v/>
      </c>
      <c r="O1020" t="str">
        <f t="shared" si="78"/>
        <v/>
      </c>
    </row>
    <row r="1021" spans="11:15" x14ac:dyDescent="0.3">
      <c r="K1021" t="str">
        <f t="shared" si="79"/>
        <v/>
      </c>
      <c r="L1021" t="str">
        <f t="shared" si="75"/>
        <v/>
      </c>
      <c r="M1021" t="str">
        <f t="shared" si="76"/>
        <v/>
      </c>
      <c r="N1021" t="str">
        <f t="shared" si="77"/>
        <v/>
      </c>
      <c r="O1021" t="str">
        <f t="shared" si="78"/>
        <v/>
      </c>
    </row>
    <row r="1022" spans="11:15" x14ac:dyDescent="0.3">
      <c r="K1022" t="str">
        <f t="shared" si="79"/>
        <v/>
      </c>
      <c r="L1022" t="str">
        <f t="shared" si="75"/>
        <v/>
      </c>
      <c r="M1022" t="str">
        <f t="shared" si="76"/>
        <v/>
      </c>
      <c r="N1022" t="str">
        <f t="shared" si="77"/>
        <v/>
      </c>
      <c r="O1022" t="str">
        <f t="shared" si="78"/>
        <v/>
      </c>
    </row>
    <row r="1023" spans="11:15" x14ac:dyDescent="0.3">
      <c r="K1023" t="str">
        <f t="shared" si="79"/>
        <v/>
      </c>
      <c r="L1023" t="str">
        <f t="shared" si="75"/>
        <v/>
      </c>
      <c r="M1023" t="str">
        <f t="shared" si="76"/>
        <v/>
      </c>
      <c r="N1023" t="str">
        <f t="shared" si="77"/>
        <v/>
      </c>
      <c r="O1023" t="str">
        <f t="shared" si="78"/>
        <v/>
      </c>
    </row>
    <row r="1024" spans="11:15" x14ac:dyDescent="0.3">
      <c r="K1024" t="str">
        <f t="shared" si="79"/>
        <v/>
      </c>
      <c r="L1024" t="str">
        <f t="shared" si="75"/>
        <v/>
      </c>
      <c r="M1024" t="str">
        <f t="shared" si="76"/>
        <v/>
      </c>
      <c r="N1024" t="str">
        <f t="shared" si="77"/>
        <v/>
      </c>
      <c r="O1024" t="str">
        <f t="shared" si="78"/>
        <v/>
      </c>
    </row>
    <row r="1025" spans="11:15" x14ac:dyDescent="0.3">
      <c r="K1025" t="str">
        <f t="shared" si="79"/>
        <v/>
      </c>
      <c r="L1025" t="str">
        <f t="shared" ref="L1025:L1088" si="80">IF(A1025="","",IF(ISNUMBER(--LEFT(A1025,FIND(" - ",A1025&amp;" - ")-1)),LEFT(A1025,FIND(" - ",A1025&amp;" - ")-1),TRIM(A1025)))</f>
        <v/>
      </c>
      <c r="M1025" t="str">
        <f t="shared" ref="M1025:M1088" si="81">IF(OR(K1025="",K1025=A1025,A1025=""),"",K1025&amp;"|"&amp;L1025)</f>
        <v/>
      </c>
      <c r="N1025" t="str">
        <f t="shared" ref="N1025:N1088" si="82">IF(M1025="","",IF(ISNUMBER(B1025),B1025,IFERROR(_xlfn.NUMBERVALUE(B1025,".",","),0)))</f>
        <v/>
      </c>
      <c r="O1025" t="str">
        <f t="shared" ref="O1025:O1088" si="83">IF(M1025="","",IF(ISNUMBER(C1025),C1025,IFERROR(_xlfn.NUMBERVALUE(C1025,".",","),0)))</f>
        <v/>
      </c>
    </row>
    <row r="1026" spans="11:15" x14ac:dyDescent="0.3">
      <c r="K1026" t="str">
        <f t="shared" ref="K1026:K1089" si="84">IF(OR(LEFT(B1026,9)="DOANH THU",LEFT(B1026,8)="SỐ LƯỢNG"),A1026,K1025)</f>
        <v/>
      </c>
      <c r="L1026" t="str">
        <f t="shared" si="80"/>
        <v/>
      </c>
      <c r="M1026" t="str">
        <f t="shared" si="81"/>
        <v/>
      </c>
      <c r="N1026" t="str">
        <f t="shared" si="82"/>
        <v/>
      </c>
      <c r="O1026" t="str">
        <f t="shared" si="83"/>
        <v/>
      </c>
    </row>
    <row r="1027" spans="11:15" x14ac:dyDescent="0.3">
      <c r="K1027" t="str">
        <f t="shared" si="84"/>
        <v/>
      </c>
      <c r="L1027" t="str">
        <f t="shared" si="80"/>
        <v/>
      </c>
      <c r="M1027" t="str">
        <f t="shared" si="81"/>
        <v/>
      </c>
      <c r="N1027" t="str">
        <f t="shared" si="82"/>
        <v/>
      </c>
      <c r="O1027" t="str">
        <f t="shared" si="83"/>
        <v/>
      </c>
    </row>
    <row r="1028" spans="11:15" x14ac:dyDescent="0.3">
      <c r="K1028" t="str">
        <f t="shared" si="84"/>
        <v/>
      </c>
      <c r="L1028" t="str">
        <f t="shared" si="80"/>
        <v/>
      </c>
      <c r="M1028" t="str">
        <f t="shared" si="81"/>
        <v/>
      </c>
      <c r="N1028" t="str">
        <f t="shared" si="82"/>
        <v/>
      </c>
      <c r="O1028" t="str">
        <f t="shared" si="83"/>
        <v/>
      </c>
    </row>
    <row r="1029" spans="11:15" x14ac:dyDescent="0.3">
      <c r="K1029" t="str">
        <f t="shared" si="84"/>
        <v/>
      </c>
      <c r="L1029" t="str">
        <f t="shared" si="80"/>
        <v/>
      </c>
      <c r="M1029" t="str">
        <f t="shared" si="81"/>
        <v/>
      </c>
      <c r="N1029" t="str">
        <f t="shared" si="82"/>
        <v/>
      </c>
      <c r="O1029" t="str">
        <f t="shared" si="83"/>
        <v/>
      </c>
    </row>
    <row r="1030" spans="11:15" x14ac:dyDescent="0.3">
      <c r="K1030" t="str">
        <f t="shared" si="84"/>
        <v/>
      </c>
      <c r="L1030" t="str">
        <f t="shared" si="80"/>
        <v/>
      </c>
      <c r="M1030" t="str">
        <f t="shared" si="81"/>
        <v/>
      </c>
      <c r="N1030" t="str">
        <f t="shared" si="82"/>
        <v/>
      </c>
      <c r="O1030" t="str">
        <f t="shared" si="83"/>
        <v/>
      </c>
    </row>
    <row r="1031" spans="11:15" x14ac:dyDescent="0.3">
      <c r="K1031" t="str">
        <f t="shared" si="84"/>
        <v/>
      </c>
      <c r="L1031" t="str">
        <f t="shared" si="80"/>
        <v/>
      </c>
      <c r="M1031" t="str">
        <f t="shared" si="81"/>
        <v/>
      </c>
      <c r="N1031" t="str">
        <f t="shared" si="82"/>
        <v/>
      </c>
      <c r="O1031" t="str">
        <f t="shared" si="83"/>
        <v/>
      </c>
    </row>
    <row r="1032" spans="11:15" x14ac:dyDescent="0.3">
      <c r="K1032" t="str">
        <f t="shared" si="84"/>
        <v/>
      </c>
      <c r="L1032" t="str">
        <f t="shared" si="80"/>
        <v/>
      </c>
      <c r="M1032" t="str">
        <f t="shared" si="81"/>
        <v/>
      </c>
      <c r="N1032" t="str">
        <f t="shared" si="82"/>
        <v/>
      </c>
      <c r="O1032" t="str">
        <f t="shared" si="83"/>
        <v/>
      </c>
    </row>
    <row r="1033" spans="11:15" x14ac:dyDescent="0.3">
      <c r="K1033" t="str">
        <f t="shared" si="84"/>
        <v/>
      </c>
      <c r="L1033" t="str">
        <f t="shared" si="80"/>
        <v/>
      </c>
      <c r="M1033" t="str">
        <f t="shared" si="81"/>
        <v/>
      </c>
      <c r="N1033" t="str">
        <f t="shared" si="82"/>
        <v/>
      </c>
      <c r="O1033" t="str">
        <f t="shared" si="83"/>
        <v/>
      </c>
    </row>
    <row r="1034" spans="11:15" x14ac:dyDescent="0.3">
      <c r="K1034" t="str">
        <f t="shared" si="84"/>
        <v/>
      </c>
      <c r="L1034" t="str">
        <f t="shared" si="80"/>
        <v/>
      </c>
      <c r="M1034" t="str">
        <f t="shared" si="81"/>
        <v/>
      </c>
      <c r="N1034" t="str">
        <f t="shared" si="82"/>
        <v/>
      </c>
      <c r="O1034" t="str">
        <f t="shared" si="83"/>
        <v/>
      </c>
    </row>
    <row r="1035" spans="11:15" x14ac:dyDescent="0.3">
      <c r="K1035" t="str">
        <f t="shared" si="84"/>
        <v/>
      </c>
      <c r="L1035" t="str">
        <f t="shared" si="80"/>
        <v/>
      </c>
      <c r="M1035" t="str">
        <f t="shared" si="81"/>
        <v/>
      </c>
      <c r="N1035" t="str">
        <f t="shared" si="82"/>
        <v/>
      </c>
      <c r="O1035" t="str">
        <f t="shared" si="83"/>
        <v/>
      </c>
    </row>
    <row r="1036" spans="11:15" x14ac:dyDescent="0.3">
      <c r="K1036" t="str">
        <f t="shared" si="84"/>
        <v/>
      </c>
      <c r="L1036" t="str">
        <f t="shared" si="80"/>
        <v/>
      </c>
      <c r="M1036" t="str">
        <f t="shared" si="81"/>
        <v/>
      </c>
      <c r="N1036" t="str">
        <f t="shared" si="82"/>
        <v/>
      </c>
      <c r="O1036" t="str">
        <f t="shared" si="83"/>
        <v/>
      </c>
    </row>
    <row r="1037" spans="11:15" x14ac:dyDescent="0.3">
      <c r="K1037" t="str">
        <f t="shared" si="84"/>
        <v/>
      </c>
      <c r="L1037" t="str">
        <f t="shared" si="80"/>
        <v/>
      </c>
      <c r="M1037" t="str">
        <f t="shared" si="81"/>
        <v/>
      </c>
      <c r="N1037" t="str">
        <f t="shared" si="82"/>
        <v/>
      </c>
      <c r="O1037" t="str">
        <f t="shared" si="83"/>
        <v/>
      </c>
    </row>
    <row r="1038" spans="11:15" x14ac:dyDescent="0.3">
      <c r="K1038" t="str">
        <f t="shared" si="84"/>
        <v/>
      </c>
      <c r="L1038" t="str">
        <f t="shared" si="80"/>
        <v/>
      </c>
      <c r="M1038" t="str">
        <f t="shared" si="81"/>
        <v/>
      </c>
      <c r="N1038" t="str">
        <f t="shared" si="82"/>
        <v/>
      </c>
      <c r="O1038" t="str">
        <f t="shared" si="83"/>
        <v/>
      </c>
    </row>
    <row r="1039" spans="11:15" x14ac:dyDescent="0.3">
      <c r="K1039" t="str">
        <f t="shared" si="84"/>
        <v/>
      </c>
      <c r="L1039" t="str">
        <f t="shared" si="80"/>
        <v/>
      </c>
      <c r="M1039" t="str">
        <f t="shared" si="81"/>
        <v/>
      </c>
      <c r="N1039" t="str">
        <f t="shared" si="82"/>
        <v/>
      </c>
      <c r="O1039" t="str">
        <f t="shared" si="83"/>
        <v/>
      </c>
    </row>
    <row r="1040" spans="11:15" x14ac:dyDescent="0.3">
      <c r="K1040" t="str">
        <f t="shared" si="84"/>
        <v/>
      </c>
      <c r="L1040" t="str">
        <f t="shared" si="80"/>
        <v/>
      </c>
      <c r="M1040" t="str">
        <f t="shared" si="81"/>
        <v/>
      </c>
      <c r="N1040" t="str">
        <f t="shared" si="82"/>
        <v/>
      </c>
      <c r="O1040" t="str">
        <f t="shared" si="83"/>
        <v/>
      </c>
    </row>
    <row r="1041" spans="11:15" x14ac:dyDescent="0.3">
      <c r="K1041" t="str">
        <f t="shared" si="84"/>
        <v/>
      </c>
      <c r="L1041" t="str">
        <f t="shared" si="80"/>
        <v/>
      </c>
      <c r="M1041" t="str">
        <f t="shared" si="81"/>
        <v/>
      </c>
      <c r="N1041" t="str">
        <f t="shared" si="82"/>
        <v/>
      </c>
      <c r="O1041" t="str">
        <f t="shared" si="83"/>
        <v/>
      </c>
    </row>
    <row r="1042" spans="11:15" x14ac:dyDescent="0.3">
      <c r="K1042" t="str">
        <f t="shared" si="84"/>
        <v/>
      </c>
      <c r="L1042" t="str">
        <f t="shared" si="80"/>
        <v/>
      </c>
      <c r="M1042" t="str">
        <f t="shared" si="81"/>
        <v/>
      </c>
      <c r="N1042" t="str">
        <f t="shared" si="82"/>
        <v/>
      </c>
      <c r="O1042" t="str">
        <f t="shared" si="83"/>
        <v/>
      </c>
    </row>
    <row r="1043" spans="11:15" x14ac:dyDescent="0.3">
      <c r="K1043" t="str">
        <f t="shared" si="84"/>
        <v/>
      </c>
      <c r="L1043" t="str">
        <f t="shared" si="80"/>
        <v/>
      </c>
      <c r="M1043" t="str">
        <f t="shared" si="81"/>
        <v/>
      </c>
      <c r="N1043" t="str">
        <f t="shared" si="82"/>
        <v/>
      </c>
      <c r="O1043" t="str">
        <f t="shared" si="83"/>
        <v/>
      </c>
    </row>
    <row r="1044" spans="11:15" x14ac:dyDescent="0.3">
      <c r="K1044" t="str">
        <f t="shared" si="84"/>
        <v/>
      </c>
      <c r="L1044" t="str">
        <f t="shared" si="80"/>
        <v/>
      </c>
      <c r="M1044" t="str">
        <f t="shared" si="81"/>
        <v/>
      </c>
      <c r="N1044" t="str">
        <f t="shared" si="82"/>
        <v/>
      </c>
      <c r="O1044" t="str">
        <f t="shared" si="83"/>
        <v/>
      </c>
    </row>
    <row r="1045" spans="11:15" x14ac:dyDescent="0.3">
      <c r="K1045" t="str">
        <f t="shared" si="84"/>
        <v/>
      </c>
      <c r="L1045" t="str">
        <f t="shared" si="80"/>
        <v/>
      </c>
      <c r="M1045" t="str">
        <f t="shared" si="81"/>
        <v/>
      </c>
      <c r="N1045" t="str">
        <f t="shared" si="82"/>
        <v/>
      </c>
      <c r="O1045" t="str">
        <f t="shared" si="83"/>
        <v/>
      </c>
    </row>
    <row r="1046" spans="11:15" x14ac:dyDescent="0.3">
      <c r="K1046" t="str">
        <f t="shared" si="84"/>
        <v/>
      </c>
      <c r="L1046" t="str">
        <f t="shared" si="80"/>
        <v/>
      </c>
      <c r="M1046" t="str">
        <f t="shared" si="81"/>
        <v/>
      </c>
      <c r="N1046" t="str">
        <f t="shared" si="82"/>
        <v/>
      </c>
      <c r="O1046" t="str">
        <f t="shared" si="83"/>
        <v/>
      </c>
    </row>
    <row r="1047" spans="11:15" x14ac:dyDescent="0.3">
      <c r="K1047" t="str">
        <f t="shared" si="84"/>
        <v/>
      </c>
      <c r="L1047" t="str">
        <f t="shared" si="80"/>
        <v/>
      </c>
      <c r="M1047" t="str">
        <f t="shared" si="81"/>
        <v/>
      </c>
      <c r="N1047" t="str">
        <f t="shared" si="82"/>
        <v/>
      </c>
      <c r="O1047" t="str">
        <f t="shared" si="83"/>
        <v/>
      </c>
    </row>
    <row r="1048" spans="11:15" x14ac:dyDescent="0.3">
      <c r="K1048" t="str">
        <f t="shared" si="84"/>
        <v/>
      </c>
      <c r="L1048" t="str">
        <f t="shared" si="80"/>
        <v/>
      </c>
      <c r="M1048" t="str">
        <f t="shared" si="81"/>
        <v/>
      </c>
      <c r="N1048" t="str">
        <f t="shared" si="82"/>
        <v/>
      </c>
      <c r="O1048" t="str">
        <f t="shared" si="83"/>
        <v/>
      </c>
    </row>
    <row r="1049" spans="11:15" x14ac:dyDescent="0.3">
      <c r="K1049" t="str">
        <f t="shared" si="84"/>
        <v/>
      </c>
      <c r="L1049" t="str">
        <f t="shared" si="80"/>
        <v/>
      </c>
      <c r="M1049" t="str">
        <f t="shared" si="81"/>
        <v/>
      </c>
      <c r="N1049" t="str">
        <f t="shared" si="82"/>
        <v/>
      </c>
      <c r="O1049" t="str">
        <f t="shared" si="83"/>
        <v/>
      </c>
    </row>
    <row r="1050" spans="11:15" x14ac:dyDescent="0.3">
      <c r="K1050" t="str">
        <f t="shared" si="84"/>
        <v/>
      </c>
      <c r="L1050" t="str">
        <f t="shared" si="80"/>
        <v/>
      </c>
      <c r="M1050" t="str">
        <f t="shared" si="81"/>
        <v/>
      </c>
      <c r="N1050" t="str">
        <f t="shared" si="82"/>
        <v/>
      </c>
      <c r="O1050" t="str">
        <f t="shared" si="83"/>
        <v/>
      </c>
    </row>
    <row r="1051" spans="11:15" x14ac:dyDescent="0.3">
      <c r="K1051" t="str">
        <f t="shared" si="84"/>
        <v/>
      </c>
      <c r="L1051" t="str">
        <f t="shared" si="80"/>
        <v/>
      </c>
      <c r="M1051" t="str">
        <f t="shared" si="81"/>
        <v/>
      </c>
      <c r="N1051" t="str">
        <f t="shared" si="82"/>
        <v/>
      </c>
      <c r="O1051" t="str">
        <f t="shared" si="83"/>
        <v/>
      </c>
    </row>
    <row r="1052" spans="11:15" x14ac:dyDescent="0.3">
      <c r="K1052" t="str">
        <f t="shared" si="84"/>
        <v/>
      </c>
      <c r="L1052" t="str">
        <f t="shared" si="80"/>
        <v/>
      </c>
      <c r="M1052" t="str">
        <f t="shared" si="81"/>
        <v/>
      </c>
      <c r="N1052" t="str">
        <f t="shared" si="82"/>
        <v/>
      </c>
      <c r="O1052" t="str">
        <f t="shared" si="83"/>
        <v/>
      </c>
    </row>
    <row r="1053" spans="11:15" x14ac:dyDescent="0.3">
      <c r="K1053" t="str">
        <f t="shared" si="84"/>
        <v/>
      </c>
      <c r="L1053" t="str">
        <f t="shared" si="80"/>
        <v/>
      </c>
      <c r="M1053" t="str">
        <f t="shared" si="81"/>
        <v/>
      </c>
      <c r="N1053" t="str">
        <f t="shared" si="82"/>
        <v/>
      </c>
      <c r="O1053" t="str">
        <f t="shared" si="83"/>
        <v/>
      </c>
    </row>
    <row r="1054" spans="11:15" x14ac:dyDescent="0.3">
      <c r="K1054" t="str">
        <f t="shared" si="84"/>
        <v/>
      </c>
      <c r="L1054" t="str">
        <f t="shared" si="80"/>
        <v/>
      </c>
      <c r="M1054" t="str">
        <f t="shared" si="81"/>
        <v/>
      </c>
      <c r="N1054" t="str">
        <f t="shared" si="82"/>
        <v/>
      </c>
      <c r="O1054" t="str">
        <f t="shared" si="83"/>
        <v/>
      </c>
    </row>
    <row r="1055" spans="11:15" x14ac:dyDescent="0.3">
      <c r="K1055" t="str">
        <f t="shared" si="84"/>
        <v/>
      </c>
      <c r="L1055" t="str">
        <f t="shared" si="80"/>
        <v/>
      </c>
      <c r="M1055" t="str">
        <f t="shared" si="81"/>
        <v/>
      </c>
      <c r="N1055" t="str">
        <f t="shared" si="82"/>
        <v/>
      </c>
      <c r="O1055" t="str">
        <f t="shared" si="83"/>
        <v/>
      </c>
    </row>
    <row r="1056" spans="11:15" x14ac:dyDescent="0.3">
      <c r="K1056" t="str">
        <f t="shared" si="84"/>
        <v/>
      </c>
      <c r="L1056" t="str">
        <f t="shared" si="80"/>
        <v/>
      </c>
      <c r="M1056" t="str">
        <f t="shared" si="81"/>
        <v/>
      </c>
      <c r="N1056" t="str">
        <f t="shared" si="82"/>
        <v/>
      </c>
      <c r="O1056" t="str">
        <f t="shared" si="83"/>
        <v/>
      </c>
    </row>
    <row r="1057" spans="11:15" x14ac:dyDescent="0.3">
      <c r="K1057" t="str">
        <f t="shared" si="84"/>
        <v/>
      </c>
      <c r="L1057" t="str">
        <f t="shared" si="80"/>
        <v/>
      </c>
      <c r="M1057" t="str">
        <f t="shared" si="81"/>
        <v/>
      </c>
      <c r="N1057" t="str">
        <f t="shared" si="82"/>
        <v/>
      </c>
      <c r="O1057" t="str">
        <f t="shared" si="83"/>
        <v/>
      </c>
    </row>
    <row r="1058" spans="11:15" x14ac:dyDescent="0.3">
      <c r="K1058" t="str">
        <f t="shared" si="84"/>
        <v/>
      </c>
      <c r="L1058" t="str">
        <f t="shared" si="80"/>
        <v/>
      </c>
      <c r="M1058" t="str">
        <f t="shared" si="81"/>
        <v/>
      </c>
      <c r="N1058" t="str">
        <f t="shared" si="82"/>
        <v/>
      </c>
      <c r="O1058" t="str">
        <f t="shared" si="83"/>
        <v/>
      </c>
    </row>
    <row r="1059" spans="11:15" x14ac:dyDescent="0.3">
      <c r="K1059" t="str">
        <f t="shared" si="84"/>
        <v/>
      </c>
      <c r="L1059" t="str">
        <f t="shared" si="80"/>
        <v/>
      </c>
      <c r="M1059" t="str">
        <f t="shared" si="81"/>
        <v/>
      </c>
      <c r="N1059" t="str">
        <f t="shared" si="82"/>
        <v/>
      </c>
      <c r="O1059" t="str">
        <f t="shared" si="83"/>
        <v/>
      </c>
    </row>
    <row r="1060" spans="11:15" x14ac:dyDescent="0.3">
      <c r="K1060" t="str">
        <f t="shared" si="84"/>
        <v/>
      </c>
      <c r="L1060" t="str">
        <f t="shared" si="80"/>
        <v/>
      </c>
      <c r="M1060" t="str">
        <f t="shared" si="81"/>
        <v/>
      </c>
      <c r="N1060" t="str">
        <f t="shared" si="82"/>
        <v/>
      </c>
      <c r="O1060" t="str">
        <f t="shared" si="83"/>
        <v/>
      </c>
    </row>
    <row r="1061" spans="11:15" x14ac:dyDescent="0.3">
      <c r="K1061" t="str">
        <f t="shared" si="84"/>
        <v/>
      </c>
      <c r="L1061" t="str">
        <f t="shared" si="80"/>
        <v/>
      </c>
      <c r="M1061" t="str">
        <f t="shared" si="81"/>
        <v/>
      </c>
      <c r="N1061" t="str">
        <f t="shared" si="82"/>
        <v/>
      </c>
      <c r="O1061" t="str">
        <f t="shared" si="83"/>
        <v/>
      </c>
    </row>
    <row r="1062" spans="11:15" x14ac:dyDescent="0.3">
      <c r="K1062" t="str">
        <f t="shared" si="84"/>
        <v/>
      </c>
      <c r="L1062" t="str">
        <f t="shared" si="80"/>
        <v/>
      </c>
      <c r="M1062" t="str">
        <f t="shared" si="81"/>
        <v/>
      </c>
      <c r="N1062" t="str">
        <f t="shared" si="82"/>
        <v/>
      </c>
      <c r="O1062" t="str">
        <f t="shared" si="83"/>
        <v/>
      </c>
    </row>
    <row r="1063" spans="11:15" x14ac:dyDescent="0.3">
      <c r="K1063" t="str">
        <f t="shared" si="84"/>
        <v/>
      </c>
      <c r="L1063" t="str">
        <f t="shared" si="80"/>
        <v/>
      </c>
      <c r="M1063" t="str">
        <f t="shared" si="81"/>
        <v/>
      </c>
      <c r="N1063" t="str">
        <f t="shared" si="82"/>
        <v/>
      </c>
      <c r="O1063" t="str">
        <f t="shared" si="83"/>
        <v/>
      </c>
    </row>
    <row r="1064" spans="11:15" x14ac:dyDescent="0.3">
      <c r="K1064" t="str">
        <f t="shared" si="84"/>
        <v/>
      </c>
      <c r="L1064" t="str">
        <f t="shared" si="80"/>
        <v/>
      </c>
      <c r="M1064" t="str">
        <f t="shared" si="81"/>
        <v/>
      </c>
      <c r="N1064" t="str">
        <f t="shared" si="82"/>
        <v/>
      </c>
      <c r="O1064" t="str">
        <f t="shared" si="83"/>
        <v/>
      </c>
    </row>
    <row r="1065" spans="11:15" x14ac:dyDescent="0.3">
      <c r="K1065" t="str">
        <f t="shared" si="84"/>
        <v/>
      </c>
      <c r="L1065" t="str">
        <f t="shared" si="80"/>
        <v/>
      </c>
      <c r="M1065" t="str">
        <f t="shared" si="81"/>
        <v/>
      </c>
      <c r="N1065" t="str">
        <f t="shared" si="82"/>
        <v/>
      </c>
      <c r="O1065" t="str">
        <f t="shared" si="83"/>
        <v/>
      </c>
    </row>
    <row r="1066" spans="11:15" x14ac:dyDescent="0.3">
      <c r="K1066" t="str">
        <f t="shared" si="84"/>
        <v/>
      </c>
      <c r="L1066" t="str">
        <f t="shared" si="80"/>
        <v/>
      </c>
      <c r="M1066" t="str">
        <f t="shared" si="81"/>
        <v/>
      </c>
      <c r="N1066" t="str">
        <f t="shared" si="82"/>
        <v/>
      </c>
      <c r="O1066" t="str">
        <f t="shared" si="83"/>
        <v/>
      </c>
    </row>
    <row r="1067" spans="11:15" x14ac:dyDescent="0.3">
      <c r="K1067" t="str">
        <f t="shared" si="84"/>
        <v/>
      </c>
      <c r="L1067" t="str">
        <f t="shared" si="80"/>
        <v/>
      </c>
      <c r="M1067" t="str">
        <f t="shared" si="81"/>
        <v/>
      </c>
      <c r="N1067" t="str">
        <f t="shared" si="82"/>
        <v/>
      </c>
      <c r="O1067" t="str">
        <f t="shared" si="83"/>
        <v/>
      </c>
    </row>
    <row r="1068" spans="11:15" x14ac:dyDescent="0.3">
      <c r="K1068" t="str">
        <f t="shared" si="84"/>
        <v/>
      </c>
      <c r="L1068" t="str">
        <f t="shared" si="80"/>
        <v/>
      </c>
      <c r="M1068" t="str">
        <f t="shared" si="81"/>
        <v/>
      </c>
      <c r="N1068" t="str">
        <f t="shared" si="82"/>
        <v/>
      </c>
      <c r="O1068" t="str">
        <f t="shared" si="83"/>
        <v/>
      </c>
    </row>
    <row r="1069" spans="11:15" x14ac:dyDescent="0.3">
      <c r="K1069" t="str">
        <f t="shared" si="84"/>
        <v/>
      </c>
      <c r="L1069" t="str">
        <f t="shared" si="80"/>
        <v/>
      </c>
      <c r="M1069" t="str">
        <f t="shared" si="81"/>
        <v/>
      </c>
      <c r="N1069" t="str">
        <f t="shared" si="82"/>
        <v/>
      </c>
      <c r="O1069" t="str">
        <f t="shared" si="83"/>
        <v/>
      </c>
    </row>
    <row r="1070" spans="11:15" x14ac:dyDescent="0.3">
      <c r="K1070" t="str">
        <f t="shared" si="84"/>
        <v/>
      </c>
      <c r="L1070" t="str">
        <f t="shared" si="80"/>
        <v/>
      </c>
      <c r="M1070" t="str">
        <f t="shared" si="81"/>
        <v/>
      </c>
      <c r="N1070" t="str">
        <f t="shared" si="82"/>
        <v/>
      </c>
      <c r="O1070" t="str">
        <f t="shared" si="83"/>
        <v/>
      </c>
    </row>
    <row r="1071" spans="11:15" x14ac:dyDescent="0.3">
      <c r="K1071" t="str">
        <f t="shared" si="84"/>
        <v/>
      </c>
      <c r="L1071" t="str">
        <f t="shared" si="80"/>
        <v/>
      </c>
      <c r="M1071" t="str">
        <f t="shared" si="81"/>
        <v/>
      </c>
      <c r="N1071" t="str">
        <f t="shared" si="82"/>
        <v/>
      </c>
      <c r="O1071" t="str">
        <f t="shared" si="83"/>
        <v/>
      </c>
    </row>
    <row r="1072" spans="11:15" x14ac:dyDescent="0.3">
      <c r="K1072" t="str">
        <f t="shared" si="84"/>
        <v/>
      </c>
      <c r="L1072" t="str">
        <f t="shared" si="80"/>
        <v/>
      </c>
      <c r="M1072" t="str">
        <f t="shared" si="81"/>
        <v/>
      </c>
      <c r="N1072" t="str">
        <f t="shared" si="82"/>
        <v/>
      </c>
      <c r="O1072" t="str">
        <f t="shared" si="83"/>
        <v/>
      </c>
    </row>
    <row r="1073" spans="11:15" x14ac:dyDescent="0.3">
      <c r="K1073" t="str">
        <f t="shared" si="84"/>
        <v/>
      </c>
      <c r="L1073" t="str">
        <f t="shared" si="80"/>
        <v/>
      </c>
      <c r="M1073" t="str">
        <f t="shared" si="81"/>
        <v/>
      </c>
      <c r="N1073" t="str">
        <f t="shared" si="82"/>
        <v/>
      </c>
      <c r="O1073" t="str">
        <f t="shared" si="83"/>
        <v/>
      </c>
    </row>
    <row r="1074" spans="11:15" x14ac:dyDescent="0.3">
      <c r="K1074" t="str">
        <f t="shared" si="84"/>
        <v/>
      </c>
      <c r="L1074" t="str">
        <f t="shared" si="80"/>
        <v/>
      </c>
      <c r="M1074" t="str">
        <f t="shared" si="81"/>
        <v/>
      </c>
      <c r="N1074" t="str">
        <f t="shared" si="82"/>
        <v/>
      </c>
      <c r="O1074" t="str">
        <f t="shared" si="83"/>
        <v/>
      </c>
    </row>
    <row r="1075" spans="11:15" x14ac:dyDescent="0.3">
      <c r="K1075" t="str">
        <f t="shared" si="84"/>
        <v/>
      </c>
      <c r="L1075" t="str">
        <f t="shared" si="80"/>
        <v/>
      </c>
      <c r="M1075" t="str">
        <f t="shared" si="81"/>
        <v/>
      </c>
      <c r="N1075" t="str">
        <f t="shared" si="82"/>
        <v/>
      </c>
      <c r="O1075" t="str">
        <f t="shared" si="83"/>
        <v/>
      </c>
    </row>
    <row r="1076" spans="11:15" x14ac:dyDescent="0.3">
      <c r="K1076" t="str">
        <f t="shared" si="84"/>
        <v/>
      </c>
      <c r="L1076" t="str">
        <f t="shared" si="80"/>
        <v/>
      </c>
      <c r="M1076" t="str">
        <f t="shared" si="81"/>
        <v/>
      </c>
      <c r="N1076" t="str">
        <f t="shared" si="82"/>
        <v/>
      </c>
      <c r="O1076" t="str">
        <f t="shared" si="83"/>
        <v/>
      </c>
    </row>
    <row r="1077" spans="11:15" x14ac:dyDescent="0.3">
      <c r="K1077" t="str">
        <f t="shared" si="84"/>
        <v/>
      </c>
      <c r="L1077" t="str">
        <f t="shared" si="80"/>
        <v/>
      </c>
      <c r="M1077" t="str">
        <f t="shared" si="81"/>
        <v/>
      </c>
      <c r="N1077" t="str">
        <f t="shared" si="82"/>
        <v/>
      </c>
      <c r="O1077" t="str">
        <f t="shared" si="83"/>
        <v/>
      </c>
    </row>
    <row r="1078" spans="11:15" x14ac:dyDescent="0.3">
      <c r="K1078" t="str">
        <f t="shared" si="84"/>
        <v/>
      </c>
      <c r="L1078" t="str">
        <f t="shared" si="80"/>
        <v/>
      </c>
      <c r="M1078" t="str">
        <f t="shared" si="81"/>
        <v/>
      </c>
      <c r="N1078" t="str">
        <f t="shared" si="82"/>
        <v/>
      </c>
      <c r="O1078" t="str">
        <f t="shared" si="83"/>
        <v/>
      </c>
    </row>
    <row r="1079" spans="11:15" x14ac:dyDescent="0.3">
      <c r="K1079" t="str">
        <f t="shared" si="84"/>
        <v/>
      </c>
      <c r="L1079" t="str">
        <f t="shared" si="80"/>
        <v/>
      </c>
      <c r="M1079" t="str">
        <f t="shared" si="81"/>
        <v/>
      </c>
      <c r="N1079" t="str">
        <f t="shared" si="82"/>
        <v/>
      </c>
      <c r="O1079" t="str">
        <f t="shared" si="83"/>
        <v/>
      </c>
    </row>
    <row r="1080" spans="11:15" x14ac:dyDescent="0.3">
      <c r="K1080" t="str">
        <f t="shared" si="84"/>
        <v/>
      </c>
      <c r="L1080" t="str">
        <f t="shared" si="80"/>
        <v/>
      </c>
      <c r="M1080" t="str">
        <f t="shared" si="81"/>
        <v/>
      </c>
      <c r="N1080" t="str">
        <f t="shared" si="82"/>
        <v/>
      </c>
      <c r="O1080" t="str">
        <f t="shared" si="83"/>
        <v/>
      </c>
    </row>
    <row r="1081" spans="11:15" x14ac:dyDescent="0.3">
      <c r="K1081" t="str">
        <f t="shared" si="84"/>
        <v/>
      </c>
      <c r="L1081" t="str">
        <f t="shared" si="80"/>
        <v/>
      </c>
      <c r="M1081" t="str">
        <f t="shared" si="81"/>
        <v/>
      </c>
      <c r="N1081" t="str">
        <f t="shared" si="82"/>
        <v/>
      </c>
      <c r="O1081" t="str">
        <f t="shared" si="83"/>
        <v/>
      </c>
    </row>
    <row r="1082" spans="11:15" x14ac:dyDescent="0.3">
      <c r="K1082" t="str">
        <f t="shared" si="84"/>
        <v/>
      </c>
      <c r="L1082" t="str">
        <f t="shared" si="80"/>
        <v/>
      </c>
      <c r="M1082" t="str">
        <f t="shared" si="81"/>
        <v/>
      </c>
      <c r="N1082" t="str">
        <f t="shared" si="82"/>
        <v/>
      </c>
      <c r="O1082" t="str">
        <f t="shared" si="83"/>
        <v/>
      </c>
    </row>
    <row r="1083" spans="11:15" x14ac:dyDescent="0.3">
      <c r="K1083" t="str">
        <f t="shared" si="84"/>
        <v/>
      </c>
      <c r="L1083" t="str">
        <f t="shared" si="80"/>
        <v/>
      </c>
      <c r="M1083" t="str">
        <f t="shared" si="81"/>
        <v/>
      </c>
      <c r="N1083" t="str">
        <f t="shared" si="82"/>
        <v/>
      </c>
      <c r="O1083" t="str">
        <f t="shared" si="83"/>
        <v/>
      </c>
    </row>
    <row r="1084" spans="11:15" x14ac:dyDescent="0.3">
      <c r="K1084" t="str">
        <f t="shared" si="84"/>
        <v/>
      </c>
      <c r="L1084" t="str">
        <f t="shared" si="80"/>
        <v/>
      </c>
      <c r="M1084" t="str">
        <f t="shared" si="81"/>
        <v/>
      </c>
      <c r="N1084" t="str">
        <f t="shared" si="82"/>
        <v/>
      </c>
      <c r="O1084" t="str">
        <f t="shared" si="83"/>
        <v/>
      </c>
    </row>
    <row r="1085" spans="11:15" x14ac:dyDescent="0.3">
      <c r="K1085" t="str">
        <f t="shared" si="84"/>
        <v/>
      </c>
      <c r="L1085" t="str">
        <f t="shared" si="80"/>
        <v/>
      </c>
      <c r="M1085" t="str">
        <f t="shared" si="81"/>
        <v/>
      </c>
      <c r="N1085" t="str">
        <f t="shared" si="82"/>
        <v/>
      </c>
      <c r="O1085" t="str">
        <f t="shared" si="83"/>
        <v/>
      </c>
    </row>
    <row r="1086" spans="11:15" x14ac:dyDescent="0.3">
      <c r="K1086" t="str">
        <f t="shared" si="84"/>
        <v/>
      </c>
      <c r="L1086" t="str">
        <f t="shared" si="80"/>
        <v/>
      </c>
      <c r="M1086" t="str">
        <f t="shared" si="81"/>
        <v/>
      </c>
      <c r="N1086" t="str">
        <f t="shared" si="82"/>
        <v/>
      </c>
      <c r="O1086" t="str">
        <f t="shared" si="83"/>
        <v/>
      </c>
    </row>
    <row r="1087" spans="11:15" x14ac:dyDescent="0.3">
      <c r="K1087" t="str">
        <f t="shared" si="84"/>
        <v/>
      </c>
      <c r="L1087" t="str">
        <f t="shared" si="80"/>
        <v/>
      </c>
      <c r="M1087" t="str">
        <f t="shared" si="81"/>
        <v/>
      </c>
      <c r="N1087" t="str">
        <f t="shared" si="82"/>
        <v/>
      </c>
      <c r="O1087" t="str">
        <f t="shared" si="83"/>
        <v/>
      </c>
    </row>
    <row r="1088" spans="11:15" x14ac:dyDescent="0.3">
      <c r="K1088" t="str">
        <f t="shared" si="84"/>
        <v/>
      </c>
      <c r="L1088" t="str">
        <f t="shared" si="80"/>
        <v/>
      </c>
      <c r="M1088" t="str">
        <f t="shared" si="81"/>
        <v/>
      </c>
      <c r="N1088" t="str">
        <f t="shared" si="82"/>
        <v/>
      </c>
      <c r="O1088" t="str">
        <f t="shared" si="83"/>
        <v/>
      </c>
    </row>
    <row r="1089" spans="11:15" x14ac:dyDescent="0.3">
      <c r="K1089" t="str">
        <f t="shared" si="84"/>
        <v/>
      </c>
      <c r="L1089" t="str">
        <f t="shared" ref="L1089:L1152" si="85">IF(A1089="","",IF(ISNUMBER(--LEFT(A1089,FIND(" - ",A1089&amp;" - ")-1)),LEFT(A1089,FIND(" - ",A1089&amp;" - ")-1),TRIM(A1089)))</f>
        <v/>
      </c>
      <c r="M1089" t="str">
        <f t="shared" ref="M1089:M1152" si="86">IF(OR(K1089="",K1089=A1089,A1089=""),"",K1089&amp;"|"&amp;L1089)</f>
        <v/>
      </c>
      <c r="N1089" t="str">
        <f t="shared" ref="N1089:N1152" si="87">IF(M1089="","",IF(ISNUMBER(B1089),B1089,IFERROR(_xlfn.NUMBERVALUE(B1089,".",","),0)))</f>
        <v/>
      </c>
      <c r="O1089" t="str">
        <f t="shared" ref="O1089:O1152" si="88">IF(M1089="","",IF(ISNUMBER(C1089),C1089,IFERROR(_xlfn.NUMBERVALUE(C1089,".",","),0)))</f>
        <v/>
      </c>
    </row>
    <row r="1090" spans="11:15" x14ac:dyDescent="0.3">
      <c r="K1090" t="str">
        <f t="shared" ref="K1090:K1153" si="89">IF(OR(LEFT(B1090,9)="DOANH THU",LEFT(B1090,8)="SỐ LƯỢNG"),A1090,K1089)</f>
        <v/>
      </c>
      <c r="L1090" t="str">
        <f t="shared" si="85"/>
        <v/>
      </c>
      <c r="M1090" t="str">
        <f t="shared" si="86"/>
        <v/>
      </c>
      <c r="N1090" t="str">
        <f t="shared" si="87"/>
        <v/>
      </c>
      <c r="O1090" t="str">
        <f t="shared" si="88"/>
        <v/>
      </c>
    </row>
    <row r="1091" spans="11:15" x14ac:dyDescent="0.3">
      <c r="K1091" t="str">
        <f t="shared" si="89"/>
        <v/>
      </c>
      <c r="L1091" t="str">
        <f t="shared" si="85"/>
        <v/>
      </c>
      <c r="M1091" t="str">
        <f t="shared" si="86"/>
        <v/>
      </c>
      <c r="N1091" t="str">
        <f t="shared" si="87"/>
        <v/>
      </c>
      <c r="O1091" t="str">
        <f t="shared" si="88"/>
        <v/>
      </c>
    </row>
    <row r="1092" spans="11:15" x14ac:dyDescent="0.3">
      <c r="K1092" t="str">
        <f t="shared" si="89"/>
        <v/>
      </c>
      <c r="L1092" t="str">
        <f t="shared" si="85"/>
        <v/>
      </c>
      <c r="M1092" t="str">
        <f t="shared" si="86"/>
        <v/>
      </c>
      <c r="N1092" t="str">
        <f t="shared" si="87"/>
        <v/>
      </c>
      <c r="O1092" t="str">
        <f t="shared" si="88"/>
        <v/>
      </c>
    </row>
    <row r="1093" spans="11:15" x14ac:dyDescent="0.3">
      <c r="K1093" t="str">
        <f t="shared" si="89"/>
        <v/>
      </c>
      <c r="L1093" t="str">
        <f t="shared" si="85"/>
        <v/>
      </c>
      <c r="M1093" t="str">
        <f t="shared" si="86"/>
        <v/>
      </c>
      <c r="N1093" t="str">
        <f t="shared" si="87"/>
        <v/>
      </c>
      <c r="O1093" t="str">
        <f t="shared" si="88"/>
        <v/>
      </c>
    </row>
    <row r="1094" spans="11:15" x14ac:dyDescent="0.3">
      <c r="K1094" t="str">
        <f t="shared" si="89"/>
        <v/>
      </c>
      <c r="L1094" t="str">
        <f t="shared" si="85"/>
        <v/>
      </c>
      <c r="M1094" t="str">
        <f t="shared" si="86"/>
        <v/>
      </c>
      <c r="N1094" t="str">
        <f t="shared" si="87"/>
        <v/>
      </c>
      <c r="O1094" t="str">
        <f t="shared" si="88"/>
        <v/>
      </c>
    </row>
    <row r="1095" spans="11:15" x14ac:dyDescent="0.3">
      <c r="K1095" t="str">
        <f t="shared" si="89"/>
        <v/>
      </c>
      <c r="L1095" t="str">
        <f t="shared" si="85"/>
        <v/>
      </c>
      <c r="M1095" t="str">
        <f t="shared" si="86"/>
        <v/>
      </c>
      <c r="N1095" t="str">
        <f t="shared" si="87"/>
        <v/>
      </c>
      <c r="O1095" t="str">
        <f t="shared" si="88"/>
        <v/>
      </c>
    </row>
    <row r="1096" spans="11:15" x14ac:dyDescent="0.3">
      <c r="K1096" t="str">
        <f t="shared" si="89"/>
        <v/>
      </c>
      <c r="L1096" t="str">
        <f t="shared" si="85"/>
        <v/>
      </c>
      <c r="M1096" t="str">
        <f t="shared" si="86"/>
        <v/>
      </c>
      <c r="N1096" t="str">
        <f t="shared" si="87"/>
        <v/>
      </c>
      <c r="O1096" t="str">
        <f t="shared" si="88"/>
        <v/>
      </c>
    </row>
    <row r="1097" spans="11:15" x14ac:dyDescent="0.3">
      <c r="K1097" t="str">
        <f t="shared" si="89"/>
        <v/>
      </c>
      <c r="L1097" t="str">
        <f t="shared" si="85"/>
        <v/>
      </c>
      <c r="M1097" t="str">
        <f t="shared" si="86"/>
        <v/>
      </c>
      <c r="N1097" t="str">
        <f t="shared" si="87"/>
        <v/>
      </c>
      <c r="O1097" t="str">
        <f t="shared" si="88"/>
        <v/>
      </c>
    </row>
    <row r="1098" spans="11:15" x14ac:dyDescent="0.3">
      <c r="K1098" t="str">
        <f t="shared" si="89"/>
        <v/>
      </c>
      <c r="L1098" t="str">
        <f t="shared" si="85"/>
        <v/>
      </c>
      <c r="M1098" t="str">
        <f t="shared" si="86"/>
        <v/>
      </c>
      <c r="N1098" t="str">
        <f t="shared" si="87"/>
        <v/>
      </c>
      <c r="O1098" t="str">
        <f t="shared" si="88"/>
        <v/>
      </c>
    </row>
    <row r="1099" spans="11:15" x14ac:dyDescent="0.3">
      <c r="K1099" t="str">
        <f t="shared" si="89"/>
        <v/>
      </c>
      <c r="L1099" t="str">
        <f t="shared" si="85"/>
        <v/>
      </c>
      <c r="M1099" t="str">
        <f t="shared" si="86"/>
        <v/>
      </c>
      <c r="N1099" t="str">
        <f t="shared" si="87"/>
        <v/>
      </c>
      <c r="O1099" t="str">
        <f t="shared" si="88"/>
        <v/>
      </c>
    </row>
    <row r="1100" spans="11:15" x14ac:dyDescent="0.3">
      <c r="K1100" t="str">
        <f t="shared" si="89"/>
        <v/>
      </c>
      <c r="L1100" t="str">
        <f t="shared" si="85"/>
        <v/>
      </c>
      <c r="M1100" t="str">
        <f t="shared" si="86"/>
        <v/>
      </c>
      <c r="N1100" t="str">
        <f t="shared" si="87"/>
        <v/>
      </c>
      <c r="O1100" t="str">
        <f t="shared" si="88"/>
        <v/>
      </c>
    </row>
    <row r="1101" spans="11:15" x14ac:dyDescent="0.3">
      <c r="K1101" t="str">
        <f t="shared" si="89"/>
        <v/>
      </c>
      <c r="L1101" t="str">
        <f t="shared" si="85"/>
        <v/>
      </c>
      <c r="M1101" t="str">
        <f t="shared" si="86"/>
        <v/>
      </c>
      <c r="N1101" t="str">
        <f t="shared" si="87"/>
        <v/>
      </c>
      <c r="O1101" t="str">
        <f t="shared" si="88"/>
        <v/>
      </c>
    </row>
    <row r="1102" spans="11:15" x14ac:dyDescent="0.3">
      <c r="K1102" t="str">
        <f t="shared" si="89"/>
        <v/>
      </c>
      <c r="L1102" t="str">
        <f t="shared" si="85"/>
        <v/>
      </c>
      <c r="M1102" t="str">
        <f t="shared" si="86"/>
        <v/>
      </c>
      <c r="N1102" t="str">
        <f t="shared" si="87"/>
        <v/>
      </c>
      <c r="O1102" t="str">
        <f t="shared" si="88"/>
        <v/>
      </c>
    </row>
    <row r="1103" spans="11:15" x14ac:dyDescent="0.3">
      <c r="K1103" t="str">
        <f t="shared" si="89"/>
        <v/>
      </c>
      <c r="L1103" t="str">
        <f t="shared" si="85"/>
        <v/>
      </c>
      <c r="M1103" t="str">
        <f t="shared" si="86"/>
        <v/>
      </c>
      <c r="N1103" t="str">
        <f t="shared" si="87"/>
        <v/>
      </c>
      <c r="O1103" t="str">
        <f t="shared" si="88"/>
        <v/>
      </c>
    </row>
    <row r="1104" spans="11:15" x14ac:dyDescent="0.3">
      <c r="K1104" t="str">
        <f t="shared" si="89"/>
        <v/>
      </c>
      <c r="L1104" t="str">
        <f t="shared" si="85"/>
        <v/>
      </c>
      <c r="M1104" t="str">
        <f t="shared" si="86"/>
        <v/>
      </c>
      <c r="N1104" t="str">
        <f t="shared" si="87"/>
        <v/>
      </c>
      <c r="O1104" t="str">
        <f t="shared" si="88"/>
        <v/>
      </c>
    </row>
    <row r="1105" spans="11:15" x14ac:dyDescent="0.3">
      <c r="K1105" t="str">
        <f t="shared" si="89"/>
        <v/>
      </c>
      <c r="L1105" t="str">
        <f t="shared" si="85"/>
        <v/>
      </c>
      <c r="M1105" t="str">
        <f t="shared" si="86"/>
        <v/>
      </c>
      <c r="N1105" t="str">
        <f t="shared" si="87"/>
        <v/>
      </c>
      <c r="O1105" t="str">
        <f t="shared" si="88"/>
        <v/>
      </c>
    </row>
    <row r="1106" spans="11:15" x14ac:dyDescent="0.3">
      <c r="K1106" t="str">
        <f t="shared" si="89"/>
        <v/>
      </c>
      <c r="L1106" t="str">
        <f t="shared" si="85"/>
        <v/>
      </c>
      <c r="M1106" t="str">
        <f t="shared" si="86"/>
        <v/>
      </c>
      <c r="N1106" t="str">
        <f t="shared" si="87"/>
        <v/>
      </c>
      <c r="O1106" t="str">
        <f t="shared" si="88"/>
        <v/>
      </c>
    </row>
    <row r="1107" spans="11:15" x14ac:dyDescent="0.3">
      <c r="K1107" t="str">
        <f t="shared" si="89"/>
        <v/>
      </c>
      <c r="L1107" t="str">
        <f t="shared" si="85"/>
        <v/>
      </c>
      <c r="M1107" t="str">
        <f t="shared" si="86"/>
        <v/>
      </c>
      <c r="N1107" t="str">
        <f t="shared" si="87"/>
        <v/>
      </c>
      <c r="O1107" t="str">
        <f t="shared" si="88"/>
        <v/>
      </c>
    </row>
    <row r="1108" spans="11:15" x14ac:dyDescent="0.3">
      <c r="K1108" t="str">
        <f t="shared" si="89"/>
        <v/>
      </c>
      <c r="L1108" t="str">
        <f t="shared" si="85"/>
        <v/>
      </c>
      <c r="M1108" t="str">
        <f t="shared" si="86"/>
        <v/>
      </c>
      <c r="N1108" t="str">
        <f t="shared" si="87"/>
        <v/>
      </c>
      <c r="O1108" t="str">
        <f t="shared" si="88"/>
        <v/>
      </c>
    </row>
    <row r="1109" spans="11:15" x14ac:dyDescent="0.3">
      <c r="K1109" t="str">
        <f t="shared" si="89"/>
        <v/>
      </c>
      <c r="L1109" t="str">
        <f t="shared" si="85"/>
        <v/>
      </c>
      <c r="M1109" t="str">
        <f t="shared" si="86"/>
        <v/>
      </c>
      <c r="N1109" t="str">
        <f t="shared" si="87"/>
        <v/>
      </c>
      <c r="O1109" t="str">
        <f t="shared" si="88"/>
        <v/>
      </c>
    </row>
    <row r="1110" spans="11:15" x14ac:dyDescent="0.3">
      <c r="K1110" t="str">
        <f t="shared" si="89"/>
        <v/>
      </c>
      <c r="L1110" t="str">
        <f t="shared" si="85"/>
        <v/>
      </c>
      <c r="M1110" t="str">
        <f t="shared" si="86"/>
        <v/>
      </c>
      <c r="N1110" t="str">
        <f t="shared" si="87"/>
        <v/>
      </c>
      <c r="O1110" t="str">
        <f t="shared" si="88"/>
        <v/>
      </c>
    </row>
    <row r="1111" spans="11:15" x14ac:dyDescent="0.3">
      <c r="K1111" t="str">
        <f t="shared" si="89"/>
        <v/>
      </c>
      <c r="L1111" t="str">
        <f t="shared" si="85"/>
        <v/>
      </c>
      <c r="M1111" t="str">
        <f t="shared" si="86"/>
        <v/>
      </c>
      <c r="N1111" t="str">
        <f t="shared" si="87"/>
        <v/>
      </c>
      <c r="O1111" t="str">
        <f t="shared" si="88"/>
        <v/>
      </c>
    </row>
    <row r="1112" spans="11:15" x14ac:dyDescent="0.3">
      <c r="K1112" t="str">
        <f t="shared" si="89"/>
        <v/>
      </c>
      <c r="L1112" t="str">
        <f t="shared" si="85"/>
        <v/>
      </c>
      <c r="M1112" t="str">
        <f t="shared" si="86"/>
        <v/>
      </c>
      <c r="N1112" t="str">
        <f t="shared" si="87"/>
        <v/>
      </c>
      <c r="O1112" t="str">
        <f t="shared" si="88"/>
        <v/>
      </c>
    </row>
    <row r="1113" spans="11:15" x14ac:dyDescent="0.3">
      <c r="K1113" t="str">
        <f t="shared" si="89"/>
        <v/>
      </c>
      <c r="L1113" t="str">
        <f t="shared" si="85"/>
        <v/>
      </c>
      <c r="M1113" t="str">
        <f t="shared" si="86"/>
        <v/>
      </c>
      <c r="N1113" t="str">
        <f t="shared" si="87"/>
        <v/>
      </c>
      <c r="O1113" t="str">
        <f t="shared" si="88"/>
        <v/>
      </c>
    </row>
    <row r="1114" spans="11:15" x14ac:dyDescent="0.3">
      <c r="K1114" t="str">
        <f t="shared" si="89"/>
        <v/>
      </c>
      <c r="L1114" t="str">
        <f t="shared" si="85"/>
        <v/>
      </c>
      <c r="M1114" t="str">
        <f t="shared" si="86"/>
        <v/>
      </c>
      <c r="N1114" t="str">
        <f t="shared" si="87"/>
        <v/>
      </c>
      <c r="O1114" t="str">
        <f t="shared" si="88"/>
        <v/>
      </c>
    </row>
    <row r="1115" spans="11:15" x14ac:dyDescent="0.3">
      <c r="K1115" t="str">
        <f t="shared" si="89"/>
        <v/>
      </c>
      <c r="L1115" t="str">
        <f t="shared" si="85"/>
        <v/>
      </c>
      <c r="M1115" t="str">
        <f t="shared" si="86"/>
        <v/>
      </c>
      <c r="N1115" t="str">
        <f t="shared" si="87"/>
        <v/>
      </c>
      <c r="O1115" t="str">
        <f t="shared" si="88"/>
        <v/>
      </c>
    </row>
    <row r="1116" spans="11:15" x14ac:dyDescent="0.3">
      <c r="K1116" t="str">
        <f t="shared" si="89"/>
        <v/>
      </c>
      <c r="L1116" t="str">
        <f t="shared" si="85"/>
        <v/>
      </c>
      <c r="M1116" t="str">
        <f t="shared" si="86"/>
        <v/>
      </c>
      <c r="N1116" t="str">
        <f t="shared" si="87"/>
        <v/>
      </c>
      <c r="O1116" t="str">
        <f t="shared" si="88"/>
        <v/>
      </c>
    </row>
    <row r="1117" spans="11:15" x14ac:dyDescent="0.3">
      <c r="K1117" t="str">
        <f t="shared" si="89"/>
        <v/>
      </c>
      <c r="L1117" t="str">
        <f t="shared" si="85"/>
        <v/>
      </c>
      <c r="M1117" t="str">
        <f t="shared" si="86"/>
        <v/>
      </c>
      <c r="N1117" t="str">
        <f t="shared" si="87"/>
        <v/>
      </c>
      <c r="O1117" t="str">
        <f t="shared" si="88"/>
        <v/>
      </c>
    </row>
    <row r="1118" spans="11:15" x14ac:dyDescent="0.3">
      <c r="K1118" t="str">
        <f t="shared" si="89"/>
        <v/>
      </c>
      <c r="L1118" t="str">
        <f t="shared" si="85"/>
        <v/>
      </c>
      <c r="M1118" t="str">
        <f t="shared" si="86"/>
        <v/>
      </c>
      <c r="N1118" t="str">
        <f t="shared" si="87"/>
        <v/>
      </c>
      <c r="O1118" t="str">
        <f t="shared" si="88"/>
        <v/>
      </c>
    </row>
    <row r="1119" spans="11:15" x14ac:dyDescent="0.3">
      <c r="K1119" t="str">
        <f t="shared" si="89"/>
        <v/>
      </c>
      <c r="L1119" t="str">
        <f t="shared" si="85"/>
        <v/>
      </c>
      <c r="M1119" t="str">
        <f t="shared" si="86"/>
        <v/>
      </c>
      <c r="N1119" t="str">
        <f t="shared" si="87"/>
        <v/>
      </c>
      <c r="O1119" t="str">
        <f t="shared" si="88"/>
        <v/>
      </c>
    </row>
    <row r="1120" spans="11:15" x14ac:dyDescent="0.3">
      <c r="K1120" t="str">
        <f t="shared" si="89"/>
        <v/>
      </c>
      <c r="L1120" t="str">
        <f t="shared" si="85"/>
        <v/>
      </c>
      <c r="M1120" t="str">
        <f t="shared" si="86"/>
        <v/>
      </c>
      <c r="N1120" t="str">
        <f t="shared" si="87"/>
        <v/>
      </c>
      <c r="O1120" t="str">
        <f t="shared" si="88"/>
        <v/>
      </c>
    </row>
    <row r="1121" spans="11:15" x14ac:dyDescent="0.3">
      <c r="K1121" t="str">
        <f t="shared" si="89"/>
        <v/>
      </c>
      <c r="L1121" t="str">
        <f t="shared" si="85"/>
        <v/>
      </c>
      <c r="M1121" t="str">
        <f t="shared" si="86"/>
        <v/>
      </c>
      <c r="N1121" t="str">
        <f t="shared" si="87"/>
        <v/>
      </c>
      <c r="O1121" t="str">
        <f t="shared" si="88"/>
        <v/>
      </c>
    </row>
    <row r="1122" spans="11:15" x14ac:dyDescent="0.3">
      <c r="K1122" t="str">
        <f t="shared" si="89"/>
        <v/>
      </c>
      <c r="L1122" t="str">
        <f t="shared" si="85"/>
        <v/>
      </c>
      <c r="M1122" t="str">
        <f t="shared" si="86"/>
        <v/>
      </c>
      <c r="N1122" t="str">
        <f t="shared" si="87"/>
        <v/>
      </c>
      <c r="O1122" t="str">
        <f t="shared" si="88"/>
        <v/>
      </c>
    </row>
    <row r="1123" spans="11:15" x14ac:dyDescent="0.3">
      <c r="K1123" t="str">
        <f t="shared" si="89"/>
        <v/>
      </c>
      <c r="L1123" t="str">
        <f t="shared" si="85"/>
        <v/>
      </c>
      <c r="M1123" t="str">
        <f t="shared" si="86"/>
        <v/>
      </c>
      <c r="N1123" t="str">
        <f t="shared" si="87"/>
        <v/>
      </c>
      <c r="O1123" t="str">
        <f t="shared" si="88"/>
        <v/>
      </c>
    </row>
    <row r="1124" spans="11:15" x14ac:dyDescent="0.3">
      <c r="K1124" t="str">
        <f t="shared" si="89"/>
        <v/>
      </c>
      <c r="L1124" t="str">
        <f t="shared" si="85"/>
        <v/>
      </c>
      <c r="M1124" t="str">
        <f t="shared" si="86"/>
        <v/>
      </c>
      <c r="N1124" t="str">
        <f t="shared" si="87"/>
        <v/>
      </c>
      <c r="O1124" t="str">
        <f t="shared" si="88"/>
        <v/>
      </c>
    </row>
    <row r="1125" spans="11:15" x14ac:dyDescent="0.3">
      <c r="K1125" t="str">
        <f t="shared" si="89"/>
        <v/>
      </c>
      <c r="L1125" t="str">
        <f t="shared" si="85"/>
        <v/>
      </c>
      <c r="M1125" t="str">
        <f t="shared" si="86"/>
        <v/>
      </c>
      <c r="N1125" t="str">
        <f t="shared" si="87"/>
        <v/>
      </c>
      <c r="O1125" t="str">
        <f t="shared" si="88"/>
        <v/>
      </c>
    </row>
    <row r="1126" spans="11:15" x14ac:dyDescent="0.3">
      <c r="K1126" t="str">
        <f t="shared" si="89"/>
        <v/>
      </c>
      <c r="L1126" t="str">
        <f t="shared" si="85"/>
        <v/>
      </c>
      <c r="M1126" t="str">
        <f t="shared" si="86"/>
        <v/>
      </c>
      <c r="N1126" t="str">
        <f t="shared" si="87"/>
        <v/>
      </c>
      <c r="O1126" t="str">
        <f t="shared" si="88"/>
        <v/>
      </c>
    </row>
    <row r="1127" spans="11:15" x14ac:dyDescent="0.3">
      <c r="K1127" t="str">
        <f t="shared" si="89"/>
        <v/>
      </c>
      <c r="L1127" t="str">
        <f t="shared" si="85"/>
        <v/>
      </c>
      <c r="M1127" t="str">
        <f t="shared" si="86"/>
        <v/>
      </c>
      <c r="N1127" t="str">
        <f t="shared" si="87"/>
        <v/>
      </c>
      <c r="O1127" t="str">
        <f t="shared" si="88"/>
        <v/>
      </c>
    </row>
    <row r="1128" spans="11:15" x14ac:dyDescent="0.3">
      <c r="K1128" t="str">
        <f t="shared" si="89"/>
        <v/>
      </c>
      <c r="L1128" t="str">
        <f t="shared" si="85"/>
        <v/>
      </c>
      <c r="M1128" t="str">
        <f t="shared" si="86"/>
        <v/>
      </c>
      <c r="N1128" t="str">
        <f t="shared" si="87"/>
        <v/>
      </c>
      <c r="O1128" t="str">
        <f t="shared" si="88"/>
        <v/>
      </c>
    </row>
    <row r="1129" spans="11:15" x14ac:dyDescent="0.3">
      <c r="K1129" t="str">
        <f t="shared" si="89"/>
        <v/>
      </c>
      <c r="L1129" t="str">
        <f t="shared" si="85"/>
        <v/>
      </c>
      <c r="M1129" t="str">
        <f t="shared" si="86"/>
        <v/>
      </c>
      <c r="N1129" t="str">
        <f t="shared" si="87"/>
        <v/>
      </c>
      <c r="O1129" t="str">
        <f t="shared" si="88"/>
        <v/>
      </c>
    </row>
    <row r="1130" spans="11:15" x14ac:dyDescent="0.3">
      <c r="K1130" t="str">
        <f t="shared" si="89"/>
        <v/>
      </c>
      <c r="L1130" t="str">
        <f t="shared" si="85"/>
        <v/>
      </c>
      <c r="M1130" t="str">
        <f t="shared" si="86"/>
        <v/>
      </c>
      <c r="N1130" t="str">
        <f t="shared" si="87"/>
        <v/>
      </c>
      <c r="O1130" t="str">
        <f t="shared" si="88"/>
        <v/>
      </c>
    </row>
    <row r="1131" spans="11:15" x14ac:dyDescent="0.3">
      <c r="K1131" t="str">
        <f t="shared" si="89"/>
        <v/>
      </c>
      <c r="L1131" t="str">
        <f t="shared" si="85"/>
        <v/>
      </c>
      <c r="M1131" t="str">
        <f t="shared" si="86"/>
        <v/>
      </c>
      <c r="N1131" t="str">
        <f t="shared" si="87"/>
        <v/>
      </c>
      <c r="O1131" t="str">
        <f t="shared" si="88"/>
        <v/>
      </c>
    </row>
    <row r="1132" spans="11:15" x14ac:dyDescent="0.3">
      <c r="K1132" t="str">
        <f t="shared" si="89"/>
        <v/>
      </c>
      <c r="L1132" t="str">
        <f t="shared" si="85"/>
        <v/>
      </c>
      <c r="M1132" t="str">
        <f t="shared" si="86"/>
        <v/>
      </c>
      <c r="N1132" t="str">
        <f t="shared" si="87"/>
        <v/>
      </c>
      <c r="O1132" t="str">
        <f t="shared" si="88"/>
        <v/>
      </c>
    </row>
    <row r="1133" spans="11:15" x14ac:dyDescent="0.3">
      <c r="K1133" t="str">
        <f t="shared" si="89"/>
        <v/>
      </c>
      <c r="L1133" t="str">
        <f t="shared" si="85"/>
        <v/>
      </c>
      <c r="M1133" t="str">
        <f t="shared" si="86"/>
        <v/>
      </c>
      <c r="N1133" t="str">
        <f t="shared" si="87"/>
        <v/>
      </c>
      <c r="O1133" t="str">
        <f t="shared" si="88"/>
        <v/>
      </c>
    </row>
    <row r="1134" spans="11:15" x14ac:dyDescent="0.3">
      <c r="K1134" t="str">
        <f t="shared" si="89"/>
        <v/>
      </c>
      <c r="L1134" t="str">
        <f t="shared" si="85"/>
        <v/>
      </c>
      <c r="M1134" t="str">
        <f t="shared" si="86"/>
        <v/>
      </c>
      <c r="N1134" t="str">
        <f t="shared" si="87"/>
        <v/>
      </c>
      <c r="O1134" t="str">
        <f t="shared" si="88"/>
        <v/>
      </c>
    </row>
    <row r="1135" spans="11:15" x14ac:dyDescent="0.3">
      <c r="K1135" t="str">
        <f t="shared" si="89"/>
        <v/>
      </c>
      <c r="L1135" t="str">
        <f t="shared" si="85"/>
        <v/>
      </c>
      <c r="M1135" t="str">
        <f t="shared" si="86"/>
        <v/>
      </c>
      <c r="N1135" t="str">
        <f t="shared" si="87"/>
        <v/>
      </c>
      <c r="O1135" t="str">
        <f t="shared" si="88"/>
        <v/>
      </c>
    </row>
    <row r="1136" spans="11:15" x14ac:dyDescent="0.3">
      <c r="K1136" t="str">
        <f t="shared" si="89"/>
        <v/>
      </c>
      <c r="L1136" t="str">
        <f t="shared" si="85"/>
        <v/>
      </c>
      <c r="M1136" t="str">
        <f t="shared" si="86"/>
        <v/>
      </c>
      <c r="N1136" t="str">
        <f t="shared" si="87"/>
        <v/>
      </c>
      <c r="O1136" t="str">
        <f t="shared" si="88"/>
        <v/>
      </c>
    </row>
    <row r="1137" spans="11:15" x14ac:dyDescent="0.3">
      <c r="K1137" t="str">
        <f t="shared" si="89"/>
        <v/>
      </c>
      <c r="L1137" t="str">
        <f t="shared" si="85"/>
        <v/>
      </c>
      <c r="M1137" t="str">
        <f t="shared" si="86"/>
        <v/>
      </c>
      <c r="N1137" t="str">
        <f t="shared" si="87"/>
        <v/>
      </c>
      <c r="O1137" t="str">
        <f t="shared" si="88"/>
        <v/>
      </c>
    </row>
    <row r="1138" spans="11:15" x14ac:dyDescent="0.3">
      <c r="K1138" t="str">
        <f t="shared" si="89"/>
        <v/>
      </c>
      <c r="L1138" t="str">
        <f t="shared" si="85"/>
        <v/>
      </c>
      <c r="M1138" t="str">
        <f t="shared" si="86"/>
        <v/>
      </c>
      <c r="N1138" t="str">
        <f t="shared" si="87"/>
        <v/>
      </c>
      <c r="O1138" t="str">
        <f t="shared" si="88"/>
        <v/>
      </c>
    </row>
    <row r="1139" spans="11:15" x14ac:dyDescent="0.3">
      <c r="K1139" t="str">
        <f t="shared" si="89"/>
        <v/>
      </c>
      <c r="L1139" t="str">
        <f t="shared" si="85"/>
        <v/>
      </c>
      <c r="M1139" t="str">
        <f t="shared" si="86"/>
        <v/>
      </c>
      <c r="N1139" t="str">
        <f t="shared" si="87"/>
        <v/>
      </c>
      <c r="O1139" t="str">
        <f t="shared" si="88"/>
        <v/>
      </c>
    </row>
    <row r="1140" spans="11:15" x14ac:dyDescent="0.3">
      <c r="K1140" t="str">
        <f t="shared" si="89"/>
        <v/>
      </c>
      <c r="L1140" t="str">
        <f t="shared" si="85"/>
        <v/>
      </c>
      <c r="M1140" t="str">
        <f t="shared" si="86"/>
        <v/>
      </c>
      <c r="N1140" t="str">
        <f t="shared" si="87"/>
        <v/>
      </c>
      <c r="O1140" t="str">
        <f t="shared" si="88"/>
        <v/>
      </c>
    </row>
    <row r="1141" spans="11:15" x14ac:dyDescent="0.3">
      <c r="K1141" t="str">
        <f t="shared" si="89"/>
        <v/>
      </c>
      <c r="L1141" t="str">
        <f t="shared" si="85"/>
        <v/>
      </c>
      <c r="M1141" t="str">
        <f t="shared" si="86"/>
        <v/>
      </c>
      <c r="N1141" t="str">
        <f t="shared" si="87"/>
        <v/>
      </c>
      <c r="O1141" t="str">
        <f t="shared" si="88"/>
        <v/>
      </c>
    </row>
    <row r="1142" spans="11:15" x14ac:dyDescent="0.3">
      <c r="K1142" t="str">
        <f t="shared" si="89"/>
        <v/>
      </c>
      <c r="L1142" t="str">
        <f t="shared" si="85"/>
        <v/>
      </c>
      <c r="M1142" t="str">
        <f t="shared" si="86"/>
        <v/>
      </c>
      <c r="N1142" t="str">
        <f t="shared" si="87"/>
        <v/>
      </c>
      <c r="O1142" t="str">
        <f t="shared" si="88"/>
        <v/>
      </c>
    </row>
    <row r="1143" spans="11:15" x14ac:dyDescent="0.3">
      <c r="K1143" t="str">
        <f t="shared" si="89"/>
        <v/>
      </c>
      <c r="L1143" t="str">
        <f t="shared" si="85"/>
        <v/>
      </c>
      <c r="M1143" t="str">
        <f t="shared" si="86"/>
        <v/>
      </c>
      <c r="N1143" t="str">
        <f t="shared" si="87"/>
        <v/>
      </c>
      <c r="O1143" t="str">
        <f t="shared" si="88"/>
        <v/>
      </c>
    </row>
    <row r="1144" spans="11:15" x14ac:dyDescent="0.3">
      <c r="K1144" t="str">
        <f t="shared" si="89"/>
        <v/>
      </c>
      <c r="L1144" t="str">
        <f t="shared" si="85"/>
        <v/>
      </c>
      <c r="M1144" t="str">
        <f t="shared" si="86"/>
        <v/>
      </c>
      <c r="N1144" t="str">
        <f t="shared" si="87"/>
        <v/>
      </c>
      <c r="O1144" t="str">
        <f t="shared" si="88"/>
        <v/>
      </c>
    </row>
    <row r="1145" spans="11:15" x14ac:dyDescent="0.3">
      <c r="K1145" t="str">
        <f t="shared" si="89"/>
        <v/>
      </c>
      <c r="L1145" t="str">
        <f t="shared" si="85"/>
        <v/>
      </c>
      <c r="M1145" t="str">
        <f t="shared" si="86"/>
        <v/>
      </c>
      <c r="N1145" t="str">
        <f t="shared" si="87"/>
        <v/>
      </c>
      <c r="O1145" t="str">
        <f t="shared" si="88"/>
        <v/>
      </c>
    </row>
    <row r="1146" spans="11:15" x14ac:dyDescent="0.3">
      <c r="K1146" t="str">
        <f t="shared" si="89"/>
        <v/>
      </c>
      <c r="L1146" t="str">
        <f t="shared" si="85"/>
        <v/>
      </c>
      <c r="M1146" t="str">
        <f t="shared" si="86"/>
        <v/>
      </c>
      <c r="N1146" t="str">
        <f t="shared" si="87"/>
        <v/>
      </c>
      <c r="O1146" t="str">
        <f t="shared" si="88"/>
        <v/>
      </c>
    </row>
    <row r="1147" spans="11:15" x14ac:dyDescent="0.3">
      <c r="K1147" t="str">
        <f t="shared" si="89"/>
        <v/>
      </c>
      <c r="L1147" t="str">
        <f t="shared" si="85"/>
        <v/>
      </c>
      <c r="M1147" t="str">
        <f t="shared" si="86"/>
        <v/>
      </c>
      <c r="N1147" t="str">
        <f t="shared" si="87"/>
        <v/>
      </c>
      <c r="O1147" t="str">
        <f t="shared" si="88"/>
        <v/>
      </c>
    </row>
    <row r="1148" spans="11:15" x14ac:dyDescent="0.3">
      <c r="K1148" t="str">
        <f t="shared" si="89"/>
        <v/>
      </c>
      <c r="L1148" t="str">
        <f t="shared" si="85"/>
        <v/>
      </c>
      <c r="M1148" t="str">
        <f t="shared" si="86"/>
        <v/>
      </c>
      <c r="N1148" t="str">
        <f t="shared" si="87"/>
        <v/>
      </c>
      <c r="O1148" t="str">
        <f t="shared" si="88"/>
        <v/>
      </c>
    </row>
    <row r="1149" spans="11:15" x14ac:dyDescent="0.3">
      <c r="K1149" t="str">
        <f t="shared" si="89"/>
        <v/>
      </c>
      <c r="L1149" t="str">
        <f t="shared" si="85"/>
        <v/>
      </c>
      <c r="M1149" t="str">
        <f t="shared" si="86"/>
        <v/>
      </c>
      <c r="N1149" t="str">
        <f t="shared" si="87"/>
        <v/>
      </c>
      <c r="O1149" t="str">
        <f t="shared" si="88"/>
        <v/>
      </c>
    </row>
    <row r="1150" spans="11:15" x14ac:dyDescent="0.3">
      <c r="K1150" t="str">
        <f t="shared" si="89"/>
        <v/>
      </c>
      <c r="L1150" t="str">
        <f t="shared" si="85"/>
        <v/>
      </c>
      <c r="M1150" t="str">
        <f t="shared" si="86"/>
        <v/>
      </c>
      <c r="N1150" t="str">
        <f t="shared" si="87"/>
        <v/>
      </c>
      <c r="O1150" t="str">
        <f t="shared" si="88"/>
        <v/>
      </c>
    </row>
    <row r="1151" spans="11:15" x14ac:dyDescent="0.3">
      <c r="K1151" t="str">
        <f t="shared" si="89"/>
        <v/>
      </c>
      <c r="L1151" t="str">
        <f t="shared" si="85"/>
        <v/>
      </c>
      <c r="M1151" t="str">
        <f t="shared" si="86"/>
        <v/>
      </c>
      <c r="N1151" t="str">
        <f t="shared" si="87"/>
        <v/>
      </c>
      <c r="O1151" t="str">
        <f t="shared" si="88"/>
        <v/>
      </c>
    </row>
    <row r="1152" spans="11:15" x14ac:dyDescent="0.3">
      <c r="K1152" t="str">
        <f t="shared" si="89"/>
        <v/>
      </c>
      <c r="L1152" t="str">
        <f t="shared" si="85"/>
        <v/>
      </c>
      <c r="M1152" t="str">
        <f t="shared" si="86"/>
        <v/>
      </c>
      <c r="N1152" t="str">
        <f t="shared" si="87"/>
        <v/>
      </c>
      <c r="O1152" t="str">
        <f t="shared" si="88"/>
        <v/>
      </c>
    </row>
    <row r="1153" spans="11:15" x14ac:dyDescent="0.3">
      <c r="K1153" t="str">
        <f t="shared" si="89"/>
        <v/>
      </c>
      <c r="L1153" t="str">
        <f t="shared" ref="L1153:L1216" si="90">IF(A1153="","",IF(ISNUMBER(--LEFT(A1153,FIND(" - ",A1153&amp;" - ")-1)),LEFT(A1153,FIND(" - ",A1153&amp;" - ")-1),TRIM(A1153)))</f>
        <v/>
      </c>
      <c r="M1153" t="str">
        <f t="shared" ref="M1153:M1216" si="91">IF(OR(K1153="",K1153=A1153,A1153=""),"",K1153&amp;"|"&amp;L1153)</f>
        <v/>
      </c>
      <c r="N1153" t="str">
        <f t="shared" ref="N1153:N1216" si="92">IF(M1153="","",IF(ISNUMBER(B1153),B1153,IFERROR(_xlfn.NUMBERVALUE(B1153,".",","),0)))</f>
        <v/>
      </c>
      <c r="O1153" t="str">
        <f t="shared" ref="O1153:O1216" si="93">IF(M1153="","",IF(ISNUMBER(C1153),C1153,IFERROR(_xlfn.NUMBERVALUE(C1153,".",","),0)))</f>
        <v/>
      </c>
    </row>
    <row r="1154" spans="11:15" x14ac:dyDescent="0.3">
      <c r="K1154" t="str">
        <f t="shared" ref="K1154:K1217" si="94">IF(OR(LEFT(B1154,9)="DOANH THU",LEFT(B1154,8)="SỐ LƯỢNG"),A1154,K1153)</f>
        <v/>
      </c>
      <c r="L1154" t="str">
        <f t="shared" si="90"/>
        <v/>
      </c>
      <c r="M1154" t="str">
        <f t="shared" si="91"/>
        <v/>
      </c>
      <c r="N1154" t="str">
        <f t="shared" si="92"/>
        <v/>
      </c>
      <c r="O1154" t="str">
        <f t="shared" si="93"/>
        <v/>
      </c>
    </row>
    <row r="1155" spans="11:15" x14ac:dyDescent="0.3">
      <c r="K1155" t="str">
        <f t="shared" si="94"/>
        <v/>
      </c>
      <c r="L1155" t="str">
        <f t="shared" si="90"/>
        <v/>
      </c>
      <c r="M1155" t="str">
        <f t="shared" si="91"/>
        <v/>
      </c>
      <c r="N1155" t="str">
        <f t="shared" si="92"/>
        <v/>
      </c>
      <c r="O1155" t="str">
        <f t="shared" si="93"/>
        <v/>
      </c>
    </row>
    <row r="1156" spans="11:15" x14ac:dyDescent="0.3">
      <c r="K1156" t="str">
        <f t="shared" si="94"/>
        <v/>
      </c>
      <c r="L1156" t="str">
        <f t="shared" si="90"/>
        <v/>
      </c>
      <c r="M1156" t="str">
        <f t="shared" si="91"/>
        <v/>
      </c>
      <c r="N1156" t="str">
        <f t="shared" si="92"/>
        <v/>
      </c>
      <c r="O1156" t="str">
        <f t="shared" si="93"/>
        <v/>
      </c>
    </row>
    <row r="1157" spans="11:15" x14ac:dyDescent="0.3">
      <c r="K1157" t="str">
        <f t="shared" si="94"/>
        <v/>
      </c>
      <c r="L1157" t="str">
        <f t="shared" si="90"/>
        <v/>
      </c>
      <c r="M1157" t="str">
        <f t="shared" si="91"/>
        <v/>
      </c>
      <c r="N1157" t="str">
        <f t="shared" si="92"/>
        <v/>
      </c>
      <c r="O1157" t="str">
        <f t="shared" si="93"/>
        <v/>
      </c>
    </row>
    <row r="1158" spans="11:15" x14ac:dyDescent="0.3">
      <c r="K1158" t="str">
        <f t="shared" si="94"/>
        <v/>
      </c>
      <c r="L1158" t="str">
        <f t="shared" si="90"/>
        <v/>
      </c>
      <c r="M1158" t="str">
        <f t="shared" si="91"/>
        <v/>
      </c>
      <c r="N1158" t="str">
        <f t="shared" si="92"/>
        <v/>
      </c>
      <c r="O1158" t="str">
        <f t="shared" si="93"/>
        <v/>
      </c>
    </row>
    <row r="1159" spans="11:15" x14ac:dyDescent="0.3">
      <c r="K1159" t="str">
        <f t="shared" si="94"/>
        <v/>
      </c>
      <c r="L1159" t="str">
        <f t="shared" si="90"/>
        <v/>
      </c>
      <c r="M1159" t="str">
        <f t="shared" si="91"/>
        <v/>
      </c>
      <c r="N1159" t="str">
        <f t="shared" si="92"/>
        <v/>
      </c>
      <c r="O1159" t="str">
        <f t="shared" si="93"/>
        <v/>
      </c>
    </row>
    <row r="1160" spans="11:15" x14ac:dyDescent="0.3">
      <c r="K1160" t="str">
        <f t="shared" si="94"/>
        <v/>
      </c>
      <c r="L1160" t="str">
        <f t="shared" si="90"/>
        <v/>
      </c>
      <c r="M1160" t="str">
        <f t="shared" si="91"/>
        <v/>
      </c>
      <c r="N1160" t="str">
        <f t="shared" si="92"/>
        <v/>
      </c>
      <c r="O1160" t="str">
        <f t="shared" si="93"/>
        <v/>
      </c>
    </row>
    <row r="1161" spans="11:15" x14ac:dyDescent="0.3">
      <c r="K1161" t="str">
        <f t="shared" si="94"/>
        <v/>
      </c>
      <c r="L1161" t="str">
        <f t="shared" si="90"/>
        <v/>
      </c>
      <c r="M1161" t="str">
        <f t="shared" si="91"/>
        <v/>
      </c>
      <c r="N1161" t="str">
        <f t="shared" si="92"/>
        <v/>
      </c>
      <c r="O1161" t="str">
        <f t="shared" si="93"/>
        <v/>
      </c>
    </row>
    <row r="1162" spans="11:15" x14ac:dyDescent="0.3">
      <c r="K1162" t="str">
        <f t="shared" si="94"/>
        <v/>
      </c>
      <c r="L1162" t="str">
        <f t="shared" si="90"/>
        <v/>
      </c>
      <c r="M1162" t="str">
        <f t="shared" si="91"/>
        <v/>
      </c>
      <c r="N1162" t="str">
        <f t="shared" si="92"/>
        <v/>
      </c>
      <c r="O1162" t="str">
        <f t="shared" si="93"/>
        <v/>
      </c>
    </row>
    <row r="1163" spans="11:15" x14ac:dyDescent="0.3">
      <c r="K1163" t="str">
        <f t="shared" si="94"/>
        <v/>
      </c>
      <c r="L1163" t="str">
        <f t="shared" si="90"/>
        <v/>
      </c>
      <c r="M1163" t="str">
        <f t="shared" si="91"/>
        <v/>
      </c>
      <c r="N1163" t="str">
        <f t="shared" si="92"/>
        <v/>
      </c>
      <c r="O1163" t="str">
        <f t="shared" si="93"/>
        <v/>
      </c>
    </row>
    <row r="1164" spans="11:15" x14ac:dyDescent="0.3">
      <c r="K1164" t="str">
        <f t="shared" si="94"/>
        <v/>
      </c>
      <c r="L1164" t="str">
        <f t="shared" si="90"/>
        <v/>
      </c>
      <c r="M1164" t="str">
        <f t="shared" si="91"/>
        <v/>
      </c>
      <c r="N1164" t="str">
        <f t="shared" si="92"/>
        <v/>
      </c>
      <c r="O1164" t="str">
        <f t="shared" si="93"/>
        <v/>
      </c>
    </row>
    <row r="1165" spans="11:15" x14ac:dyDescent="0.3">
      <c r="K1165" t="str">
        <f t="shared" si="94"/>
        <v/>
      </c>
      <c r="L1165" t="str">
        <f t="shared" si="90"/>
        <v/>
      </c>
      <c r="M1165" t="str">
        <f t="shared" si="91"/>
        <v/>
      </c>
      <c r="N1165" t="str">
        <f t="shared" si="92"/>
        <v/>
      </c>
      <c r="O1165" t="str">
        <f t="shared" si="93"/>
        <v/>
      </c>
    </row>
    <row r="1166" spans="11:15" x14ac:dyDescent="0.3">
      <c r="K1166" t="str">
        <f t="shared" si="94"/>
        <v/>
      </c>
      <c r="L1166" t="str">
        <f t="shared" si="90"/>
        <v/>
      </c>
      <c r="M1166" t="str">
        <f t="shared" si="91"/>
        <v/>
      </c>
      <c r="N1166" t="str">
        <f t="shared" si="92"/>
        <v/>
      </c>
      <c r="O1166" t="str">
        <f t="shared" si="93"/>
        <v/>
      </c>
    </row>
    <row r="1167" spans="11:15" x14ac:dyDescent="0.3">
      <c r="K1167" t="str">
        <f t="shared" si="94"/>
        <v/>
      </c>
      <c r="L1167" t="str">
        <f t="shared" si="90"/>
        <v/>
      </c>
      <c r="M1167" t="str">
        <f t="shared" si="91"/>
        <v/>
      </c>
      <c r="N1167" t="str">
        <f t="shared" si="92"/>
        <v/>
      </c>
      <c r="O1167" t="str">
        <f t="shared" si="93"/>
        <v/>
      </c>
    </row>
    <row r="1168" spans="11:15" x14ac:dyDescent="0.3">
      <c r="K1168" t="str">
        <f t="shared" si="94"/>
        <v/>
      </c>
      <c r="L1168" t="str">
        <f t="shared" si="90"/>
        <v/>
      </c>
      <c r="M1168" t="str">
        <f t="shared" si="91"/>
        <v/>
      </c>
      <c r="N1168" t="str">
        <f t="shared" si="92"/>
        <v/>
      </c>
      <c r="O1168" t="str">
        <f t="shared" si="93"/>
        <v/>
      </c>
    </row>
    <row r="1169" spans="11:15" x14ac:dyDescent="0.3">
      <c r="K1169" t="str">
        <f t="shared" si="94"/>
        <v/>
      </c>
      <c r="L1169" t="str">
        <f t="shared" si="90"/>
        <v/>
      </c>
      <c r="M1169" t="str">
        <f t="shared" si="91"/>
        <v/>
      </c>
      <c r="N1169" t="str">
        <f t="shared" si="92"/>
        <v/>
      </c>
      <c r="O1169" t="str">
        <f t="shared" si="93"/>
        <v/>
      </c>
    </row>
    <row r="1170" spans="11:15" x14ac:dyDescent="0.3">
      <c r="K1170" t="str">
        <f t="shared" si="94"/>
        <v/>
      </c>
      <c r="L1170" t="str">
        <f t="shared" si="90"/>
        <v/>
      </c>
      <c r="M1170" t="str">
        <f t="shared" si="91"/>
        <v/>
      </c>
      <c r="N1170" t="str">
        <f t="shared" si="92"/>
        <v/>
      </c>
      <c r="O1170" t="str">
        <f t="shared" si="93"/>
        <v/>
      </c>
    </row>
    <row r="1171" spans="11:15" x14ac:dyDescent="0.3">
      <c r="K1171" t="str">
        <f t="shared" si="94"/>
        <v/>
      </c>
      <c r="L1171" t="str">
        <f t="shared" si="90"/>
        <v/>
      </c>
      <c r="M1171" t="str">
        <f t="shared" si="91"/>
        <v/>
      </c>
      <c r="N1171" t="str">
        <f t="shared" si="92"/>
        <v/>
      </c>
      <c r="O1171" t="str">
        <f t="shared" si="93"/>
        <v/>
      </c>
    </row>
    <row r="1172" spans="11:15" x14ac:dyDescent="0.3">
      <c r="K1172" t="str">
        <f t="shared" si="94"/>
        <v/>
      </c>
      <c r="L1172" t="str">
        <f t="shared" si="90"/>
        <v/>
      </c>
      <c r="M1172" t="str">
        <f t="shared" si="91"/>
        <v/>
      </c>
      <c r="N1172" t="str">
        <f t="shared" si="92"/>
        <v/>
      </c>
      <c r="O1172" t="str">
        <f t="shared" si="93"/>
        <v/>
      </c>
    </row>
    <row r="1173" spans="11:15" x14ac:dyDescent="0.3">
      <c r="K1173" t="str">
        <f t="shared" si="94"/>
        <v/>
      </c>
      <c r="L1173" t="str">
        <f t="shared" si="90"/>
        <v/>
      </c>
      <c r="M1173" t="str">
        <f t="shared" si="91"/>
        <v/>
      </c>
      <c r="N1173" t="str">
        <f t="shared" si="92"/>
        <v/>
      </c>
      <c r="O1173" t="str">
        <f t="shared" si="93"/>
        <v/>
      </c>
    </row>
    <row r="1174" spans="11:15" x14ac:dyDescent="0.3">
      <c r="K1174" t="str">
        <f t="shared" si="94"/>
        <v/>
      </c>
      <c r="L1174" t="str">
        <f t="shared" si="90"/>
        <v/>
      </c>
      <c r="M1174" t="str">
        <f t="shared" si="91"/>
        <v/>
      </c>
      <c r="N1174" t="str">
        <f t="shared" si="92"/>
        <v/>
      </c>
      <c r="O1174" t="str">
        <f t="shared" si="93"/>
        <v/>
      </c>
    </row>
    <row r="1175" spans="11:15" x14ac:dyDescent="0.3">
      <c r="K1175" t="str">
        <f t="shared" si="94"/>
        <v/>
      </c>
      <c r="L1175" t="str">
        <f t="shared" si="90"/>
        <v/>
      </c>
      <c r="M1175" t="str">
        <f t="shared" si="91"/>
        <v/>
      </c>
      <c r="N1175" t="str">
        <f t="shared" si="92"/>
        <v/>
      </c>
      <c r="O1175" t="str">
        <f t="shared" si="93"/>
        <v/>
      </c>
    </row>
    <row r="1176" spans="11:15" x14ac:dyDescent="0.3">
      <c r="K1176" t="str">
        <f t="shared" si="94"/>
        <v/>
      </c>
      <c r="L1176" t="str">
        <f t="shared" si="90"/>
        <v/>
      </c>
      <c r="M1176" t="str">
        <f t="shared" si="91"/>
        <v/>
      </c>
      <c r="N1176" t="str">
        <f t="shared" si="92"/>
        <v/>
      </c>
      <c r="O1176" t="str">
        <f t="shared" si="93"/>
        <v/>
      </c>
    </row>
    <row r="1177" spans="11:15" x14ac:dyDescent="0.3">
      <c r="K1177" t="str">
        <f t="shared" si="94"/>
        <v/>
      </c>
      <c r="L1177" t="str">
        <f t="shared" si="90"/>
        <v/>
      </c>
      <c r="M1177" t="str">
        <f t="shared" si="91"/>
        <v/>
      </c>
      <c r="N1177" t="str">
        <f t="shared" si="92"/>
        <v/>
      </c>
      <c r="O1177" t="str">
        <f t="shared" si="93"/>
        <v/>
      </c>
    </row>
    <row r="1178" spans="11:15" x14ac:dyDescent="0.3">
      <c r="K1178" t="str">
        <f t="shared" si="94"/>
        <v/>
      </c>
      <c r="L1178" t="str">
        <f t="shared" si="90"/>
        <v/>
      </c>
      <c r="M1178" t="str">
        <f t="shared" si="91"/>
        <v/>
      </c>
      <c r="N1178" t="str">
        <f t="shared" si="92"/>
        <v/>
      </c>
      <c r="O1178" t="str">
        <f t="shared" si="93"/>
        <v/>
      </c>
    </row>
    <row r="1179" spans="11:15" x14ac:dyDescent="0.3">
      <c r="K1179" t="str">
        <f t="shared" si="94"/>
        <v/>
      </c>
      <c r="L1179" t="str">
        <f t="shared" si="90"/>
        <v/>
      </c>
      <c r="M1179" t="str">
        <f t="shared" si="91"/>
        <v/>
      </c>
      <c r="N1179" t="str">
        <f t="shared" si="92"/>
        <v/>
      </c>
      <c r="O1179" t="str">
        <f t="shared" si="93"/>
        <v/>
      </c>
    </row>
    <row r="1180" spans="11:15" x14ac:dyDescent="0.3">
      <c r="K1180" t="str">
        <f t="shared" si="94"/>
        <v/>
      </c>
      <c r="L1180" t="str">
        <f t="shared" si="90"/>
        <v/>
      </c>
      <c r="M1180" t="str">
        <f t="shared" si="91"/>
        <v/>
      </c>
      <c r="N1180" t="str">
        <f t="shared" si="92"/>
        <v/>
      </c>
      <c r="O1180" t="str">
        <f t="shared" si="93"/>
        <v/>
      </c>
    </row>
    <row r="1181" spans="11:15" x14ac:dyDescent="0.3">
      <c r="K1181" t="str">
        <f t="shared" si="94"/>
        <v/>
      </c>
      <c r="L1181" t="str">
        <f t="shared" si="90"/>
        <v/>
      </c>
      <c r="M1181" t="str">
        <f t="shared" si="91"/>
        <v/>
      </c>
      <c r="N1181" t="str">
        <f t="shared" si="92"/>
        <v/>
      </c>
      <c r="O1181" t="str">
        <f t="shared" si="93"/>
        <v/>
      </c>
    </row>
    <row r="1182" spans="11:15" x14ac:dyDescent="0.3">
      <c r="K1182" t="str">
        <f t="shared" si="94"/>
        <v/>
      </c>
      <c r="L1182" t="str">
        <f t="shared" si="90"/>
        <v/>
      </c>
      <c r="M1182" t="str">
        <f t="shared" si="91"/>
        <v/>
      </c>
      <c r="N1182" t="str">
        <f t="shared" si="92"/>
        <v/>
      </c>
      <c r="O1182" t="str">
        <f t="shared" si="93"/>
        <v/>
      </c>
    </row>
    <row r="1183" spans="11:15" x14ac:dyDescent="0.3">
      <c r="K1183" t="str">
        <f t="shared" si="94"/>
        <v/>
      </c>
      <c r="L1183" t="str">
        <f t="shared" si="90"/>
        <v/>
      </c>
      <c r="M1183" t="str">
        <f t="shared" si="91"/>
        <v/>
      </c>
      <c r="N1183" t="str">
        <f t="shared" si="92"/>
        <v/>
      </c>
      <c r="O1183" t="str">
        <f t="shared" si="93"/>
        <v/>
      </c>
    </row>
    <row r="1184" spans="11:15" x14ac:dyDescent="0.3">
      <c r="K1184" t="str">
        <f t="shared" si="94"/>
        <v/>
      </c>
      <c r="L1184" t="str">
        <f t="shared" si="90"/>
        <v/>
      </c>
      <c r="M1184" t="str">
        <f t="shared" si="91"/>
        <v/>
      </c>
      <c r="N1184" t="str">
        <f t="shared" si="92"/>
        <v/>
      </c>
      <c r="O1184" t="str">
        <f t="shared" si="93"/>
        <v/>
      </c>
    </row>
    <row r="1185" spans="11:15" x14ac:dyDescent="0.3">
      <c r="K1185" t="str">
        <f t="shared" si="94"/>
        <v/>
      </c>
      <c r="L1185" t="str">
        <f t="shared" si="90"/>
        <v/>
      </c>
      <c r="M1185" t="str">
        <f t="shared" si="91"/>
        <v/>
      </c>
      <c r="N1185" t="str">
        <f t="shared" si="92"/>
        <v/>
      </c>
      <c r="O1185" t="str">
        <f t="shared" si="93"/>
        <v/>
      </c>
    </row>
    <row r="1186" spans="11:15" x14ac:dyDescent="0.3">
      <c r="K1186" t="str">
        <f t="shared" si="94"/>
        <v/>
      </c>
      <c r="L1186" t="str">
        <f t="shared" si="90"/>
        <v/>
      </c>
      <c r="M1186" t="str">
        <f t="shared" si="91"/>
        <v/>
      </c>
      <c r="N1186" t="str">
        <f t="shared" si="92"/>
        <v/>
      </c>
      <c r="O1186" t="str">
        <f t="shared" si="93"/>
        <v/>
      </c>
    </row>
    <row r="1187" spans="11:15" x14ac:dyDescent="0.3">
      <c r="K1187" t="str">
        <f t="shared" si="94"/>
        <v/>
      </c>
      <c r="L1187" t="str">
        <f t="shared" si="90"/>
        <v/>
      </c>
      <c r="M1187" t="str">
        <f t="shared" si="91"/>
        <v/>
      </c>
      <c r="N1187" t="str">
        <f t="shared" si="92"/>
        <v/>
      </c>
      <c r="O1187" t="str">
        <f t="shared" si="93"/>
        <v/>
      </c>
    </row>
    <row r="1188" spans="11:15" x14ac:dyDescent="0.3">
      <c r="K1188" t="str">
        <f t="shared" si="94"/>
        <v/>
      </c>
      <c r="L1188" t="str">
        <f t="shared" si="90"/>
        <v/>
      </c>
      <c r="M1188" t="str">
        <f t="shared" si="91"/>
        <v/>
      </c>
      <c r="N1188" t="str">
        <f t="shared" si="92"/>
        <v/>
      </c>
      <c r="O1188" t="str">
        <f t="shared" si="93"/>
        <v/>
      </c>
    </row>
    <row r="1189" spans="11:15" x14ac:dyDescent="0.3">
      <c r="K1189" t="str">
        <f t="shared" si="94"/>
        <v/>
      </c>
      <c r="L1189" t="str">
        <f t="shared" si="90"/>
        <v/>
      </c>
      <c r="M1189" t="str">
        <f t="shared" si="91"/>
        <v/>
      </c>
      <c r="N1189" t="str">
        <f t="shared" si="92"/>
        <v/>
      </c>
      <c r="O1189" t="str">
        <f t="shared" si="93"/>
        <v/>
      </c>
    </row>
    <row r="1190" spans="11:15" x14ac:dyDescent="0.3">
      <c r="K1190" t="str">
        <f t="shared" si="94"/>
        <v/>
      </c>
      <c r="L1190" t="str">
        <f t="shared" si="90"/>
        <v/>
      </c>
      <c r="M1190" t="str">
        <f t="shared" si="91"/>
        <v/>
      </c>
      <c r="N1190" t="str">
        <f t="shared" si="92"/>
        <v/>
      </c>
      <c r="O1190" t="str">
        <f t="shared" si="93"/>
        <v/>
      </c>
    </row>
    <row r="1191" spans="11:15" x14ac:dyDescent="0.3">
      <c r="K1191" t="str">
        <f t="shared" si="94"/>
        <v/>
      </c>
      <c r="L1191" t="str">
        <f t="shared" si="90"/>
        <v/>
      </c>
      <c r="M1191" t="str">
        <f t="shared" si="91"/>
        <v/>
      </c>
      <c r="N1191" t="str">
        <f t="shared" si="92"/>
        <v/>
      </c>
      <c r="O1191" t="str">
        <f t="shared" si="93"/>
        <v/>
      </c>
    </row>
    <row r="1192" spans="11:15" x14ac:dyDescent="0.3">
      <c r="K1192" t="str">
        <f t="shared" si="94"/>
        <v/>
      </c>
      <c r="L1192" t="str">
        <f t="shared" si="90"/>
        <v/>
      </c>
      <c r="M1192" t="str">
        <f t="shared" si="91"/>
        <v/>
      </c>
      <c r="N1192" t="str">
        <f t="shared" si="92"/>
        <v/>
      </c>
      <c r="O1192" t="str">
        <f t="shared" si="93"/>
        <v/>
      </c>
    </row>
    <row r="1193" spans="11:15" x14ac:dyDescent="0.3">
      <c r="K1193" t="str">
        <f t="shared" si="94"/>
        <v/>
      </c>
      <c r="L1193" t="str">
        <f t="shared" si="90"/>
        <v/>
      </c>
      <c r="M1193" t="str">
        <f t="shared" si="91"/>
        <v/>
      </c>
      <c r="N1193" t="str">
        <f t="shared" si="92"/>
        <v/>
      </c>
      <c r="O1193" t="str">
        <f t="shared" si="93"/>
        <v/>
      </c>
    </row>
    <row r="1194" spans="11:15" x14ac:dyDescent="0.3">
      <c r="K1194" t="str">
        <f t="shared" si="94"/>
        <v/>
      </c>
      <c r="L1194" t="str">
        <f t="shared" si="90"/>
        <v/>
      </c>
      <c r="M1194" t="str">
        <f t="shared" si="91"/>
        <v/>
      </c>
      <c r="N1194" t="str">
        <f t="shared" si="92"/>
        <v/>
      </c>
      <c r="O1194" t="str">
        <f t="shared" si="93"/>
        <v/>
      </c>
    </row>
    <row r="1195" spans="11:15" x14ac:dyDescent="0.3">
      <c r="K1195" t="str">
        <f t="shared" si="94"/>
        <v/>
      </c>
      <c r="L1195" t="str">
        <f t="shared" si="90"/>
        <v/>
      </c>
      <c r="M1195" t="str">
        <f t="shared" si="91"/>
        <v/>
      </c>
      <c r="N1195" t="str">
        <f t="shared" si="92"/>
        <v/>
      </c>
      <c r="O1195" t="str">
        <f t="shared" si="93"/>
        <v/>
      </c>
    </row>
    <row r="1196" spans="11:15" x14ac:dyDescent="0.3">
      <c r="K1196" t="str">
        <f t="shared" si="94"/>
        <v/>
      </c>
      <c r="L1196" t="str">
        <f t="shared" si="90"/>
        <v/>
      </c>
      <c r="M1196" t="str">
        <f t="shared" si="91"/>
        <v/>
      </c>
      <c r="N1196" t="str">
        <f t="shared" si="92"/>
        <v/>
      </c>
      <c r="O1196" t="str">
        <f t="shared" si="93"/>
        <v/>
      </c>
    </row>
    <row r="1197" spans="11:15" x14ac:dyDescent="0.3">
      <c r="K1197" t="str">
        <f t="shared" si="94"/>
        <v/>
      </c>
      <c r="L1197" t="str">
        <f t="shared" si="90"/>
        <v/>
      </c>
      <c r="M1197" t="str">
        <f t="shared" si="91"/>
        <v/>
      </c>
      <c r="N1197" t="str">
        <f t="shared" si="92"/>
        <v/>
      </c>
      <c r="O1197" t="str">
        <f t="shared" si="93"/>
        <v/>
      </c>
    </row>
    <row r="1198" spans="11:15" x14ac:dyDescent="0.3">
      <c r="K1198" t="str">
        <f t="shared" si="94"/>
        <v/>
      </c>
      <c r="L1198" t="str">
        <f t="shared" si="90"/>
        <v/>
      </c>
      <c r="M1198" t="str">
        <f t="shared" si="91"/>
        <v/>
      </c>
      <c r="N1198" t="str">
        <f t="shared" si="92"/>
        <v/>
      </c>
      <c r="O1198" t="str">
        <f t="shared" si="93"/>
        <v/>
      </c>
    </row>
    <row r="1199" spans="11:15" x14ac:dyDescent="0.3">
      <c r="K1199" t="str">
        <f t="shared" si="94"/>
        <v/>
      </c>
      <c r="L1199" t="str">
        <f t="shared" si="90"/>
        <v/>
      </c>
      <c r="M1199" t="str">
        <f t="shared" si="91"/>
        <v/>
      </c>
      <c r="N1199" t="str">
        <f t="shared" si="92"/>
        <v/>
      </c>
      <c r="O1199" t="str">
        <f t="shared" si="93"/>
        <v/>
      </c>
    </row>
    <row r="1200" spans="11:15" x14ac:dyDescent="0.3">
      <c r="K1200" t="str">
        <f t="shared" si="94"/>
        <v/>
      </c>
      <c r="L1200" t="str">
        <f t="shared" si="90"/>
        <v/>
      </c>
      <c r="M1200" t="str">
        <f t="shared" si="91"/>
        <v/>
      </c>
      <c r="N1200" t="str">
        <f t="shared" si="92"/>
        <v/>
      </c>
      <c r="O1200" t="str">
        <f t="shared" si="93"/>
        <v/>
      </c>
    </row>
    <row r="1201" spans="11:15" x14ac:dyDescent="0.3">
      <c r="K1201" t="str">
        <f t="shared" si="94"/>
        <v/>
      </c>
      <c r="L1201" t="str">
        <f t="shared" si="90"/>
        <v/>
      </c>
      <c r="M1201" t="str">
        <f t="shared" si="91"/>
        <v/>
      </c>
      <c r="N1201" t="str">
        <f t="shared" si="92"/>
        <v/>
      </c>
      <c r="O1201" t="str">
        <f t="shared" si="93"/>
        <v/>
      </c>
    </row>
    <row r="1202" spans="11:15" x14ac:dyDescent="0.3">
      <c r="K1202" t="str">
        <f t="shared" si="94"/>
        <v/>
      </c>
      <c r="L1202" t="str">
        <f t="shared" si="90"/>
        <v/>
      </c>
      <c r="M1202" t="str">
        <f t="shared" si="91"/>
        <v/>
      </c>
      <c r="N1202" t="str">
        <f t="shared" si="92"/>
        <v/>
      </c>
      <c r="O1202" t="str">
        <f t="shared" si="93"/>
        <v/>
      </c>
    </row>
    <row r="1203" spans="11:15" x14ac:dyDescent="0.3">
      <c r="K1203" t="str">
        <f t="shared" si="94"/>
        <v/>
      </c>
      <c r="L1203" t="str">
        <f t="shared" si="90"/>
        <v/>
      </c>
      <c r="M1203" t="str">
        <f t="shared" si="91"/>
        <v/>
      </c>
      <c r="N1203" t="str">
        <f t="shared" si="92"/>
        <v/>
      </c>
      <c r="O1203" t="str">
        <f t="shared" si="93"/>
        <v/>
      </c>
    </row>
    <row r="1204" spans="11:15" x14ac:dyDescent="0.3">
      <c r="K1204" t="str">
        <f t="shared" si="94"/>
        <v/>
      </c>
      <c r="L1204" t="str">
        <f t="shared" si="90"/>
        <v/>
      </c>
      <c r="M1204" t="str">
        <f t="shared" si="91"/>
        <v/>
      </c>
      <c r="N1204" t="str">
        <f t="shared" si="92"/>
        <v/>
      </c>
      <c r="O1204" t="str">
        <f t="shared" si="93"/>
        <v/>
      </c>
    </row>
    <row r="1205" spans="11:15" x14ac:dyDescent="0.3">
      <c r="K1205" t="str">
        <f t="shared" si="94"/>
        <v/>
      </c>
      <c r="L1205" t="str">
        <f t="shared" si="90"/>
        <v/>
      </c>
      <c r="M1205" t="str">
        <f t="shared" si="91"/>
        <v/>
      </c>
      <c r="N1205" t="str">
        <f t="shared" si="92"/>
        <v/>
      </c>
      <c r="O1205" t="str">
        <f t="shared" si="93"/>
        <v/>
      </c>
    </row>
    <row r="1206" spans="11:15" x14ac:dyDescent="0.3">
      <c r="K1206" t="str">
        <f t="shared" si="94"/>
        <v/>
      </c>
      <c r="L1206" t="str">
        <f t="shared" si="90"/>
        <v/>
      </c>
      <c r="M1206" t="str">
        <f t="shared" si="91"/>
        <v/>
      </c>
      <c r="N1206" t="str">
        <f t="shared" si="92"/>
        <v/>
      </c>
      <c r="O1206" t="str">
        <f t="shared" si="93"/>
        <v/>
      </c>
    </row>
    <row r="1207" spans="11:15" x14ac:dyDescent="0.3">
      <c r="K1207" t="str">
        <f t="shared" si="94"/>
        <v/>
      </c>
      <c r="L1207" t="str">
        <f t="shared" si="90"/>
        <v/>
      </c>
      <c r="M1207" t="str">
        <f t="shared" si="91"/>
        <v/>
      </c>
      <c r="N1207" t="str">
        <f t="shared" si="92"/>
        <v/>
      </c>
      <c r="O1207" t="str">
        <f t="shared" si="93"/>
        <v/>
      </c>
    </row>
    <row r="1208" spans="11:15" x14ac:dyDescent="0.3">
      <c r="K1208" t="str">
        <f t="shared" si="94"/>
        <v/>
      </c>
      <c r="L1208" t="str">
        <f t="shared" si="90"/>
        <v/>
      </c>
      <c r="M1208" t="str">
        <f t="shared" si="91"/>
        <v/>
      </c>
      <c r="N1208" t="str">
        <f t="shared" si="92"/>
        <v/>
      </c>
      <c r="O1208" t="str">
        <f t="shared" si="93"/>
        <v/>
      </c>
    </row>
    <row r="1209" spans="11:15" x14ac:dyDescent="0.3">
      <c r="K1209" t="str">
        <f t="shared" si="94"/>
        <v/>
      </c>
      <c r="L1209" t="str">
        <f t="shared" si="90"/>
        <v/>
      </c>
      <c r="M1209" t="str">
        <f t="shared" si="91"/>
        <v/>
      </c>
      <c r="N1209" t="str">
        <f t="shared" si="92"/>
        <v/>
      </c>
      <c r="O1209" t="str">
        <f t="shared" si="93"/>
        <v/>
      </c>
    </row>
    <row r="1210" spans="11:15" x14ac:dyDescent="0.3">
      <c r="K1210" t="str">
        <f t="shared" si="94"/>
        <v/>
      </c>
      <c r="L1210" t="str">
        <f t="shared" si="90"/>
        <v/>
      </c>
      <c r="M1210" t="str">
        <f t="shared" si="91"/>
        <v/>
      </c>
      <c r="N1210" t="str">
        <f t="shared" si="92"/>
        <v/>
      </c>
      <c r="O1210" t="str">
        <f t="shared" si="93"/>
        <v/>
      </c>
    </row>
    <row r="1211" spans="11:15" x14ac:dyDescent="0.3">
      <c r="K1211" t="str">
        <f t="shared" si="94"/>
        <v/>
      </c>
      <c r="L1211" t="str">
        <f t="shared" si="90"/>
        <v/>
      </c>
      <c r="M1211" t="str">
        <f t="shared" si="91"/>
        <v/>
      </c>
      <c r="N1211" t="str">
        <f t="shared" si="92"/>
        <v/>
      </c>
      <c r="O1211" t="str">
        <f t="shared" si="93"/>
        <v/>
      </c>
    </row>
    <row r="1212" spans="11:15" x14ac:dyDescent="0.3">
      <c r="K1212" t="str">
        <f t="shared" si="94"/>
        <v/>
      </c>
      <c r="L1212" t="str">
        <f t="shared" si="90"/>
        <v/>
      </c>
      <c r="M1212" t="str">
        <f t="shared" si="91"/>
        <v/>
      </c>
      <c r="N1212" t="str">
        <f t="shared" si="92"/>
        <v/>
      </c>
      <c r="O1212" t="str">
        <f t="shared" si="93"/>
        <v/>
      </c>
    </row>
    <row r="1213" spans="11:15" x14ac:dyDescent="0.3">
      <c r="K1213" t="str">
        <f t="shared" si="94"/>
        <v/>
      </c>
      <c r="L1213" t="str">
        <f t="shared" si="90"/>
        <v/>
      </c>
      <c r="M1213" t="str">
        <f t="shared" si="91"/>
        <v/>
      </c>
      <c r="N1213" t="str">
        <f t="shared" si="92"/>
        <v/>
      </c>
      <c r="O1213" t="str">
        <f t="shared" si="93"/>
        <v/>
      </c>
    </row>
    <row r="1214" spans="11:15" x14ac:dyDescent="0.3">
      <c r="K1214" t="str">
        <f t="shared" si="94"/>
        <v/>
      </c>
      <c r="L1214" t="str">
        <f t="shared" si="90"/>
        <v/>
      </c>
      <c r="M1214" t="str">
        <f t="shared" si="91"/>
        <v/>
      </c>
      <c r="N1214" t="str">
        <f t="shared" si="92"/>
        <v/>
      </c>
      <c r="O1214" t="str">
        <f t="shared" si="93"/>
        <v/>
      </c>
    </row>
    <row r="1215" spans="11:15" x14ac:dyDescent="0.3">
      <c r="K1215" t="str">
        <f t="shared" si="94"/>
        <v/>
      </c>
      <c r="L1215" t="str">
        <f t="shared" si="90"/>
        <v/>
      </c>
      <c r="M1215" t="str">
        <f t="shared" si="91"/>
        <v/>
      </c>
      <c r="N1215" t="str">
        <f t="shared" si="92"/>
        <v/>
      </c>
      <c r="O1215" t="str">
        <f t="shared" si="93"/>
        <v/>
      </c>
    </row>
    <row r="1216" spans="11:15" x14ac:dyDescent="0.3">
      <c r="K1216" t="str">
        <f t="shared" si="94"/>
        <v/>
      </c>
      <c r="L1216" t="str">
        <f t="shared" si="90"/>
        <v/>
      </c>
      <c r="M1216" t="str">
        <f t="shared" si="91"/>
        <v/>
      </c>
      <c r="N1216" t="str">
        <f t="shared" si="92"/>
        <v/>
      </c>
      <c r="O1216" t="str">
        <f t="shared" si="93"/>
        <v/>
      </c>
    </row>
    <row r="1217" spans="11:15" x14ac:dyDescent="0.3">
      <c r="K1217" t="str">
        <f t="shared" si="94"/>
        <v/>
      </c>
      <c r="L1217" t="str">
        <f t="shared" ref="L1217:L1280" si="95">IF(A1217="","",IF(ISNUMBER(--LEFT(A1217,FIND(" - ",A1217&amp;" - ")-1)),LEFT(A1217,FIND(" - ",A1217&amp;" - ")-1),TRIM(A1217)))</f>
        <v/>
      </c>
      <c r="M1217" t="str">
        <f t="shared" ref="M1217:M1280" si="96">IF(OR(K1217="",K1217=A1217,A1217=""),"",K1217&amp;"|"&amp;L1217)</f>
        <v/>
      </c>
      <c r="N1217" t="str">
        <f t="shared" ref="N1217:N1280" si="97">IF(M1217="","",IF(ISNUMBER(B1217),B1217,IFERROR(_xlfn.NUMBERVALUE(B1217,".",","),0)))</f>
        <v/>
      </c>
      <c r="O1217" t="str">
        <f t="shared" ref="O1217:O1280" si="98">IF(M1217="","",IF(ISNUMBER(C1217),C1217,IFERROR(_xlfn.NUMBERVALUE(C1217,".",","),0)))</f>
        <v/>
      </c>
    </row>
    <row r="1218" spans="11:15" x14ac:dyDescent="0.3">
      <c r="K1218" t="str">
        <f t="shared" ref="K1218:K1281" si="99">IF(OR(LEFT(B1218,9)="DOANH THU",LEFT(B1218,8)="SỐ LƯỢNG"),A1218,K1217)</f>
        <v/>
      </c>
      <c r="L1218" t="str">
        <f t="shared" si="95"/>
        <v/>
      </c>
      <c r="M1218" t="str">
        <f t="shared" si="96"/>
        <v/>
      </c>
      <c r="N1218" t="str">
        <f t="shared" si="97"/>
        <v/>
      </c>
      <c r="O1218" t="str">
        <f t="shared" si="98"/>
        <v/>
      </c>
    </row>
    <row r="1219" spans="11:15" x14ac:dyDescent="0.3">
      <c r="K1219" t="str">
        <f t="shared" si="99"/>
        <v/>
      </c>
      <c r="L1219" t="str">
        <f t="shared" si="95"/>
        <v/>
      </c>
      <c r="M1219" t="str">
        <f t="shared" si="96"/>
        <v/>
      </c>
      <c r="N1219" t="str">
        <f t="shared" si="97"/>
        <v/>
      </c>
      <c r="O1219" t="str">
        <f t="shared" si="98"/>
        <v/>
      </c>
    </row>
    <row r="1220" spans="11:15" x14ac:dyDescent="0.3">
      <c r="K1220" t="str">
        <f t="shared" si="99"/>
        <v/>
      </c>
      <c r="L1220" t="str">
        <f t="shared" si="95"/>
        <v/>
      </c>
      <c r="M1220" t="str">
        <f t="shared" si="96"/>
        <v/>
      </c>
      <c r="N1220" t="str">
        <f t="shared" si="97"/>
        <v/>
      </c>
      <c r="O1220" t="str">
        <f t="shared" si="98"/>
        <v/>
      </c>
    </row>
    <row r="1221" spans="11:15" x14ac:dyDescent="0.3">
      <c r="K1221" t="str">
        <f t="shared" si="99"/>
        <v/>
      </c>
      <c r="L1221" t="str">
        <f t="shared" si="95"/>
        <v/>
      </c>
      <c r="M1221" t="str">
        <f t="shared" si="96"/>
        <v/>
      </c>
      <c r="N1221" t="str">
        <f t="shared" si="97"/>
        <v/>
      </c>
      <c r="O1221" t="str">
        <f t="shared" si="98"/>
        <v/>
      </c>
    </row>
    <row r="1222" spans="11:15" x14ac:dyDescent="0.3">
      <c r="K1222" t="str">
        <f t="shared" si="99"/>
        <v/>
      </c>
      <c r="L1222" t="str">
        <f t="shared" si="95"/>
        <v/>
      </c>
      <c r="M1222" t="str">
        <f t="shared" si="96"/>
        <v/>
      </c>
      <c r="N1222" t="str">
        <f t="shared" si="97"/>
        <v/>
      </c>
      <c r="O1222" t="str">
        <f t="shared" si="98"/>
        <v/>
      </c>
    </row>
    <row r="1223" spans="11:15" x14ac:dyDescent="0.3">
      <c r="K1223" t="str">
        <f t="shared" si="99"/>
        <v/>
      </c>
      <c r="L1223" t="str">
        <f t="shared" si="95"/>
        <v/>
      </c>
      <c r="M1223" t="str">
        <f t="shared" si="96"/>
        <v/>
      </c>
      <c r="N1223" t="str">
        <f t="shared" si="97"/>
        <v/>
      </c>
      <c r="O1223" t="str">
        <f t="shared" si="98"/>
        <v/>
      </c>
    </row>
    <row r="1224" spans="11:15" x14ac:dyDescent="0.3">
      <c r="K1224" t="str">
        <f t="shared" si="99"/>
        <v/>
      </c>
      <c r="L1224" t="str">
        <f t="shared" si="95"/>
        <v/>
      </c>
      <c r="M1224" t="str">
        <f t="shared" si="96"/>
        <v/>
      </c>
      <c r="N1224" t="str">
        <f t="shared" si="97"/>
        <v/>
      </c>
      <c r="O1224" t="str">
        <f t="shared" si="98"/>
        <v/>
      </c>
    </row>
    <row r="1225" spans="11:15" x14ac:dyDescent="0.3">
      <c r="K1225" t="str">
        <f t="shared" si="99"/>
        <v/>
      </c>
      <c r="L1225" t="str">
        <f t="shared" si="95"/>
        <v/>
      </c>
      <c r="M1225" t="str">
        <f t="shared" si="96"/>
        <v/>
      </c>
      <c r="N1225" t="str">
        <f t="shared" si="97"/>
        <v/>
      </c>
      <c r="O1225" t="str">
        <f t="shared" si="98"/>
        <v/>
      </c>
    </row>
    <row r="1226" spans="11:15" x14ac:dyDescent="0.3">
      <c r="K1226" t="str">
        <f t="shared" si="99"/>
        <v/>
      </c>
      <c r="L1226" t="str">
        <f t="shared" si="95"/>
        <v/>
      </c>
      <c r="M1226" t="str">
        <f t="shared" si="96"/>
        <v/>
      </c>
      <c r="N1226" t="str">
        <f t="shared" si="97"/>
        <v/>
      </c>
      <c r="O1226" t="str">
        <f t="shared" si="98"/>
        <v/>
      </c>
    </row>
    <row r="1227" spans="11:15" x14ac:dyDescent="0.3">
      <c r="K1227" t="str">
        <f t="shared" si="99"/>
        <v/>
      </c>
      <c r="L1227" t="str">
        <f t="shared" si="95"/>
        <v/>
      </c>
      <c r="M1227" t="str">
        <f t="shared" si="96"/>
        <v/>
      </c>
      <c r="N1227" t="str">
        <f t="shared" si="97"/>
        <v/>
      </c>
      <c r="O1227" t="str">
        <f t="shared" si="98"/>
        <v/>
      </c>
    </row>
    <row r="1228" spans="11:15" x14ac:dyDescent="0.3">
      <c r="K1228" t="str">
        <f t="shared" si="99"/>
        <v/>
      </c>
      <c r="L1228" t="str">
        <f t="shared" si="95"/>
        <v/>
      </c>
      <c r="M1228" t="str">
        <f t="shared" si="96"/>
        <v/>
      </c>
      <c r="N1228" t="str">
        <f t="shared" si="97"/>
        <v/>
      </c>
      <c r="O1228" t="str">
        <f t="shared" si="98"/>
        <v/>
      </c>
    </row>
    <row r="1229" spans="11:15" x14ac:dyDescent="0.3">
      <c r="K1229" t="str">
        <f t="shared" si="99"/>
        <v/>
      </c>
      <c r="L1229" t="str">
        <f t="shared" si="95"/>
        <v/>
      </c>
      <c r="M1229" t="str">
        <f t="shared" si="96"/>
        <v/>
      </c>
      <c r="N1229" t="str">
        <f t="shared" si="97"/>
        <v/>
      </c>
      <c r="O1229" t="str">
        <f t="shared" si="98"/>
        <v/>
      </c>
    </row>
    <row r="1230" spans="11:15" x14ac:dyDescent="0.3">
      <c r="K1230" t="str">
        <f t="shared" si="99"/>
        <v/>
      </c>
      <c r="L1230" t="str">
        <f t="shared" si="95"/>
        <v/>
      </c>
      <c r="M1230" t="str">
        <f t="shared" si="96"/>
        <v/>
      </c>
      <c r="N1230" t="str">
        <f t="shared" si="97"/>
        <v/>
      </c>
      <c r="O1230" t="str">
        <f t="shared" si="98"/>
        <v/>
      </c>
    </row>
    <row r="1231" spans="11:15" x14ac:dyDescent="0.3">
      <c r="K1231" t="str">
        <f t="shared" si="99"/>
        <v/>
      </c>
      <c r="L1231" t="str">
        <f t="shared" si="95"/>
        <v/>
      </c>
      <c r="M1231" t="str">
        <f t="shared" si="96"/>
        <v/>
      </c>
      <c r="N1231" t="str">
        <f t="shared" si="97"/>
        <v/>
      </c>
      <c r="O1231" t="str">
        <f t="shared" si="98"/>
        <v/>
      </c>
    </row>
    <row r="1232" spans="11:15" x14ac:dyDescent="0.3">
      <c r="K1232" t="str">
        <f t="shared" si="99"/>
        <v/>
      </c>
      <c r="L1232" t="str">
        <f t="shared" si="95"/>
        <v/>
      </c>
      <c r="M1232" t="str">
        <f t="shared" si="96"/>
        <v/>
      </c>
      <c r="N1232" t="str">
        <f t="shared" si="97"/>
        <v/>
      </c>
      <c r="O1232" t="str">
        <f t="shared" si="98"/>
        <v/>
      </c>
    </row>
    <row r="1233" spans="11:15" x14ac:dyDescent="0.3">
      <c r="K1233" t="str">
        <f t="shared" si="99"/>
        <v/>
      </c>
      <c r="L1233" t="str">
        <f t="shared" si="95"/>
        <v/>
      </c>
      <c r="M1233" t="str">
        <f t="shared" si="96"/>
        <v/>
      </c>
      <c r="N1233" t="str">
        <f t="shared" si="97"/>
        <v/>
      </c>
      <c r="O1233" t="str">
        <f t="shared" si="98"/>
        <v/>
      </c>
    </row>
    <row r="1234" spans="11:15" x14ac:dyDescent="0.3">
      <c r="K1234" t="str">
        <f t="shared" si="99"/>
        <v/>
      </c>
      <c r="L1234" t="str">
        <f t="shared" si="95"/>
        <v/>
      </c>
      <c r="M1234" t="str">
        <f t="shared" si="96"/>
        <v/>
      </c>
      <c r="N1234" t="str">
        <f t="shared" si="97"/>
        <v/>
      </c>
      <c r="O1234" t="str">
        <f t="shared" si="98"/>
        <v/>
      </c>
    </row>
    <row r="1235" spans="11:15" x14ac:dyDescent="0.3">
      <c r="K1235" t="str">
        <f t="shared" si="99"/>
        <v/>
      </c>
      <c r="L1235" t="str">
        <f t="shared" si="95"/>
        <v/>
      </c>
      <c r="M1235" t="str">
        <f t="shared" si="96"/>
        <v/>
      </c>
      <c r="N1235" t="str">
        <f t="shared" si="97"/>
        <v/>
      </c>
      <c r="O1235" t="str">
        <f t="shared" si="98"/>
        <v/>
      </c>
    </row>
    <row r="1236" spans="11:15" x14ac:dyDescent="0.3">
      <c r="K1236" t="str">
        <f t="shared" si="99"/>
        <v/>
      </c>
      <c r="L1236" t="str">
        <f t="shared" si="95"/>
        <v/>
      </c>
      <c r="M1236" t="str">
        <f t="shared" si="96"/>
        <v/>
      </c>
      <c r="N1236" t="str">
        <f t="shared" si="97"/>
        <v/>
      </c>
      <c r="O1236" t="str">
        <f t="shared" si="98"/>
        <v/>
      </c>
    </row>
    <row r="1237" spans="11:15" x14ac:dyDescent="0.3">
      <c r="K1237" t="str">
        <f t="shared" si="99"/>
        <v/>
      </c>
      <c r="L1237" t="str">
        <f t="shared" si="95"/>
        <v/>
      </c>
      <c r="M1237" t="str">
        <f t="shared" si="96"/>
        <v/>
      </c>
      <c r="N1237" t="str">
        <f t="shared" si="97"/>
        <v/>
      </c>
      <c r="O1237" t="str">
        <f t="shared" si="98"/>
        <v/>
      </c>
    </row>
    <row r="1238" spans="11:15" x14ac:dyDescent="0.3">
      <c r="K1238" t="str">
        <f t="shared" si="99"/>
        <v/>
      </c>
      <c r="L1238" t="str">
        <f t="shared" si="95"/>
        <v/>
      </c>
      <c r="M1238" t="str">
        <f t="shared" si="96"/>
        <v/>
      </c>
      <c r="N1238" t="str">
        <f t="shared" si="97"/>
        <v/>
      </c>
      <c r="O1238" t="str">
        <f t="shared" si="98"/>
        <v/>
      </c>
    </row>
    <row r="1239" spans="11:15" x14ac:dyDescent="0.3">
      <c r="K1239" t="str">
        <f t="shared" si="99"/>
        <v/>
      </c>
      <c r="L1239" t="str">
        <f t="shared" si="95"/>
        <v/>
      </c>
      <c r="M1239" t="str">
        <f t="shared" si="96"/>
        <v/>
      </c>
      <c r="N1239" t="str">
        <f t="shared" si="97"/>
        <v/>
      </c>
      <c r="O1239" t="str">
        <f t="shared" si="98"/>
        <v/>
      </c>
    </row>
    <row r="1240" spans="11:15" x14ac:dyDescent="0.3">
      <c r="K1240" t="str">
        <f t="shared" si="99"/>
        <v/>
      </c>
      <c r="L1240" t="str">
        <f t="shared" si="95"/>
        <v/>
      </c>
      <c r="M1240" t="str">
        <f t="shared" si="96"/>
        <v/>
      </c>
      <c r="N1240" t="str">
        <f t="shared" si="97"/>
        <v/>
      </c>
      <c r="O1240" t="str">
        <f t="shared" si="98"/>
        <v/>
      </c>
    </row>
    <row r="1241" spans="11:15" x14ac:dyDescent="0.3">
      <c r="K1241" t="str">
        <f t="shared" si="99"/>
        <v/>
      </c>
      <c r="L1241" t="str">
        <f t="shared" si="95"/>
        <v/>
      </c>
      <c r="M1241" t="str">
        <f t="shared" si="96"/>
        <v/>
      </c>
      <c r="N1241" t="str">
        <f t="shared" si="97"/>
        <v/>
      </c>
      <c r="O1241" t="str">
        <f t="shared" si="98"/>
        <v/>
      </c>
    </row>
    <row r="1242" spans="11:15" x14ac:dyDescent="0.3">
      <c r="K1242" t="str">
        <f t="shared" si="99"/>
        <v/>
      </c>
      <c r="L1242" t="str">
        <f t="shared" si="95"/>
        <v/>
      </c>
      <c r="M1242" t="str">
        <f t="shared" si="96"/>
        <v/>
      </c>
      <c r="N1242" t="str">
        <f t="shared" si="97"/>
        <v/>
      </c>
      <c r="O1242" t="str">
        <f t="shared" si="98"/>
        <v/>
      </c>
    </row>
    <row r="1243" spans="11:15" x14ac:dyDescent="0.3">
      <c r="K1243" t="str">
        <f t="shared" si="99"/>
        <v/>
      </c>
      <c r="L1243" t="str">
        <f t="shared" si="95"/>
        <v/>
      </c>
      <c r="M1243" t="str">
        <f t="shared" si="96"/>
        <v/>
      </c>
      <c r="N1243" t="str">
        <f t="shared" si="97"/>
        <v/>
      </c>
      <c r="O1243" t="str">
        <f t="shared" si="98"/>
        <v/>
      </c>
    </row>
    <row r="1244" spans="11:15" x14ac:dyDescent="0.3">
      <c r="K1244" t="str">
        <f t="shared" si="99"/>
        <v/>
      </c>
      <c r="L1244" t="str">
        <f t="shared" si="95"/>
        <v/>
      </c>
      <c r="M1244" t="str">
        <f t="shared" si="96"/>
        <v/>
      </c>
      <c r="N1244" t="str">
        <f t="shared" si="97"/>
        <v/>
      </c>
      <c r="O1244" t="str">
        <f t="shared" si="98"/>
        <v/>
      </c>
    </row>
    <row r="1245" spans="11:15" x14ac:dyDescent="0.3">
      <c r="K1245" t="str">
        <f t="shared" si="99"/>
        <v/>
      </c>
      <c r="L1245" t="str">
        <f t="shared" si="95"/>
        <v/>
      </c>
      <c r="M1245" t="str">
        <f t="shared" si="96"/>
        <v/>
      </c>
      <c r="N1245" t="str">
        <f t="shared" si="97"/>
        <v/>
      </c>
      <c r="O1245" t="str">
        <f t="shared" si="98"/>
        <v/>
      </c>
    </row>
    <row r="1246" spans="11:15" x14ac:dyDescent="0.3">
      <c r="K1246" t="str">
        <f t="shared" si="99"/>
        <v/>
      </c>
      <c r="L1246" t="str">
        <f t="shared" si="95"/>
        <v/>
      </c>
      <c r="M1246" t="str">
        <f t="shared" si="96"/>
        <v/>
      </c>
      <c r="N1246" t="str">
        <f t="shared" si="97"/>
        <v/>
      </c>
      <c r="O1246" t="str">
        <f t="shared" si="98"/>
        <v/>
      </c>
    </row>
    <row r="1247" spans="11:15" x14ac:dyDescent="0.3">
      <c r="K1247" t="str">
        <f t="shared" si="99"/>
        <v/>
      </c>
      <c r="L1247" t="str">
        <f t="shared" si="95"/>
        <v/>
      </c>
      <c r="M1247" t="str">
        <f t="shared" si="96"/>
        <v/>
      </c>
      <c r="N1247" t="str">
        <f t="shared" si="97"/>
        <v/>
      </c>
      <c r="O1247" t="str">
        <f t="shared" si="98"/>
        <v/>
      </c>
    </row>
    <row r="1248" spans="11:15" x14ac:dyDescent="0.3">
      <c r="K1248" t="str">
        <f t="shared" si="99"/>
        <v/>
      </c>
      <c r="L1248" t="str">
        <f t="shared" si="95"/>
        <v/>
      </c>
      <c r="M1248" t="str">
        <f t="shared" si="96"/>
        <v/>
      </c>
      <c r="N1248" t="str">
        <f t="shared" si="97"/>
        <v/>
      </c>
      <c r="O1248" t="str">
        <f t="shared" si="98"/>
        <v/>
      </c>
    </row>
    <row r="1249" spans="11:15" x14ac:dyDescent="0.3">
      <c r="K1249" t="str">
        <f t="shared" si="99"/>
        <v/>
      </c>
      <c r="L1249" t="str">
        <f t="shared" si="95"/>
        <v/>
      </c>
      <c r="M1249" t="str">
        <f t="shared" si="96"/>
        <v/>
      </c>
      <c r="N1249" t="str">
        <f t="shared" si="97"/>
        <v/>
      </c>
      <c r="O1249" t="str">
        <f t="shared" si="98"/>
        <v/>
      </c>
    </row>
    <row r="1250" spans="11:15" x14ac:dyDescent="0.3">
      <c r="K1250" t="str">
        <f t="shared" si="99"/>
        <v/>
      </c>
      <c r="L1250" t="str">
        <f t="shared" si="95"/>
        <v/>
      </c>
      <c r="M1250" t="str">
        <f t="shared" si="96"/>
        <v/>
      </c>
      <c r="N1250" t="str">
        <f t="shared" si="97"/>
        <v/>
      </c>
      <c r="O1250" t="str">
        <f t="shared" si="98"/>
        <v/>
      </c>
    </row>
    <row r="1251" spans="11:15" x14ac:dyDescent="0.3">
      <c r="K1251" t="str">
        <f t="shared" si="99"/>
        <v/>
      </c>
      <c r="L1251" t="str">
        <f t="shared" si="95"/>
        <v/>
      </c>
      <c r="M1251" t="str">
        <f t="shared" si="96"/>
        <v/>
      </c>
      <c r="N1251" t="str">
        <f t="shared" si="97"/>
        <v/>
      </c>
      <c r="O1251" t="str">
        <f t="shared" si="98"/>
        <v/>
      </c>
    </row>
    <row r="1252" spans="11:15" x14ac:dyDescent="0.3">
      <c r="K1252" t="str">
        <f t="shared" si="99"/>
        <v/>
      </c>
      <c r="L1252" t="str">
        <f t="shared" si="95"/>
        <v/>
      </c>
      <c r="M1252" t="str">
        <f t="shared" si="96"/>
        <v/>
      </c>
      <c r="N1252" t="str">
        <f t="shared" si="97"/>
        <v/>
      </c>
      <c r="O1252" t="str">
        <f t="shared" si="98"/>
        <v/>
      </c>
    </row>
    <row r="1253" spans="11:15" x14ac:dyDescent="0.3">
      <c r="K1253" t="str">
        <f t="shared" si="99"/>
        <v/>
      </c>
      <c r="L1253" t="str">
        <f t="shared" si="95"/>
        <v/>
      </c>
      <c r="M1253" t="str">
        <f t="shared" si="96"/>
        <v/>
      </c>
      <c r="N1253" t="str">
        <f t="shared" si="97"/>
        <v/>
      </c>
      <c r="O1253" t="str">
        <f t="shared" si="98"/>
        <v/>
      </c>
    </row>
    <row r="1254" spans="11:15" x14ac:dyDescent="0.3">
      <c r="K1254" t="str">
        <f t="shared" si="99"/>
        <v/>
      </c>
      <c r="L1254" t="str">
        <f t="shared" si="95"/>
        <v/>
      </c>
      <c r="M1254" t="str">
        <f t="shared" si="96"/>
        <v/>
      </c>
      <c r="N1254" t="str">
        <f t="shared" si="97"/>
        <v/>
      </c>
      <c r="O1254" t="str">
        <f t="shared" si="98"/>
        <v/>
      </c>
    </row>
    <row r="1255" spans="11:15" x14ac:dyDescent="0.3">
      <c r="K1255" t="str">
        <f t="shared" si="99"/>
        <v/>
      </c>
      <c r="L1255" t="str">
        <f t="shared" si="95"/>
        <v/>
      </c>
      <c r="M1255" t="str">
        <f t="shared" si="96"/>
        <v/>
      </c>
      <c r="N1255" t="str">
        <f t="shared" si="97"/>
        <v/>
      </c>
      <c r="O1255" t="str">
        <f t="shared" si="98"/>
        <v/>
      </c>
    </row>
    <row r="1256" spans="11:15" x14ac:dyDescent="0.3">
      <c r="K1256" t="str">
        <f t="shared" si="99"/>
        <v/>
      </c>
      <c r="L1256" t="str">
        <f t="shared" si="95"/>
        <v/>
      </c>
      <c r="M1256" t="str">
        <f t="shared" si="96"/>
        <v/>
      </c>
      <c r="N1256" t="str">
        <f t="shared" si="97"/>
        <v/>
      </c>
      <c r="O1256" t="str">
        <f t="shared" si="98"/>
        <v/>
      </c>
    </row>
    <row r="1257" spans="11:15" x14ac:dyDescent="0.3">
      <c r="K1257" t="str">
        <f t="shared" si="99"/>
        <v/>
      </c>
      <c r="L1257" t="str">
        <f t="shared" si="95"/>
        <v/>
      </c>
      <c r="M1257" t="str">
        <f t="shared" si="96"/>
        <v/>
      </c>
      <c r="N1257" t="str">
        <f t="shared" si="97"/>
        <v/>
      </c>
      <c r="O1257" t="str">
        <f t="shared" si="98"/>
        <v/>
      </c>
    </row>
    <row r="1258" spans="11:15" x14ac:dyDescent="0.3">
      <c r="K1258" t="str">
        <f t="shared" si="99"/>
        <v/>
      </c>
      <c r="L1258" t="str">
        <f t="shared" si="95"/>
        <v/>
      </c>
      <c r="M1258" t="str">
        <f t="shared" si="96"/>
        <v/>
      </c>
      <c r="N1258" t="str">
        <f t="shared" si="97"/>
        <v/>
      </c>
      <c r="O1258" t="str">
        <f t="shared" si="98"/>
        <v/>
      </c>
    </row>
    <row r="1259" spans="11:15" x14ac:dyDescent="0.3">
      <c r="K1259" t="str">
        <f t="shared" si="99"/>
        <v/>
      </c>
      <c r="L1259" t="str">
        <f t="shared" si="95"/>
        <v/>
      </c>
      <c r="M1259" t="str">
        <f t="shared" si="96"/>
        <v/>
      </c>
      <c r="N1259" t="str">
        <f t="shared" si="97"/>
        <v/>
      </c>
      <c r="O1259" t="str">
        <f t="shared" si="98"/>
        <v/>
      </c>
    </row>
    <row r="1260" spans="11:15" x14ac:dyDescent="0.3">
      <c r="K1260" t="str">
        <f t="shared" si="99"/>
        <v/>
      </c>
      <c r="L1260" t="str">
        <f t="shared" si="95"/>
        <v/>
      </c>
      <c r="M1260" t="str">
        <f t="shared" si="96"/>
        <v/>
      </c>
      <c r="N1260" t="str">
        <f t="shared" si="97"/>
        <v/>
      </c>
      <c r="O1260" t="str">
        <f t="shared" si="98"/>
        <v/>
      </c>
    </row>
    <row r="1261" spans="11:15" x14ac:dyDescent="0.3">
      <c r="K1261" t="str">
        <f t="shared" si="99"/>
        <v/>
      </c>
      <c r="L1261" t="str">
        <f t="shared" si="95"/>
        <v/>
      </c>
      <c r="M1261" t="str">
        <f t="shared" si="96"/>
        <v/>
      </c>
      <c r="N1261" t="str">
        <f t="shared" si="97"/>
        <v/>
      </c>
      <c r="O1261" t="str">
        <f t="shared" si="98"/>
        <v/>
      </c>
    </row>
    <row r="1262" spans="11:15" x14ac:dyDescent="0.3">
      <c r="K1262" t="str">
        <f t="shared" si="99"/>
        <v/>
      </c>
      <c r="L1262" t="str">
        <f t="shared" si="95"/>
        <v/>
      </c>
      <c r="M1262" t="str">
        <f t="shared" si="96"/>
        <v/>
      </c>
      <c r="N1262" t="str">
        <f t="shared" si="97"/>
        <v/>
      </c>
      <c r="O1262" t="str">
        <f t="shared" si="98"/>
        <v/>
      </c>
    </row>
    <row r="1263" spans="11:15" x14ac:dyDescent="0.3">
      <c r="K1263" t="str">
        <f t="shared" si="99"/>
        <v/>
      </c>
      <c r="L1263" t="str">
        <f t="shared" si="95"/>
        <v/>
      </c>
      <c r="M1263" t="str">
        <f t="shared" si="96"/>
        <v/>
      </c>
      <c r="N1263" t="str">
        <f t="shared" si="97"/>
        <v/>
      </c>
      <c r="O1263" t="str">
        <f t="shared" si="98"/>
        <v/>
      </c>
    </row>
    <row r="1264" spans="11:15" x14ac:dyDescent="0.3">
      <c r="K1264" t="str">
        <f t="shared" si="99"/>
        <v/>
      </c>
      <c r="L1264" t="str">
        <f t="shared" si="95"/>
        <v/>
      </c>
      <c r="M1264" t="str">
        <f t="shared" si="96"/>
        <v/>
      </c>
      <c r="N1264" t="str">
        <f t="shared" si="97"/>
        <v/>
      </c>
      <c r="O1264" t="str">
        <f t="shared" si="98"/>
        <v/>
      </c>
    </row>
    <row r="1265" spans="11:15" x14ac:dyDescent="0.3">
      <c r="K1265" t="str">
        <f t="shared" si="99"/>
        <v/>
      </c>
      <c r="L1265" t="str">
        <f t="shared" si="95"/>
        <v/>
      </c>
      <c r="M1265" t="str">
        <f t="shared" si="96"/>
        <v/>
      </c>
      <c r="N1265" t="str">
        <f t="shared" si="97"/>
        <v/>
      </c>
      <c r="O1265" t="str">
        <f t="shared" si="98"/>
        <v/>
      </c>
    </row>
    <row r="1266" spans="11:15" x14ac:dyDescent="0.3">
      <c r="K1266" t="str">
        <f t="shared" si="99"/>
        <v/>
      </c>
      <c r="L1266" t="str">
        <f t="shared" si="95"/>
        <v/>
      </c>
      <c r="M1266" t="str">
        <f t="shared" si="96"/>
        <v/>
      </c>
      <c r="N1266" t="str">
        <f t="shared" si="97"/>
        <v/>
      </c>
      <c r="O1266" t="str">
        <f t="shared" si="98"/>
        <v/>
      </c>
    </row>
    <row r="1267" spans="11:15" x14ac:dyDescent="0.3">
      <c r="K1267" t="str">
        <f t="shared" si="99"/>
        <v/>
      </c>
      <c r="L1267" t="str">
        <f t="shared" si="95"/>
        <v/>
      </c>
      <c r="M1267" t="str">
        <f t="shared" si="96"/>
        <v/>
      </c>
      <c r="N1267" t="str">
        <f t="shared" si="97"/>
        <v/>
      </c>
      <c r="O1267" t="str">
        <f t="shared" si="98"/>
        <v/>
      </c>
    </row>
    <row r="1268" spans="11:15" x14ac:dyDescent="0.3">
      <c r="K1268" t="str">
        <f t="shared" si="99"/>
        <v/>
      </c>
      <c r="L1268" t="str">
        <f t="shared" si="95"/>
        <v/>
      </c>
      <c r="M1268" t="str">
        <f t="shared" si="96"/>
        <v/>
      </c>
      <c r="N1268" t="str">
        <f t="shared" si="97"/>
        <v/>
      </c>
      <c r="O1268" t="str">
        <f t="shared" si="98"/>
        <v/>
      </c>
    </row>
    <row r="1269" spans="11:15" x14ac:dyDescent="0.3">
      <c r="K1269" t="str">
        <f t="shared" si="99"/>
        <v/>
      </c>
      <c r="L1269" t="str">
        <f t="shared" si="95"/>
        <v/>
      </c>
      <c r="M1269" t="str">
        <f t="shared" si="96"/>
        <v/>
      </c>
      <c r="N1269" t="str">
        <f t="shared" si="97"/>
        <v/>
      </c>
      <c r="O1269" t="str">
        <f t="shared" si="98"/>
        <v/>
      </c>
    </row>
    <row r="1270" spans="11:15" x14ac:dyDescent="0.3">
      <c r="K1270" t="str">
        <f t="shared" si="99"/>
        <v/>
      </c>
      <c r="L1270" t="str">
        <f t="shared" si="95"/>
        <v/>
      </c>
      <c r="M1270" t="str">
        <f t="shared" si="96"/>
        <v/>
      </c>
      <c r="N1270" t="str">
        <f t="shared" si="97"/>
        <v/>
      </c>
      <c r="O1270" t="str">
        <f t="shared" si="98"/>
        <v/>
      </c>
    </row>
    <row r="1271" spans="11:15" x14ac:dyDescent="0.3">
      <c r="K1271" t="str">
        <f t="shared" si="99"/>
        <v/>
      </c>
      <c r="L1271" t="str">
        <f t="shared" si="95"/>
        <v/>
      </c>
      <c r="M1271" t="str">
        <f t="shared" si="96"/>
        <v/>
      </c>
      <c r="N1271" t="str">
        <f t="shared" si="97"/>
        <v/>
      </c>
      <c r="O1271" t="str">
        <f t="shared" si="98"/>
        <v/>
      </c>
    </row>
    <row r="1272" spans="11:15" x14ac:dyDescent="0.3">
      <c r="K1272" t="str">
        <f t="shared" si="99"/>
        <v/>
      </c>
      <c r="L1272" t="str">
        <f t="shared" si="95"/>
        <v/>
      </c>
      <c r="M1272" t="str">
        <f t="shared" si="96"/>
        <v/>
      </c>
      <c r="N1272" t="str">
        <f t="shared" si="97"/>
        <v/>
      </c>
      <c r="O1272" t="str">
        <f t="shared" si="98"/>
        <v/>
      </c>
    </row>
    <row r="1273" spans="11:15" x14ac:dyDescent="0.3">
      <c r="K1273" t="str">
        <f t="shared" si="99"/>
        <v/>
      </c>
      <c r="L1273" t="str">
        <f t="shared" si="95"/>
        <v/>
      </c>
      <c r="M1273" t="str">
        <f t="shared" si="96"/>
        <v/>
      </c>
      <c r="N1273" t="str">
        <f t="shared" si="97"/>
        <v/>
      </c>
      <c r="O1273" t="str">
        <f t="shared" si="98"/>
        <v/>
      </c>
    </row>
    <row r="1274" spans="11:15" x14ac:dyDescent="0.3">
      <c r="K1274" t="str">
        <f t="shared" si="99"/>
        <v/>
      </c>
      <c r="L1274" t="str">
        <f t="shared" si="95"/>
        <v/>
      </c>
      <c r="M1274" t="str">
        <f t="shared" si="96"/>
        <v/>
      </c>
      <c r="N1274" t="str">
        <f t="shared" si="97"/>
        <v/>
      </c>
      <c r="O1274" t="str">
        <f t="shared" si="98"/>
        <v/>
      </c>
    </row>
    <row r="1275" spans="11:15" x14ac:dyDescent="0.3">
      <c r="K1275" t="str">
        <f t="shared" si="99"/>
        <v/>
      </c>
      <c r="L1275" t="str">
        <f t="shared" si="95"/>
        <v/>
      </c>
      <c r="M1275" t="str">
        <f t="shared" si="96"/>
        <v/>
      </c>
      <c r="N1275" t="str">
        <f t="shared" si="97"/>
        <v/>
      </c>
      <c r="O1275" t="str">
        <f t="shared" si="98"/>
        <v/>
      </c>
    </row>
    <row r="1276" spans="11:15" x14ac:dyDescent="0.3">
      <c r="K1276" t="str">
        <f t="shared" si="99"/>
        <v/>
      </c>
      <c r="L1276" t="str">
        <f t="shared" si="95"/>
        <v/>
      </c>
      <c r="M1276" t="str">
        <f t="shared" si="96"/>
        <v/>
      </c>
      <c r="N1276" t="str">
        <f t="shared" si="97"/>
        <v/>
      </c>
      <c r="O1276" t="str">
        <f t="shared" si="98"/>
        <v/>
      </c>
    </row>
    <row r="1277" spans="11:15" x14ac:dyDescent="0.3">
      <c r="K1277" t="str">
        <f t="shared" si="99"/>
        <v/>
      </c>
      <c r="L1277" t="str">
        <f t="shared" si="95"/>
        <v/>
      </c>
      <c r="M1277" t="str">
        <f t="shared" si="96"/>
        <v/>
      </c>
      <c r="N1277" t="str">
        <f t="shared" si="97"/>
        <v/>
      </c>
      <c r="O1277" t="str">
        <f t="shared" si="98"/>
        <v/>
      </c>
    </row>
    <row r="1278" spans="11:15" x14ac:dyDescent="0.3">
      <c r="K1278" t="str">
        <f t="shared" si="99"/>
        <v/>
      </c>
      <c r="L1278" t="str">
        <f t="shared" si="95"/>
        <v/>
      </c>
      <c r="M1278" t="str">
        <f t="shared" si="96"/>
        <v/>
      </c>
      <c r="N1278" t="str">
        <f t="shared" si="97"/>
        <v/>
      </c>
      <c r="O1278" t="str">
        <f t="shared" si="98"/>
        <v/>
      </c>
    </row>
    <row r="1279" spans="11:15" x14ac:dyDescent="0.3">
      <c r="K1279" t="str">
        <f t="shared" si="99"/>
        <v/>
      </c>
      <c r="L1279" t="str">
        <f t="shared" si="95"/>
        <v/>
      </c>
      <c r="M1279" t="str">
        <f t="shared" si="96"/>
        <v/>
      </c>
      <c r="N1279" t="str">
        <f t="shared" si="97"/>
        <v/>
      </c>
      <c r="O1279" t="str">
        <f t="shared" si="98"/>
        <v/>
      </c>
    </row>
    <row r="1280" spans="11:15" x14ac:dyDescent="0.3">
      <c r="K1280" t="str">
        <f t="shared" si="99"/>
        <v/>
      </c>
      <c r="L1280" t="str">
        <f t="shared" si="95"/>
        <v/>
      </c>
      <c r="M1280" t="str">
        <f t="shared" si="96"/>
        <v/>
      </c>
      <c r="N1280" t="str">
        <f t="shared" si="97"/>
        <v/>
      </c>
      <c r="O1280" t="str">
        <f t="shared" si="98"/>
        <v/>
      </c>
    </row>
    <row r="1281" spans="11:15" x14ac:dyDescent="0.3">
      <c r="K1281" t="str">
        <f t="shared" si="99"/>
        <v/>
      </c>
      <c r="L1281" t="str">
        <f t="shared" ref="L1281:L1344" si="100">IF(A1281="","",IF(ISNUMBER(--LEFT(A1281,FIND(" - ",A1281&amp;" - ")-1)),LEFT(A1281,FIND(" - ",A1281&amp;" - ")-1),TRIM(A1281)))</f>
        <v/>
      </c>
      <c r="M1281" t="str">
        <f t="shared" ref="M1281:M1344" si="101">IF(OR(K1281="",K1281=A1281,A1281=""),"",K1281&amp;"|"&amp;L1281)</f>
        <v/>
      </c>
      <c r="N1281" t="str">
        <f t="shared" ref="N1281:N1344" si="102">IF(M1281="","",IF(ISNUMBER(B1281),B1281,IFERROR(_xlfn.NUMBERVALUE(B1281,".",","),0)))</f>
        <v/>
      </c>
      <c r="O1281" t="str">
        <f t="shared" ref="O1281:O1344" si="103">IF(M1281="","",IF(ISNUMBER(C1281),C1281,IFERROR(_xlfn.NUMBERVALUE(C1281,".",","),0)))</f>
        <v/>
      </c>
    </row>
    <row r="1282" spans="11:15" x14ac:dyDescent="0.3">
      <c r="K1282" t="str">
        <f t="shared" ref="K1282:K1345" si="104">IF(OR(LEFT(B1282,9)="DOANH THU",LEFT(B1282,8)="SỐ LƯỢNG"),A1282,K1281)</f>
        <v/>
      </c>
      <c r="L1282" t="str">
        <f t="shared" si="100"/>
        <v/>
      </c>
      <c r="M1282" t="str">
        <f t="shared" si="101"/>
        <v/>
      </c>
      <c r="N1282" t="str">
        <f t="shared" si="102"/>
        <v/>
      </c>
      <c r="O1282" t="str">
        <f t="shared" si="103"/>
        <v/>
      </c>
    </row>
    <row r="1283" spans="11:15" x14ac:dyDescent="0.3">
      <c r="K1283" t="str">
        <f t="shared" si="104"/>
        <v/>
      </c>
      <c r="L1283" t="str">
        <f t="shared" si="100"/>
        <v/>
      </c>
      <c r="M1283" t="str">
        <f t="shared" si="101"/>
        <v/>
      </c>
      <c r="N1283" t="str">
        <f t="shared" si="102"/>
        <v/>
      </c>
      <c r="O1283" t="str">
        <f t="shared" si="103"/>
        <v/>
      </c>
    </row>
    <row r="1284" spans="11:15" x14ac:dyDescent="0.3">
      <c r="K1284" t="str">
        <f t="shared" si="104"/>
        <v/>
      </c>
      <c r="L1284" t="str">
        <f t="shared" si="100"/>
        <v/>
      </c>
      <c r="M1284" t="str">
        <f t="shared" si="101"/>
        <v/>
      </c>
      <c r="N1284" t="str">
        <f t="shared" si="102"/>
        <v/>
      </c>
      <c r="O1284" t="str">
        <f t="shared" si="103"/>
        <v/>
      </c>
    </row>
    <row r="1285" spans="11:15" x14ac:dyDescent="0.3">
      <c r="K1285" t="str">
        <f t="shared" si="104"/>
        <v/>
      </c>
      <c r="L1285" t="str">
        <f t="shared" si="100"/>
        <v/>
      </c>
      <c r="M1285" t="str">
        <f t="shared" si="101"/>
        <v/>
      </c>
      <c r="N1285" t="str">
        <f t="shared" si="102"/>
        <v/>
      </c>
      <c r="O1285" t="str">
        <f t="shared" si="103"/>
        <v/>
      </c>
    </row>
    <row r="1286" spans="11:15" x14ac:dyDescent="0.3">
      <c r="K1286" t="str">
        <f t="shared" si="104"/>
        <v/>
      </c>
      <c r="L1286" t="str">
        <f t="shared" si="100"/>
        <v/>
      </c>
      <c r="M1286" t="str">
        <f t="shared" si="101"/>
        <v/>
      </c>
      <c r="N1286" t="str">
        <f t="shared" si="102"/>
        <v/>
      </c>
      <c r="O1286" t="str">
        <f t="shared" si="103"/>
        <v/>
      </c>
    </row>
    <row r="1287" spans="11:15" x14ac:dyDescent="0.3">
      <c r="K1287" t="str">
        <f t="shared" si="104"/>
        <v/>
      </c>
      <c r="L1287" t="str">
        <f t="shared" si="100"/>
        <v/>
      </c>
      <c r="M1287" t="str">
        <f t="shared" si="101"/>
        <v/>
      </c>
      <c r="N1287" t="str">
        <f t="shared" si="102"/>
        <v/>
      </c>
      <c r="O1287" t="str">
        <f t="shared" si="103"/>
        <v/>
      </c>
    </row>
    <row r="1288" spans="11:15" x14ac:dyDescent="0.3">
      <c r="K1288" t="str">
        <f t="shared" si="104"/>
        <v/>
      </c>
      <c r="L1288" t="str">
        <f t="shared" si="100"/>
        <v/>
      </c>
      <c r="M1288" t="str">
        <f t="shared" si="101"/>
        <v/>
      </c>
      <c r="N1288" t="str">
        <f t="shared" si="102"/>
        <v/>
      </c>
      <c r="O1288" t="str">
        <f t="shared" si="103"/>
        <v/>
      </c>
    </row>
    <row r="1289" spans="11:15" x14ac:dyDescent="0.3">
      <c r="K1289" t="str">
        <f t="shared" si="104"/>
        <v/>
      </c>
      <c r="L1289" t="str">
        <f t="shared" si="100"/>
        <v/>
      </c>
      <c r="M1289" t="str">
        <f t="shared" si="101"/>
        <v/>
      </c>
      <c r="N1289" t="str">
        <f t="shared" si="102"/>
        <v/>
      </c>
      <c r="O1289" t="str">
        <f t="shared" si="103"/>
        <v/>
      </c>
    </row>
    <row r="1290" spans="11:15" x14ac:dyDescent="0.3">
      <c r="K1290" t="str">
        <f t="shared" si="104"/>
        <v/>
      </c>
      <c r="L1290" t="str">
        <f t="shared" si="100"/>
        <v/>
      </c>
      <c r="M1290" t="str">
        <f t="shared" si="101"/>
        <v/>
      </c>
      <c r="N1290" t="str">
        <f t="shared" si="102"/>
        <v/>
      </c>
      <c r="O1290" t="str">
        <f t="shared" si="103"/>
        <v/>
      </c>
    </row>
    <row r="1291" spans="11:15" x14ac:dyDescent="0.3">
      <c r="K1291" t="str">
        <f t="shared" si="104"/>
        <v/>
      </c>
      <c r="L1291" t="str">
        <f t="shared" si="100"/>
        <v/>
      </c>
      <c r="M1291" t="str">
        <f t="shared" si="101"/>
        <v/>
      </c>
      <c r="N1291" t="str">
        <f t="shared" si="102"/>
        <v/>
      </c>
      <c r="O1291" t="str">
        <f t="shared" si="103"/>
        <v/>
      </c>
    </row>
    <row r="1292" spans="11:15" x14ac:dyDescent="0.3">
      <c r="K1292" t="str">
        <f t="shared" si="104"/>
        <v/>
      </c>
      <c r="L1292" t="str">
        <f t="shared" si="100"/>
        <v/>
      </c>
      <c r="M1292" t="str">
        <f t="shared" si="101"/>
        <v/>
      </c>
      <c r="N1292" t="str">
        <f t="shared" si="102"/>
        <v/>
      </c>
      <c r="O1292" t="str">
        <f t="shared" si="103"/>
        <v/>
      </c>
    </row>
    <row r="1293" spans="11:15" x14ac:dyDescent="0.3">
      <c r="K1293" t="str">
        <f t="shared" si="104"/>
        <v/>
      </c>
      <c r="L1293" t="str">
        <f t="shared" si="100"/>
        <v/>
      </c>
      <c r="M1293" t="str">
        <f t="shared" si="101"/>
        <v/>
      </c>
      <c r="N1293" t="str">
        <f t="shared" si="102"/>
        <v/>
      </c>
      <c r="O1293" t="str">
        <f t="shared" si="103"/>
        <v/>
      </c>
    </row>
    <row r="1294" spans="11:15" x14ac:dyDescent="0.3">
      <c r="K1294" t="str">
        <f t="shared" si="104"/>
        <v/>
      </c>
      <c r="L1294" t="str">
        <f t="shared" si="100"/>
        <v/>
      </c>
      <c r="M1294" t="str">
        <f t="shared" si="101"/>
        <v/>
      </c>
      <c r="N1294" t="str">
        <f t="shared" si="102"/>
        <v/>
      </c>
      <c r="O1294" t="str">
        <f t="shared" si="103"/>
        <v/>
      </c>
    </row>
    <row r="1295" spans="11:15" x14ac:dyDescent="0.3">
      <c r="K1295" t="str">
        <f t="shared" si="104"/>
        <v/>
      </c>
      <c r="L1295" t="str">
        <f t="shared" si="100"/>
        <v/>
      </c>
      <c r="M1295" t="str">
        <f t="shared" si="101"/>
        <v/>
      </c>
      <c r="N1295" t="str">
        <f t="shared" si="102"/>
        <v/>
      </c>
      <c r="O1295" t="str">
        <f t="shared" si="103"/>
        <v/>
      </c>
    </row>
    <row r="1296" spans="11:15" x14ac:dyDescent="0.3">
      <c r="K1296" t="str">
        <f t="shared" si="104"/>
        <v/>
      </c>
      <c r="L1296" t="str">
        <f t="shared" si="100"/>
        <v/>
      </c>
      <c r="M1296" t="str">
        <f t="shared" si="101"/>
        <v/>
      </c>
      <c r="N1296" t="str">
        <f t="shared" si="102"/>
        <v/>
      </c>
      <c r="O1296" t="str">
        <f t="shared" si="103"/>
        <v/>
      </c>
    </row>
    <row r="1297" spans="11:15" x14ac:dyDescent="0.3">
      <c r="K1297" t="str">
        <f t="shared" si="104"/>
        <v/>
      </c>
      <c r="L1297" t="str">
        <f t="shared" si="100"/>
        <v/>
      </c>
      <c r="M1297" t="str">
        <f t="shared" si="101"/>
        <v/>
      </c>
      <c r="N1297" t="str">
        <f t="shared" si="102"/>
        <v/>
      </c>
      <c r="O1297" t="str">
        <f t="shared" si="103"/>
        <v/>
      </c>
    </row>
    <row r="1298" spans="11:15" x14ac:dyDescent="0.3">
      <c r="K1298" t="str">
        <f t="shared" si="104"/>
        <v/>
      </c>
      <c r="L1298" t="str">
        <f t="shared" si="100"/>
        <v/>
      </c>
      <c r="M1298" t="str">
        <f t="shared" si="101"/>
        <v/>
      </c>
      <c r="N1298" t="str">
        <f t="shared" si="102"/>
        <v/>
      </c>
      <c r="O1298" t="str">
        <f t="shared" si="103"/>
        <v/>
      </c>
    </row>
    <row r="1299" spans="11:15" x14ac:dyDescent="0.3">
      <c r="K1299" t="str">
        <f t="shared" si="104"/>
        <v/>
      </c>
      <c r="L1299" t="str">
        <f t="shared" si="100"/>
        <v/>
      </c>
      <c r="M1299" t="str">
        <f t="shared" si="101"/>
        <v/>
      </c>
      <c r="N1299" t="str">
        <f t="shared" si="102"/>
        <v/>
      </c>
      <c r="O1299" t="str">
        <f t="shared" si="103"/>
        <v/>
      </c>
    </row>
    <row r="1300" spans="11:15" x14ac:dyDescent="0.3">
      <c r="K1300" t="str">
        <f t="shared" si="104"/>
        <v/>
      </c>
      <c r="L1300" t="str">
        <f t="shared" si="100"/>
        <v/>
      </c>
      <c r="M1300" t="str">
        <f t="shared" si="101"/>
        <v/>
      </c>
      <c r="N1300" t="str">
        <f t="shared" si="102"/>
        <v/>
      </c>
      <c r="O1300" t="str">
        <f t="shared" si="103"/>
        <v/>
      </c>
    </row>
    <row r="1301" spans="11:15" x14ac:dyDescent="0.3">
      <c r="K1301" t="str">
        <f t="shared" si="104"/>
        <v/>
      </c>
      <c r="L1301" t="str">
        <f t="shared" si="100"/>
        <v/>
      </c>
      <c r="M1301" t="str">
        <f t="shared" si="101"/>
        <v/>
      </c>
      <c r="N1301" t="str">
        <f t="shared" si="102"/>
        <v/>
      </c>
      <c r="O1301" t="str">
        <f t="shared" si="103"/>
        <v/>
      </c>
    </row>
    <row r="1302" spans="11:15" x14ac:dyDescent="0.3">
      <c r="K1302" t="str">
        <f t="shared" si="104"/>
        <v/>
      </c>
      <c r="L1302" t="str">
        <f t="shared" si="100"/>
        <v/>
      </c>
      <c r="M1302" t="str">
        <f t="shared" si="101"/>
        <v/>
      </c>
      <c r="N1302" t="str">
        <f t="shared" si="102"/>
        <v/>
      </c>
      <c r="O1302" t="str">
        <f t="shared" si="103"/>
        <v/>
      </c>
    </row>
    <row r="1303" spans="11:15" x14ac:dyDescent="0.3">
      <c r="K1303" t="str">
        <f t="shared" si="104"/>
        <v/>
      </c>
      <c r="L1303" t="str">
        <f t="shared" si="100"/>
        <v/>
      </c>
      <c r="M1303" t="str">
        <f t="shared" si="101"/>
        <v/>
      </c>
      <c r="N1303" t="str">
        <f t="shared" si="102"/>
        <v/>
      </c>
      <c r="O1303" t="str">
        <f t="shared" si="103"/>
        <v/>
      </c>
    </row>
    <row r="1304" spans="11:15" x14ac:dyDescent="0.3">
      <c r="K1304" t="str">
        <f t="shared" si="104"/>
        <v/>
      </c>
      <c r="L1304" t="str">
        <f t="shared" si="100"/>
        <v/>
      </c>
      <c r="M1304" t="str">
        <f t="shared" si="101"/>
        <v/>
      </c>
      <c r="N1304" t="str">
        <f t="shared" si="102"/>
        <v/>
      </c>
      <c r="O1304" t="str">
        <f t="shared" si="103"/>
        <v/>
      </c>
    </row>
    <row r="1305" spans="11:15" x14ac:dyDescent="0.3">
      <c r="K1305" t="str">
        <f t="shared" si="104"/>
        <v/>
      </c>
      <c r="L1305" t="str">
        <f t="shared" si="100"/>
        <v/>
      </c>
      <c r="M1305" t="str">
        <f t="shared" si="101"/>
        <v/>
      </c>
      <c r="N1305" t="str">
        <f t="shared" si="102"/>
        <v/>
      </c>
      <c r="O1305" t="str">
        <f t="shared" si="103"/>
        <v/>
      </c>
    </row>
    <row r="1306" spans="11:15" x14ac:dyDescent="0.3">
      <c r="K1306" t="str">
        <f t="shared" si="104"/>
        <v/>
      </c>
      <c r="L1306" t="str">
        <f t="shared" si="100"/>
        <v/>
      </c>
      <c r="M1306" t="str">
        <f t="shared" si="101"/>
        <v/>
      </c>
      <c r="N1306" t="str">
        <f t="shared" si="102"/>
        <v/>
      </c>
      <c r="O1306" t="str">
        <f t="shared" si="103"/>
        <v/>
      </c>
    </row>
    <row r="1307" spans="11:15" x14ac:dyDescent="0.3">
      <c r="K1307" t="str">
        <f t="shared" si="104"/>
        <v/>
      </c>
      <c r="L1307" t="str">
        <f t="shared" si="100"/>
        <v/>
      </c>
      <c r="M1307" t="str">
        <f t="shared" si="101"/>
        <v/>
      </c>
      <c r="N1307" t="str">
        <f t="shared" si="102"/>
        <v/>
      </c>
      <c r="O1307" t="str">
        <f t="shared" si="103"/>
        <v/>
      </c>
    </row>
    <row r="1308" spans="11:15" x14ac:dyDescent="0.3">
      <c r="K1308" t="str">
        <f t="shared" si="104"/>
        <v/>
      </c>
      <c r="L1308" t="str">
        <f t="shared" si="100"/>
        <v/>
      </c>
      <c r="M1308" t="str">
        <f t="shared" si="101"/>
        <v/>
      </c>
      <c r="N1308" t="str">
        <f t="shared" si="102"/>
        <v/>
      </c>
      <c r="O1308" t="str">
        <f t="shared" si="103"/>
        <v/>
      </c>
    </row>
    <row r="1309" spans="11:15" x14ac:dyDescent="0.3">
      <c r="K1309" t="str">
        <f t="shared" si="104"/>
        <v/>
      </c>
      <c r="L1309" t="str">
        <f t="shared" si="100"/>
        <v/>
      </c>
      <c r="M1309" t="str">
        <f t="shared" si="101"/>
        <v/>
      </c>
      <c r="N1309" t="str">
        <f t="shared" si="102"/>
        <v/>
      </c>
      <c r="O1309" t="str">
        <f t="shared" si="103"/>
        <v/>
      </c>
    </row>
    <row r="1310" spans="11:15" x14ac:dyDescent="0.3">
      <c r="K1310" t="str">
        <f t="shared" si="104"/>
        <v/>
      </c>
      <c r="L1310" t="str">
        <f t="shared" si="100"/>
        <v/>
      </c>
      <c r="M1310" t="str">
        <f t="shared" si="101"/>
        <v/>
      </c>
      <c r="N1310" t="str">
        <f t="shared" si="102"/>
        <v/>
      </c>
      <c r="O1310" t="str">
        <f t="shared" si="103"/>
        <v/>
      </c>
    </row>
    <row r="1311" spans="11:15" x14ac:dyDescent="0.3">
      <c r="K1311" t="str">
        <f t="shared" si="104"/>
        <v/>
      </c>
      <c r="L1311" t="str">
        <f t="shared" si="100"/>
        <v/>
      </c>
      <c r="M1311" t="str">
        <f t="shared" si="101"/>
        <v/>
      </c>
      <c r="N1311" t="str">
        <f t="shared" si="102"/>
        <v/>
      </c>
      <c r="O1311" t="str">
        <f t="shared" si="103"/>
        <v/>
      </c>
    </row>
    <row r="1312" spans="11:15" x14ac:dyDescent="0.3">
      <c r="K1312" t="str">
        <f t="shared" si="104"/>
        <v/>
      </c>
      <c r="L1312" t="str">
        <f t="shared" si="100"/>
        <v/>
      </c>
      <c r="M1312" t="str">
        <f t="shared" si="101"/>
        <v/>
      </c>
      <c r="N1312" t="str">
        <f t="shared" si="102"/>
        <v/>
      </c>
      <c r="O1312" t="str">
        <f t="shared" si="103"/>
        <v/>
      </c>
    </row>
    <row r="1313" spans="11:15" x14ac:dyDescent="0.3">
      <c r="K1313" t="str">
        <f t="shared" si="104"/>
        <v/>
      </c>
      <c r="L1313" t="str">
        <f t="shared" si="100"/>
        <v/>
      </c>
      <c r="M1313" t="str">
        <f t="shared" si="101"/>
        <v/>
      </c>
      <c r="N1313" t="str">
        <f t="shared" si="102"/>
        <v/>
      </c>
      <c r="O1313" t="str">
        <f t="shared" si="103"/>
        <v/>
      </c>
    </row>
    <row r="1314" spans="11:15" x14ac:dyDescent="0.3">
      <c r="K1314" t="str">
        <f t="shared" si="104"/>
        <v/>
      </c>
      <c r="L1314" t="str">
        <f t="shared" si="100"/>
        <v/>
      </c>
      <c r="M1314" t="str">
        <f t="shared" si="101"/>
        <v/>
      </c>
      <c r="N1314" t="str">
        <f t="shared" si="102"/>
        <v/>
      </c>
      <c r="O1314" t="str">
        <f t="shared" si="103"/>
        <v/>
      </c>
    </row>
    <row r="1315" spans="11:15" x14ac:dyDescent="0.3">
      <c r="K1315" t="str">
        <f t="shared" si="104"/>
        <v/>
      </c>
      <c r="L1315" t="str">
        <f t="shared" si="100"/>
        <v/>
      </c>
      <c r="M1315" t="str">
        <f t="shared" si="101"/>
        <v/>
      </c>
      <c r="N1315" t="str">
        <f t="shared" si="102"/>
        <v/>
      </c>
      <c r="O1315" t="str">
        <f t="shared" si="103"/>
        <v/>
      </c>
    </row>
    <row r="1316" spans="11:15" x14ac:dyDescent="0.3">
      <c r="K1316" t="str">
        <f t="shared" si="104"/>
        <v/>
      </c>
      <c r="L1316" t="str">
        <f t="shared" si="100"/>
        <v/>
      </c>
      <c r="M1316" t="str">
        <f t="shared" si="101"/>
        <v/>
      </c>
      <c r="N1316" t="str">
        <f t="shared" si="102"/>
        <v/>
      </c>
      <c r="O1316" t="str">
        <f t="shared" si="103"/>
        <v/>
      </c>
    </row>
    <row r="1317" spans="11:15" x14ac:dyDescent="0.3">
      <c r="K1317" t="str">
        <f t="shared" si="104"/>
        <v/>
      </c>
      <c r="L1317" t="str">
        <f t="shared" si="100"/>
        <v/>
      </c>
      <c r="M1317" t="str">
        <f t="shared" si="101"/>
        <v/>
      </c>
      <c r="N1317" t="str">
        <f t="shared" si="102"/>
        <v/>
      </c>
      <c r="O1317" t="str">
        <f t="shared" si="103"/>
        <v/>
      </c>
    </row>
    <row r="1318" spans="11:15" x14ac:dyDescent="0.3">
      <c r="K1318" t="str">
        <f t="shared" si="104"/>
        <v/>
      </c>
      <c r="L1318" t="str">
        <f t="shared" si="100"/>
        <v/>
      </c>
      <c r="M1318" t="str">
        <f t="shared" si="101"/>
        <v/>
      </c>
      <c r="N1318" t="str">
        <f t="shared" si="102"/>
        <v/>
      </c>
      <c r="O1318" t="str">
        <f t="shared" si="103"/>
        <v/>
      </c>
    </row>
    <row r="1319" spans="11:15" x14ac:dyDescent="0.3">
      <c r="K1319" t="str">
        <f t="shared" si="104"/>
        <v/>
      </c>
      <c r="L1319" t="str">
        <f t="shared" si="100"/>
        <v/>
      </c>
      <c r="M1319" t="str">
        <f t="shared" si="101"/>
        <v/>
      </c>
      <c r="N1319" t="str">
        <f t="shared" si="102"/>
        <v/>
      </c>
      <c r="O1319" t="str">
        <f t="shared" si="103"/>
        <v/>
      </c>
    </row>
    <row r="1320" spans="11:15" x14ac:dyDescent="0.3">
      <c r="K1320" t="str">
        <f t="shared" si="104"/>
        <v/>
      </c>
      <c r="L1320" t="str">
        <f t="shared" si="100"/>
        <v/>
      </c>
      <c r="M1320" t="str">
        <f t="shared" si="101"/>
        <v/>
      </c>
      <c r="N1320" t="str">
        <f t="shared" si="102"/>
        <v/>
      </c>
      <c r="O1320" t="str">
        <f t="shared" si="103"/>
        <v/>
      </c>
    </row>
    <row r="1321" spans="11:15" x14ac:dyDescent="0.3">
      <c r="K1321" t="str">
        <f t="shared" si="104"/>
        <v/>
      </c>
      <c r="L1321" t="str">
        <f t="shared" si="100"/>
        <v/>
      </c>
      <c r="M1321" t="str">
        <f t="shared" si="101"/>
        <v/>
      </c>
      <c r="N1321" t="str">
        <f t="shared" si="102"/>
        <v/>
      </c>
      <c r="O1321" t="str">
        <f t="shared" si="103"/>
        <v/>
      </c>
    </row>
    <row r="1322" spans="11:15" x14ac:dyDescent="0.3">
      <c r="K1322" t="str">
        <f t="shared" si="104"/>
        <v/>
      </c>
      <c r="L1322" t="str">
        <f t="shared" si="100"/>
        <v/>
      </c>
      <c r="M1322" t="str">
        <f t="shared" si="101"/>
        <v/>
      </c>
      <c r="N1322" t="str">
        <f t="shared" si="102"/>
        <v/>
      </c>
      <c r="O1322" t="str">
        <f t="shared" si="103"/>
        <v/>
      </c>
    </row>
    <row r="1323" spans="11:15" x14ac:dyDescent="0.3">
      <c r="K1323" t="str">
        <f t="shared" si="104"/>
        <v/>
      </c>
      <c r="L1323" t="str">
        <f t="shared" si="100"/>
        <v/>
      </c>
      <c r="M1323" t="str">
        <f t="shared" si="101"/>
        <v/>
      </c>
      <c r="N1323" t="str">
        <f t="shared" si="102"/>
        <v/>
      </c>
      <c r="O1323" t="str">
        <f t="shared" si="103"/>
        <v/>
      </c>
    </row>
    <row r="1324" spans="11:15" x14ac:dyDescent="0.3">
      <c r="K1324" t="str">
        <f t="shared" si="104"/>
        <v/>
      </c>
      <c r="L1324" t="str">
        <f t="shared" si="100"/>
        <v/>
      </c>
      <c r="M1324" t="str">
        <f t="shared" si="101"/>
        <v/>
      </c>
      <c r="N1324" t="str">
        <f t="shared" si="102"/>
        <v/>
      </c>
      <c r="O1324" t="str">
        <f t="shared" si="103"/>
        <v/>
      </c>
    </row>
    <row r="1325" spans="11:15" x14ac:dyDescent="0.3">
      <c r="K1325" t="str">
        <f t="shared" si="104"/>
        <v/>
      </c>
      <c r="L1325" t="str">
        <f t="shared" si="100"/>
        <v/>
      </c>
      <c r="M1325" t="str">
        <f t="shared" si="101"/>
        <v/>
      </c>
      <c r="N1325" t="str">
        <f t="shared" si="102"/>
        <v/>
      </c>
      <c r="O1325" t="str">
        <f t="shared" si="103"/>
        <v/>
      </c>
    </row>
    <row r="1326" spans="11:15" x14ac:dyDescent="0.3">
      <c r="K1326" t="str">
        <f t="shared" si="104"/>
        <v/>
      </c>
      <c r="L1326" t="str">
        <f t="shared" si="100"/>
        <v/>
      </c>
      <c r="M1326" t="str">
        <f t="shared" si="101"/>
        <v/>
      </c>
      <c r="N1326" t="str">
        <f t="shared" si="102"/>
        <v/>
      </c>
      <c r="O1326" t="str">
        <f t="shared" si="103"/>
        <v/>
      </c>
    </row>
    <row r="1327" spans="11:15" x14ac:dyDescent="0.3">
      <c r="K1327" t="str">
        <f t="shared" si="104"/>
        <v/>
      </c>
      <c r="L1327" t="str">
        <f t="shared" si="100"/>
        <v/>
      </c>
      <c r="M1327" t="str">
        <f t="shared" si="101"/>
        <v/>
      </c>
      <c r="N1327" t="str">
        <f t="shared" si="102"/>
        <v/>
      </c>
      <c r="O1327" t="str">
        <f t="shared" si="103"/>
        <v/>
      </c>
    </row>
    <row r="1328" spans="11:15" x14ac:dyDescent="0.3">
      <c r="K1328" t="str">
        <f t="shared" si="104"/>
        <v/>
      </c>
      <c r="L1328" t="str">
        <f t="shared" si="100"/>
        <v/>
      </c>
      <c r="M1328" t="str">
        <f t="shared" si="101"/>
        <v/>
      </c>
      <c r="N1328" t="str">
        <f t="shared" si="102"/>
        <v/>
      </c>
      <c r="O1328" t="str">
        <f t="shared" si="103"/>
        <v/>
      </c>
    </row>
    <row r="1329" spans="11:15" x14ac:dyDescent="0.3">
      <c r="K1329" t="str">
        <f t="shared" si="104"/>
        <v/>
      </c>
      <c r="L1329" t="str">
        <f t="shared" si="100"/>
        <v/>
      </c>
      <c r="M1329" t="str">
        <f t="shared" si="101"/>
        <v/>
      </c>
      <c r="N1329" t="str">
        <f t="shared" si="102"/>
        <v/>
      </c>
      <c r="O1329" t="str">
        <f t="shared" si="103"/>
        <v/>
      </c>
    </row>
    <row r="1330" spans="11:15" x14ac:dyDescent="0.3">
      <c r="K1330" t="str">
        <f t="shared" si="104"/>
        <v/>
      </c>
      <c r="L1330" t="str">
        <f t="shared" si="100"/>
        <v/>
      </c>
      <c r="M1330" t="str">
        <f t="shared" si="101"/>
        <v/>
      </c>
      <c r="N1330" t="str">
        <f t="shared" si="102"/>
        <v/>
      </c>
      <c r="O1330" t="str">
        <f t="shared" si="103"/>
        <v/>
      </c>
    </row>
    <row r="1331" spans="11:15" x14ac:dyDescent="0.3">
      <c r="K1331" t="str">
        <f t="shared" si="104"/>
        <v/>
      </c>
      <c r="L1331" t="str">
        <f t="shared" si="100"/>
        <v/>
      </c>
      <c r="M1331" t="str">
        <f t="shared" si="101"/>
        <v/>
      </c>
      <c r="N1331" t="str">
        <f t="shared" si="102"/>
        <v/>
      </c>
      <c r="O1331" t="str">
        <f t="shared" si="103"/>
        <v/>
      </c>
    </row>
    <row r="1332" spans="11:15" x14ac:dyDescent="0.3">
      <c r="K1332" t="str">
        <f t="shared" si="104"/>
        <v/>
      </c>
      <c r="L1332" t="str">
        <f t="shared" si="100"/>
        <v/>
      </c>
      <c r="M1332" t="str">
        <f t="shared" si="101"/>
        <v/>
      </c>
      <c r="N1332" t="str">
        <f t="shared" si="102"/>
        <v/>
      </c>
      <c r="O1332" t="str">
        <f t="shared" si="103"/>
        <v/>
      </c>
    </row>
    <row r="1333" spans="11:15" x14ac:dyDescent="0.3">
      <c r="K1333" t="str">
        <f t="shared" si="104"/>
        <v/>
      </c>
      <c r="L1333" t="str">
        <f t="shared" si="100"/>
        <v/>
      </c>
      <c r="M1333" t="str">
        <f t="shared" si="101"/>
        <v/>
      </c>
      <c r="N1333" t="str">
        <f t="shared" si="102"/>
        <v/>
      </c>
      <c r="O1333" t="str">
        <f t="shared" si="103"/>
        <v/>
      </c>
    </row>
    <row r="1334" spans="11:15" x14ac:dyDescent="0.3">
      <c r="K1334" t="str">
        <f t="shared" si="104"/>
        <v/>
      </c>
      <c r="L1334" t="str">
        <f t="shared" si="100"/>
        <v/>
      </c>
      <c r="M1334" t="str">
        <f t="shared" si="101"/>
        <v/>
      </c>
      <c r="N1334" t="str">
        <f t="shared" si="102"/>
        <v/>
      </c>
      <c r="O1334" t="str">
        <f t="shared" si="103"/>
        <v/>
      </c>
    </row>
    <row r="1335" spans="11:15" x14ac:dyDescent="0.3">
      <c r="K1335" t="str">
        <f t="shared" si="104"/>
        <v/>
      </c>
      <c r="L1335" t="str">
        <f t="shared" si="100"/>
        <v/>
      </c>
      <c r="M1335" t="str">
        <f t="shared" si="101"/>
        <v/>
      </c>
      <c r="N1335" t="str">
        <f t="shared" si="102"/>
        <v/>
      </c>
      <c r="O1335" t="str">
        <f t="shared" si="103"/>
        <v/>
      </c>
    </row>
    <row r="1336" spans="11:15" x14ac:dyDescent="0.3">
      <c r="K1336" t="str">
        <f t="shared" si="104"/>
        <v/>
      </c>
      <c r="L1336" t="str">
        <f t="shared" si="100"/>
        <v/>
      </c>
      <c r="M1336" t="str">
        <f t="shared" si="101"/>
        <v/>
      </c>
      <c r="N1336" t="str">
        <f t="shared" si="102"/>
        <v/>
      </c>
      <c r="O1336" t="str">
        <f t="shared" si="103"/>
        <v/>
      </c>
    </row>
    <row r="1337" spans="11:15" x14ac:dyDescent="0.3">
      <c r="K1337" t="str">
        <f t="shared" si="104"/>
        <v/>
      </c>
      <c r="L1337" t="str">
        <f t="shared" si="100"/>
        <v/>
      </c>
      <c r="M1337" t="str">
        <f t="shared" si="101"/>
        <v/>
      </c>
      <c r="N1337" t="str">
        <f t="shared" si="102"/>
        <v/>
      </c>
      <c r="O1337" t="str">
        <f t="shared" si="103"/>
        <v/>
      </c>
    </row>
    <row r="1338" spans="11:15" x14ac:dyDescent="0.3">
      <c r="K1338" t="str">
        <f t="shared" si="104"/>
        <v/>
      </c>
      <c r="L1338" t="str">
        <f t="shared" si="100"/>
        <v/>
      </c>
      <c r="M1338" t="str">
        <f t="shared" si="101"/>
        <v/>
      </c>
      <c r="N1338" t="str">
        <f t="shared" si="102"/>
        <v/>
      </c>
      <c r="O1338" t="str">
        <f t="shared" si="103"/>
        <v/>
      </c>
    </row>
    <row r="1339" spans="11:15" x14ac:dyDescent="0.3">
      <c r="K1339" t="str">
        <f t="shared" si="104"/>
        <v/>
      </c>
      <c r="L1339" t="str">
        <f t="shared" si="100"/>
        <v/>
      </c>
      <c r="M1339" t="str">
        <f t="shared" si="101"/>
        <v/>
      </c>
      <c r="N1339" t="str">
        <f t="shared" si="102"/>
        <v/>
      </c>
      <c r="O1339" t="str">
        <f t="shared" si="103"/>
        <v/>
      </c>
    </row>
    <row r="1340" spans="11:15" x14ac:dyDescent="0.3">
      <c r="K1340" t="str">
        <f t="shared" si="104"/>
        <v/>
      </c>
      <c r="L1340" t="str">
        <f t="shared" si="100"/>
        <v/>
      </c>
      <c r="M1340" t="str">
        <f t="shared" si="101"/>
        <v/>
      </c>
      <c r="N1340" t="str">
        <f t="shared" si="102"/>
        <v/>
      </c>
      <c r="O1340" t="str">
        <f t="shared" si="103"/>
        <v/>
      </c>
    </row>
    <row r="1341" spans="11:15" x14ac:dyDescent="0.3">
      <c r="K1341" t="str">
        <f t="shared" si="104"/>
        <v/>
      </c>
      <c r="L1341" t="str">
        <f t="shared" si="100"/>
        <v/>
      </c>
      <c r="M1341" t="str">
        <f t="shared" si="101"/>
        <v/>
      </c>
      <c r="N1341" t="str">
        <f t="shared" si="102"/>
        <v/>
      </c>
      <c r="O1341" t="str">
        <f t="shared" si="103"/>
        <v/>
      </c>
    </row>
    <row r="1342" spans="11:15" x14ac:dyDescent="0.3">
      <c r="K1342" t="str">
        <f t="shared" si="104"/>
        <v/>
      </c>
      <c r="L1342" t="str">
        <f t="shared" si="100"/>
        <v/>
      </c>
      <c r="M1342" t="str">
        <f t="shared" si="101"/>
        <v/>
      </c>
      <c r="N1342" t="str">
        <f t="shared" si="102"/>
        <v/>
      </c>
      <c r="O1342" t="str">
        <f t="shared" si="103"/>
        <v/>
      </c>
    </row>
    <row r="1343" spans="11:15" x14ac:dyDescent="0.3">
      <c r="K1343" t="str">
        <f t="shared" si="104"/>
        <v/>
      </c>
      <c r="L1343" t="str">
        <f t="shared" si="100"/>
        <v/>
      </c>
      <c r="M1343" t="str">
        <f t="shared" si="101"/>
        <v/>
      </c>
      <c r="N1343" t="str">
        <f t="shared" si="102"/>
        <v/>
      </c>
      <c r="O1343" t="str">
        <f t="shared" si="103"/>
        <v/>
      </c>
    </row>
    <row r="1344" spans="11:15" x14ac:dyDescent="0.3">
      <c r="K1344" t="str">
        <f t="shared" si="104"/>
        <v/>
      </c>
      <c r="L1344" t="str">
        <f t="shared" si="100"/>
        <v/>
      </c>
      <c r="M1344" t="str">
        <f t="shared" si="101"/>
        <v/>
      </c>
      <c r="N1344" t="str">
        <f t="shared" si="102"/>
        <v/>
      </c>
      <c r="O1344" t="str">
        <f t="shared" si="103"/>
        <v/>
      </c>
    </row>
    <row r="1345" spans="11:15" x14ac:dyDescent="0.3">
      <c r="K1345" t="str">
        <f t="shared" si="104"/>
        <v/>
      </c>
      <c r="L1345" t="str">
        <f t="shared" ref="L1345:L1408" si="105">IF(A1345="","",IF(ISNUMBER(--LEFT(A1345,FIND(" - ",A1345&amp;" - ")-1)),LEFT(A1345,FIND(" - ",A1345&amp;" - ")-1),TRIM(A1345)))</f>
        <v/>
      </c>
      <c r="M1345" t="str">
        <f t="shared" ref="M1345:M1408" si="106">IF(OR(K1345="",K1345=A1345,A1345=""),"",K1345&amp;"|"&amp;L1345)</f>
        <v/>
      </c>
      <c r="N1345" t="str">
        <f t="shared" ref="N1345:N1408" si="107">IF(M1345="","",IF(ISNUMBER(B1345),B1345,IFERROR(_xlfn.NUMBERVALUE(B1345,".",","),0)))</f>
        <v/>
      </c>
      <c r="O1345" t="str">
        <f t="shared" ref="O1345:O1408" si="108">IF(M1345="","",IF(ISNUMBER(C1345),C1345,IFERROR(_xlfn.NUMBERVALUE(C1345,".",","),0)))</f>
        <v/>
      </c>
    </row>
    <row r="1346" spans="11:15" x14ac:dyDescent="0.3">
      <c r="K1346" t="str">
        <f t="shared" ref="K1346:K1409" si="109">IF(OR(LEFT(B1346,9)="DOANH THU",LEFT(B1346,8)="SỐ LƯỢNG"),A1346,K1345)</f>
        <v/>
      </c>
      <c r="L1346" t="str">
        <f t="shared" si="105"/>
        <v/>
      </c>
      <c r="M1346" t="str">
        <f t="shared" si="106"/>
        <v/>
      </c>
      <c r="N1346" t="str">
        <f t="shared" si="107"/>
        <v/>
      </c>
      <c r="O1346" t="str">
        <f t="shared" si="108"/>
        <v/>
      </c>
    </row>
    <row r="1347" spans="11:15" x14ac:dyDescent="0.3">
      <c r="K1347" t="str">
        <f t="shared" si="109"/>
        <v/>
      </c>
      <c r="L1347" t="str">
        <f t="shared" si="105"/>
        <v/>
      </c>
      <c r="M1347" t="str">
        <f t="shared" si="106"/>
        <v/>
      </c>
      <c r="N1347" t="str">
        <f t="shared" si="107"/>
        <v/>
      </c>
      <c r="O1347" t="str">
        <f t="shared" si="108"/>
        <v/>
      </c>
    </row>
    <row r="1348" spans="11:15" x14ac:dyDescent="0.3">
      <c r="K1348" t="str">
        <f t="shared" si="109"/>
        <v/>
      </c>
      <c r="L1348" t="str">
        <f t="shared" si="105"/>
        <v/>
      </c>
      <c r="M1348" t="str">
        <f t="shared" si="106"/>
        <v/>
      </c>
      <c r="N1348" t="str">
        <f t="shared" si="107"/>
        <v/>
      </c>
      <c r="O1348" t="str">
        <f t="shared" si="108"/>
        <v/>
      </c>
    </row>
    <row r="1349" spans="11:15" x14ac:dyDescent="0.3">
      <c r="K1349" t="str">
        <f t="shared" si="109"/>
        <v/>
      </c>
      <c r="L1349" t="str">
        <f t="shared" si="105"/>
        <v/>
      </c>
      <c r="M1349" t="str">
        <f t="shared" si="106"/>
        <v/>
      </c>
      <c r="N1349" t="str">
        <f t="shared" si="107"/>
        <v/>
      </c>
      <c r="O1349" t="str">
        <f t="shared" si="108"/>
        <v/>
      </c>
    </row>
    <row r="1350" spans="11:15" x14ac:dyDescent="0.3">
      <c r="K1350" t="str">
        <f t="shared" si="109"/>
        <v/>
      </c>
      <c r="L1350" t="str">
        <f t="shared" si="105"/>
        <v/>
      </c>
      <c r="M1350" t="str">
        <f t="shared" si="106"/>
        <v/>
      </c>
      <c r="N1350" t="str">
        <f t="shared" si="107"/>
        <v/>
      </c>
      <c r="O1350" t="str">
        <f t="shared" si="108"/>
        <v/>
      </c>
    </row>
    <row r="1351" spans="11:15" x14ac:dyDescent="0.3">
      <c r="K1351" t="str">
        <f t="shared" si="109"/>
        <v/>
      </c>
      <c r="L1351" t="str">
        <f t="shared" si="105"/>
        <v/>
      </c>
      <c r="M1351" t="str">
        <f t="shared" si="106"/>
        <v/>
      </c>
      <c r="N1351" t="str">
        <f t="shared" si="107"/>
        <v/>
      </c>
      <c r="O1351" t="str">
        <f t="shared" si="108"/>
        <v/>
      </c>
    </row>
    <row r="1352" spans="11:15" x14ac:dyDescent="0.3">
      <c r="K1352" t="str">
        <f t="shared" si="109"/>
        <v/>
      </c>
      <c r="L1352" t="str">
        <f t="shared" si="105"/>
        <v/>
      </c>
      <c r="M1352" t="str">
        <f t="shared" si="106"/>
        <v/>
      </c>
      <c r="N1352" t="str">
        <f t="shared" si="107"/>
        <v/>
      </c>
      <c r="O1352" t="str">
        <f t="shared" si="108"/>
        <v/>
      </c>
    </row>
    <row r="1353" spans="11:15" x14ac:dyDescent="0.3">
      <c r="K1353" t="str">
        <f t="shared" si="109"/>
        <v/>
      </c>
      <c r="L1353" t="str">
        <f t="shared" si="105"/>
        <v/>
      </c>
      <c r="M1353" t="str">
        <f t="shared" si="106"/>
        <v/>
      </c>
      <c r="N1353" t="str">
        <f t="shared" si="107"/>
        <v/>
      </c>
      <c r="O1353" t="str">
        <f t="shared" si="108"/>
        <v/>
      </c>
    </row>
    <row r="1354" spans="11:15" x14ac:dyDescent="0.3">
      <c r="K1354" t="str">
        <f t="shared" si="109"/>
        <v/>
      </c>
      <c r="L1354" t="str">
        <f t="shared" si="105"/>
        <v/>
      </c>
      <c r="M1354" t="str">
        <f t="shared" si="106"/>
        <v/>
      </c>
      <c r="N1354" t="str">
        <f t="shared" si="107"/>
        <v/>
      </c>
      <c r="O1354" t="str">
        <f t="shared" si="108"/>
        <v/>
      </c>
    </row>
    <row r="1355" spans="11:15" x14ac:dyDescent="0.3">
      <c r="K1355" t="str">
        <f t="shared" si="109"/>
        <v/>
      </c>
      <c r="L1355" t="str">
        <f t="shared" si="105"/>
        <v/>
      </c>
      <c r="M1355" t="str">
        <f t="shared" si="106"/>
        <v/>
      </c>
      <c r="N1355" t="str">
        <f t="shared" si="107"/>
        <v/>
      </c>
      <c r="O1355" t="str">
        <f t="shared" si="108"/>
        <v/>
      </c>
    </row>
    <row r="1356" spans="11:15" x14ac:dyDescent="0.3">
      <c r="K1356" t="str">
        <f t="shared" si="109"/>
        <v/>
      </c>
      <c r="L1356" t="str">
        <f t="shared" si="105"/>
        <v/>
      </c>
      <c r="M1356" t="str">
        <f t="shared" si="106"/>
        <v/>
      </c>
      <c r="N1356" t="str">
        <f t="shared" si="107"/>
        <v/>
      </c>
      <c r="O1356" t="str">
        <f t="shared" si="108"/>
        <v/>
      </c>
    </row>
    <row r="1357" spans="11:15" x14ac:dyDescent="0.3">
      <c r="K1357" t="str">
        <f t="shared" si="109"/>
        <v/>
      </c>
      <c r="L1357" t="str">
        <f t="shared" si="105"/>
        <v/>
      </c>
      <c r="M1357" t="str">
        <f t="shared" si="106"/>
        <v/>
      </c>
      <c r="N1357" t="str">
        <f t="shared" si="107"/>
        <v/>
      </c>
      <c r="O1357" t="str">
        <f t="shared" si="108"/>
        <v/>
      </c>
    </row>
    <row r="1358" spans="11:15" x14ac:dyDescent="0.3">
      <c r="K1358" t="str">
        <f t="shared" si="109"/>
        <v/>
      </c>
      <c r="L1358" t="str">
        <f t="shared" si="105"/>
        <v/>
      </c>
      <c r="M1358" t="str">
        <f t="shared" si="106"/>
        <v/>
      </c>
      <c r="N1358" t="str">
        <f t="shared" si="107"/>
        <v/>
      </c>
      <c r="O1358" t="str">
        <f t="shared" si="108"/>
        <v/>
      </c>
    </row>
    <row r="1359" spans="11:15" x14ac:dyDescent="0.3">
      <c r="K1359" t="str">
        <f t="shared" si="109"/>
        <v/>
      </c>
      <c r="L1359" t="str">
        <f t="shared" si="105"/>
        <v/>
      </c>
      <c r="M1359" t="str">
        <f t="shared" si="106"/>
        <v/>
      </c>
      <c r="N1359" t="str">
        <f t="shared" si="107"/>
        <v/>
      </c>
      <c r="O1359" t="str">
        <f t="shared" si="108"/>
        <v/>
      </c>
    </row>
    <row r="1360" spans="11:15" x14ac:dyDescent="0.3">
      <c r="K1360" t="str">
        <f t="shared" si="109"/>
        <v/>
      </c>
      <c r="L1360" t="str">
        <f t="shared" si="105"/>
        <v/>
      </c>
      <c r="M1360" t="str">
        <f t="shared" si="106"/>
        <v/>
      </c>
      <c r="N1360" t="str">
        <f t="shared" si="107"/>
        <v/>
      </c>
      <c r="O1360" t="str">
        <f t="shared" si="108"/>
        <v/>
      </c>
    </row>
    <row r="1361" spans="11:15" x14ac:dyDescent="0.3">
      <c r="K1361" t="str">
        <f t="shared" si="109"/>
        <v/>
      </c>
      <c r="L1361" t="str">
        <f t="shared" si="105"/>
        <v/>
      </c>
      <c r="M1361" t="str">
        <f t="shared" si="106"/>
        <v/>
      </c>
      <c r="N1361" t="str">
        <f t="shared" si="107"/>
        <v/>
      </c>
      <c r="O1361" t="str">
        <f t="shared" si="108"/>
        <v/>
      </c>
    </row>
    <row r="1362" spans="11:15" x14ac:dyDescent="0.3">
      <c r="K1362" t="str">
        <f t="shared" si="109"/>
        <v/>
      </c>
      <c r="L1362" t="str">
        <f t="shared" si="105"/>
        <v/>
      </c>
      <c r="M1362" t="str">
        <f t="shared" si="106"/>
        <v/>
      </c>
      <c r="N1362" t="str">
        <f t="shared" si="107"/>
        <v/>
      </c>
      <c r="O1362" t="str">
        <f t="shared" si="108"/>
        <v/>
      </c>
    </row>
    <row r="1363" spans="11:15" x14ac:dyDescent="0.3">
      <c r="K1363" t="str">
        <f t="shared" si="109"/>
        <v/>
      </c>
      <c r="L1363" t="str">
        <f t="shared" si="105"/>
        <v/>
      </c>
      <c r="M1363" t="str">
        <f t="shared" si="106"/>
        <v/>
      </c>
      <c r="N1363" t="str">
        <f t="shared" si="107"/>
        <v/>
      </c>
      <c r="O1363" t="str">
        <f t="shared" si="108"/>
        <v/>
      </c>
    </row>
    <row r="1364" spans="11:15" x14ac:dyDescent="0.3">
      <c r="K1364" t="str">
        <f t="shared" si="109"/>
        <v/>
      </c>
      <c r="L1364" t="str">
        <f t="shared" si="105"/>
        <v/>
      </c>
      <c r="M1364" t="str">
        <f t="shared" si="106"/>
        <v/>
      </c>
      <c r="N1364" t="str">
        <f t="shared" si="107"/>
        <v/>
      </c>
      <c r="O1364" t="str">
        <f t="shared" si="108"/>
        <v/>
      </c>
    </row>
    <row r="1365" spans="11:15" x14ac:dyDescent="0.3">
      <c r="K1365" t="str">
        <f t="shared" si="109"/>
        <v/>
      </c>
      <c r="L1365" t="str">
        <f t="shared" si="105"/>
        <v/>
      </c>
      <c r="M1365" t="str">
        <f t="shared" si="106"/>
        <v/>
      </c>
      <c r="N1365" t="str">
        <f t="shared" si="107"/>
        <v/>
      </c>
      <c r="O1365" t="str">
        <f t="shared" si="108"/>
        <v/>
      </c>
    </row>
    <row r="1366" spans="11:15" x14ac:dyDescent="0.3">
      <c r="K1366" t="str">
        <f t="shared" si="109"/>
        <v/>
      </c>
      <c r="L1366" t="str">
        <f t="shared" si="105"/>
        <v/>
      </c>
      <c r="M1366" t="str">
        <f t="shared" si="106"/>
        <v/>
      </c>
      <c r="N1366" t="str">
        <f t="shared" si="107"/>
        <v/>
      </c>
      <c r="O1366" t="str">
        <f t="shared" si="108"/>
        <v/>
      </c>
    </row>
    <row r="1367" spans="11:15" x14ac:dyDescent="0.3">
      <c r="K1367" t="str">
        <f t="shared" si="109"/>
        <v/>
      </c>
      <c r="L1367" t="str">
        <f t="shared" si="105"/>
        <v/>
      </c>
      <c r="M1367" t="str">
        <f t="shared" si="106"/>
        <v/>
      </c>
      <c r="N1367" t="str">
        <f t="shared" si="107"/>
        <v/>
      </c>
      <c r="O1367" t="str">
        <f t="shared" si="108"/>
        <v/>
      </c>
    </row>
    <row r="1368" spans="11:15" x14ac:dyDescent="0.3">
      <c r="K1368" t="str">
        <f t="shared" si="109"/>
        <v/>
      </c>
      <c r="L1368" t="str">
        <f t="shared" si="105"/>
        <v/>
      </c>
      <c r="M1368" t="str">
        <f t="shared" si="106"/>
        <v/>
      </c>
      <c r="N1368" t="str">
        <f t="shared" si="107"/>
        <v/>
      </c>
      <c r="O1368" t="str">
        <f t="shared" si="108"/>
        <v/>
      </c>
    </row>
    <row r="1369" spans="11:15" x14ac:dyDescent="0.3">
      <c r="K1369" t="str">
        <f t="shared" si="109"/>
        <v/>
      </c>
      <c r="L1369" t="str">
        <f t="shared" si="105"/>
        <v/>
      </c>
      <c r="M1369" t="str">
        <f t="shared" si="106"/>
        <v/>
      </c>
      <c r="N1369" t="str">
        <f t="shared" si="107"/>
        <v/>
      </c>
      <c r="O1369" t="str">
        <f t="shared" si="108"/>
        <v/>
      </c>
    </row>
    <row r="1370" spans="11:15" x14ac:dyDescent="0.3">
      <c r="K1370" t="str">
        <f t="shared" si="109"/>
        <v/>
      </c>
      <c r="L1370" t="str">
        <f t="shared" si="105"/>
        <v/>
      </c>
      <c r="M1370" t="str">
        <f t="shared" si="106"/>
        <v/>
      </c>
      <c r="N1370" t="str">
        <f t="shared" si="107"/>
        <v/>
      </c>
      <c r="O1370" t="str">
        <f t="shared" si="108"/>
        <v/>
      </c>
    </row>
    <row r="1371" spans="11:15" x14ac:dyDescent="0.3">
      <c r="K1371" t="str">
        <f t="shared" si="109"/>
        <v/>
      </c>
      <c r="L1371" t="str">
        <f t="shared" si="105"/>
        <v/>
      </c>
      <c r="M1371" t="str">
        <f t="shared" si="106"/>
        <v/>
      </c>
      <c r="N1371" t="str">
        <f t="shared" si="107"/>
        <v/>
      </c>
      <c r="O1371" t="str">
        <f t="shared" si="108"/>
        <v/>
      </c>
    </row>
    <row r="1372" spans="11:15" x14ac:dyDescent="0.3">
      <c r="K1372" t="str">
        <f t="shared" si="109"/>
        <v/>
      </c>
      <c r="L1372" t="str">
        <f t="shared" si="105"/>
        <v/>
      </c>
      <c r="M1372" t="str">
        <f t="shared" si="106"/>
        <v/>
      </c>
      <c r="N1372" t="str">
        <f t="shared" si="107"/>
        <v/>
      </c>
      <c r="O1372" t="str">
        <f t="shared" si="108"/>
        <v/>
      </c>
    </row>
    <row r="1373" spans="11:15" x14ac:dyDescent="0.3">
      <c r="K1373" t="str">
        <f t="shared" si="109"/>
        <v/>
      </c>
      <c r="L1373" t="str">
        <f t="shared" si="105"/>
        <v/>
      </c>
      <c r="M1373" t="str">
        <f t="shared" si="106"/>
        <v/>
      </c>
      <c r="N1373" t="str">
        <f t="shared" si="107"/>
        <v/>
      </c>
      <c r="O1373" t="str">
        <f t="shared" si="108"/>
        <v/>
      </c>
    </row>
    <row r="1374" spans="11:15" x14ac:dyDescent="0.3">
      <c r="K1374" t="str">
        <f t="shared" si="109"/>
        <v/>
      </c>
      <c r="L1374" t="str">
        <f t="shared" si="105"/>
        <v/>
      </c>
      <c r="M1374" t="str">
        <f t="shared" si="106"/>
        <v/>
      </c>
      <c r="N1374" t="str">
        <f t="shared" si="107"/>
        <v/>
      </c>
      <c r="O1374" t="str">
        <f t="shared" si="108"/>
        <v/>
      </c>
    </row>
    <row r="1375" spans="11:15" x14ac:dyDescent="0.3">
      <c r="K1375" t="str">
        <f t="shared" si="109"/>
        <v/>
      </c>
      <c r="L1375" t="str">
        <f t="shared" si="105"/>
        <v/>
      </c>
      <c r="M1375" t="str">
        <f t="shared" si="106"/>
        <v/>
      </c>
      <c r="N1375" t="str">
        <f t="shared" si="107"/>
        <v/>
      </c>
      <c r="O1375" t="str">
        <f t="shared" si="108"/>
        <v/>
      </c>
    </row>
    <row r="1376" spans="11:15" x14ac:dyDescent="0.3">
      <c r="K1376" t="str">
        <f t="shared" si="109"/>
        <v/>
      </c>
      <c r="L1376" t="str">
        <f t="shared" si="105"/>
        <v/>
      </c>
      <c r="M1376" t="str">
        <f t="shared" si="106"/>
        <v/>
      </c>
      <c r="N1376" t="str">
        <f t="shared" si="107"/>
        <v/>
      </c>
      <c r="O1376" t="str">
        <f t="shared" si="108"/>
        <v/>
      </c>
    </row>
    <row r="1377" spans="11:15" x14ac:dyDescent="0.3">
      <c r="K1377" t="str">
        <f t="shared" si="109"/>
        <v/>
      </c>
      <c r="L1377" t="str">
        <f t="shared" si="105"/>
        <v/>
      </c>
      <c r="M1377" t="str">
        <f t="shared" si="106"/>
        <v/>
      </c>
      <c r="N1377" t="str">
        <f t="shared" si="107"/>
        <v/>
      </c>
      <c r="O1377" t="str">
        <f t="shared" si="108"/>
        <v/>
      </c>
    </row>
    <row r="1378" spans="11:15" x14ac:dyDescent="0.3">
      <c r="K1378" t="str">
        <f t="shared" si="109"/>
        <v/>
      </c>
      <c r="L1378" t="str">
        <f t="shared" si="105"/>
        <v/>
      </c>
      <c r="M1378" t="str">
        <f t="shared" si="106"/>
        <v/>
      </c>
      <c r="N1378" t="str">
        <f t="shared" si="107"/>
        <v/>
      </c>
      <c r="O1378" t="str">
        <f t="shared" si="108"/>
        <v/>
      </c>
    </row>
    <row r="1379" spans="11:15" x14ac:dyDescent="0.3">
      <c r="K1379" t="str">
        <f t="shared" si="109"/>
        <v/>
      </c>
      <c r="L1379" t="str">
        <f t="shared" si="105"/>
        <v/>
      </c>
      <c r="M1379" t="str">
        <f t="shared" si="106"/>
        <v/>
      </c>
      <c r="N1379" t="str">
        <f t="shared" si="107"/>
        <v/>
      </c>
      <c r="O1379" t="str">
        <f t="shared" si="108"/>
        <v/>
      </c>
    </row>
    <row r="1380" spans="11:15" x14ac:dyDescent="0.3">
      <c r="K1380" t="str">
        <f t="shared" si="109"/>
        <v/>
      </c>
      <c r="L1380" t="str">
        <f t="shared" si="105"/>
        <v/>
      </c>
      <c r="M1380" t="str">
        <f t="shared" si="106"/>
        <v/>
      </c>
      <c r="N1380" t="str">
        <f t="shared" si="107"/>
        <v/>
      </c>
      <c r="O1380" t="str">
        <f t="shared" si="108"/>
        <v/>
      </c>
    </row>
    <row r="1381" spans="11:15" x14ac:dyDescent="0.3">
      <c r="K1381" t="str">
        <f t="shared" si="109"/>
        <v/>
      </c>
      <c r="L1381" t="str">
        <f t="shared" si="105"/>
        <v/>
      </c>
      <c r="M1381" t="str">
        <f t="shared" si="106"/>
        <v/>
      </c>
      <c r="N1381" t="str">
        <f t="shared" si="107"/>
        <v/>
      </c>
      <c r="O1381" t="str">
        <f t="shared" si="108"/>
        <v/>
      </c>
    </row>
    <row r="1382" spans="11:15" x14ac:dyDescent="0.3">
      <c r="K1382" t="str">
        <f t="shared" si="109"/>
        <v/>
      </c>
      <c r="L1382" t="str">
        <f t="shared" si="105"/>
        <v/>
      </c>
      <c r="M1382" t="str">
        <f t="shared" si="106"/>
        <v/>
      </c>
      <c r="N1382" t="str">
        <f t="shared" si="107"/>
        <v/>
      </c>
      <c r="O1382" t="str">
        <f t="shared" si="108"/>
        <v/>
      </c>
    </row>
    <row r="1383" spans="11:15" x14ac:dyDescent="0.3">
      <c r="K1383" t="str">
        <f t="shared" si="109"/>
        <v/>
      </c>
      <c r="L1383" t="str">
        <f t="shared" si="105"/>
        <v/>
      </c>
      <c r="M1383" t="str">
        <f t="shared" si="106"/>
        <v/>
      </c>
      <c r="N1383" t="str">
        <f t="shared" si="107"/>
        <v/>
      </c>
      <c r="O1383" t="str">
        <f t="shared" si="108"/>
        <v/>
      </c>
    </row>
    <row r="1384" spans="11:15" x14ac:dyDescent="0.3">
      <c r="K1384" t="str">
        <f t="shared" si="109"/>
        <v/>
      </c>
      <c r="L1384" t="str">
        <f t="shared" si="105"/>
        <v/>
      </c>
      <c r="M1384" t="str">
        <f t="shared" si="106"/>
        <v/>
      </c>
      <c r="N1384" t="str">
        <f t="shared" si="107"/>
        <v/>
      </c>
      <c r="O1384" t="str">
        <f t="shared" si="108"/>
        <v/>
      </c>
    </row>
    <row r="1385" spans="11:15" x14ac:dyDescent="0.3">
      <c r="K1385" t="str">
        <f t="shared" si="109"/>
        <v/>
      </c>
      <c r="L1385" t="str">
        <f t="shared" si="105"/>
        <v/>
      </c>
      <c r="M1385" t="str">
        <f t="shared" si="106"/>
        <v/>
      </c>
      <c r="N1385" t="str">
        <f t="shared" si="107"/>
        <v/>
      </c>
      <c r="O1385" t="str">
        <f t="shared" si="108"/>
        <v/>
      </c>
    </row>
    <row r="1386" spans="11:15" x14ac:dyDescent="0.3">
      <c r="K1386" t="str">
        <f t="shared" si="109"/>
        <v/>
      </c>
      <c r="L1386" t="str">
        <f t="shared" si="105"/>
        <v/>
      </c>
      <c r="M1386" t="str">
        <f t="shared" si="106"/>
        <v/>
      </c>
      <c r="N1386" t="str">
        <f t="shared" si="107"/>
        <v/>
      </c>
      <c r="O1386" t="str">
        <f t="shared" si="108"/>
        <v/>
      </c>
    </row>
    <row r="1387" spans="11:15" x14ac:dyDescent="0.3">
      <c r="K1387" t="str">
        <f t="shared" si="109"/>
        <v/>
      </c>
      <c r="L1387" t="str">
        <f t="shared" si="105"/>
        <v/>
      </c>
      <c r="M1387" t="str">
        <f t="shared" si="106"/>
        <v/>
      </c>
      <c r="N1387" t="str">
        <f t="shared" si="107"/>
        <v/>
      </c>
      <c r="O1387" t="str">
        <f t="shared" si="108"/>
        <v/>
      </c>
    </row>
    <row r="1388" spans="11:15" x14ac:dyDescent="0.3">
      <c r="K1388" t="str">
        <f t="shared" si="109"/>
        <v/>
      </c>
      <c r="L1388" t="str">
        <f t="shared" si="105"/>
        <v/>
      </c>
      <c r="M1388" t="str">
        <f t="shared" si="106"/>
        <v/>
      </c>
      <c r="N1388" t="str">
        <f t="shared" si="107"/>
        <v/>
      </c>
      <c r="O1388" t="str">
        <f t="shared" si="108"/>
        <v/>
      </c>
    </row>
    <row r="1389" spans="11:15" x14ac:dyDescent="0.3">
      <c r="K1389" t="str">
        <f t="shared" si="109"/>
        <v/>
      </c>
      <c r="L1389" t="str">
        <f t="shared" si="105"/>
        <v/>
      </c>
      <c r="M1389" t="str">
        <f t="shared" si="106"/>
        <v/>
      </c>
      <c r="N1389" t="str">
        <f t="shared" si="107"/>
        <v/>
      </c>
      <c r="O1389" t="str">
        <f t="shared" si="108"/>
        <v/>
      </c>
    </row>
    <row r="1390" spans="11:15" x14ac:dyDescent="0.3">
      <c r="K1390" t="str">
        <f t="shared" si="109"/>
        <v/>
      </c>
      <c r="L1390" t="str">
        <f t="shared" si="105"/>
        <v/>
      </c>
      <c r="M1390" t="str">
        <f t="shared" si="106"/>
        <v/>
      </c>
      <c r="N1390" t="str">
        <f t="shared" si="107"/>
        <v/>
      </c>
      <c r="O1390" t="str">
        <f t="shared" si="108"/>
        <v/>
      </c>
    </row>
    <row r="1391" spans="11:15" x14ac:dyDescent="0.3">
      <c r="K1391" t="str">
        <f t="shared" si="109"/>
        <v/>
      </c>
      <c r="L1391" t="str">
        <f t="shared" si="105"/>
        <v/>
      </c>
      <c r="M1391" t="str">
        <f t="shared" si="106"/>
        <v/>
      </c>
      <c r="N1391" t="str">
        <f t="shared" si="107"/>
        <v/>
      </c>
      <c r="O1391" t="str">
        <f t="shared" si="108"/>
        <v/>
      </c>
    </row>
    <row r="1392" spans="11:15" x14ac:dyDescent="0.3">
      <c r="K1392" t="str">
        <f t="shared" si="109"/>
        <v/>
      </c>
      <c r="L1392" t="str">
        <f t="shared" si="105"/>
        <v/>
      </c>
      <c r="M1392" t="str">
        <f t="shared" si="106"/>
        <v/>
      </c>
      <c r="N1392" t="str">
        <f t="shared" si="107"/>
        <v/>
      </c>
      <c r="O1392" t="str">
        <f t="shared" si="108"/>
        <v/>
      </c>
    </row>
    <row r="1393" spans="11:15" x14ac:dyDescent="0.3">
      <c r="K1393" t="str">
        <f t="shared" si="109"/>
        <v/>
      </c>
      <c r="L1393" t="str">
        <f t="shared" si="105"/>
        <v/>
      </c>
      <c r="M1393" t="str">
        <f t="shared" si="106"/>
        <v/>
      </c>
      <c r="N1393" t="str">
        <f t="shared" si="107"/>
        <v/>
      </c>
      <c r="O1393" t="str">
        <f t="shared" si="108"/>
        <v/>
      </c>
    </row>
    <row r="1394" spans="11:15" x14ac:dyDescent="0.3">
      <c r="K1394" t="str">
        <f t="shared" si="109"/>
        <v/>
      </c>
      <c r="L1394" t="str">
        <f t="shared" si="105"/>
        <v/>
      </c>
      <c r="M1394" t="str">
        <f t="shared" si="106"/>
        <v/>
      </c>
      <c r="N1394" t="str">
        <f t="shared" si="107"/>
        <v/>
      </c>
      <c r="O1394" t="str">
        <f t="shared" si="108"/>
        <v/>
      </c>
    </row>
    <row r="1395" spans="11:15" x14ac:dyDescent="0.3">
      <c r="K1395" t="str">
        <f t="shared" si="109"/>
        <v/>
      </c>
      <c r="L1395" t="str">
        <f t="shared" si="105"/>
        <v/>
      </c>
      <c r="M1395" t="str">
        <f t="shared" si="106"/>
        <v/>
      </c>
      <c r="N1395" t="str">
        <f t="shared" si="107"/>
        <v/>
      </c>
      <c r="O1395" t="str">
        <f t="shared" si="108"/>
        <v/>
      </c>
    </row>
    <row r="1396" spans="11:15" x14ac:dyDescent="0.3">
      <c r="K1396" t="str">
        <f t="shared" si="109"/>
        <v/>
      </c>
      <c r="L1396" t="str">
        <f t="shared" si="105"/>
        <v/>
      </c>
      <c r="M1396" t="str">
        <f t="shared" si="106"/>
        <v/>
      </c>
      <c r="N1396" t="str">
        <f t="shared" si="107"/>
        <v/>
      </c>
      <c r="O1396" t="str">
        <f t="shared" si="108"/>
        <v/>
      </c>
    </row>
    <row r="1397" spans="11:15" x14ac:dyDescent="0.3">
      <c r="K1397" t="str">
        <f t="shared" si="109"/>
        <v/>
      </c>
      <c r="L1397" t="str">
        <f t="shared" si="105"/>
        <v/>
      </c>
      <c r="M1397" t="str">
        <f t="shared" si="106"/>
        <v/>
      </c>
      <c r="N1397" t="str">
        <f t="shared" si="107"/>
        <v/>
      </c>
      <c r="O1397" t="str">
        <f t="shared" si="108"/>
        <v/>
      </c>
    </row>
    <row r="1398" spans="11:15" x14ac:dyDescent="0.3">
      <c r="K1398" t="str">
        <f t="shared" si="109"/>
        <v/>
      </c>
      <c r="L1398" t="str">
        <f t="shared" si="105"/>
        <v/>
      </c>
      <c r="M1398" t="str">
        <f t="shared" si="106"/>
        <v/>
      </c>
      <c r="N1398" t="str">
        <f t="shared" si="107"/>
        <v/>
      </c>
      <c r="O1398" t="str">
        <f t="shared" si="108"/>
        <v/>
      </c>
    </row>
    <row r="1399" spans="11:15" x14ac:dyDescent="0.3">
      <c r="K1399" t="str">
        <f t="shared" si="109"/>
        <v/>
      </c>
      <c r="L1399" t="str">
        <f t="shared" si="105"/>
        <v/>
      </c>
      <c r="M1399" t="str">
        <f t="shared" si="106"/>
        <v/>
      </c>
      <c r="N1399" t="str">
        <f t="shared" si="107"/>
        <v/>
      </c>
      <c r="O1399" t="str">
        <f t="shared" si="108"/>
        <v/>
      </c>
    </row>
    <row r="1400" spans="11:15" x14ac:dyDescent="0.3">
      <c r="K1400" t="str">
        <f t="shared" si="109"/>
        <v/>
      </c>
      <c r="L1400" t="str">
        <f t="shared" si="105"/>
        <v/>
      </c>
      <c r="M1400" t="str">
        <f t="shared" si="106"/>
        <v/>
      </c>
      <c r="N1400" t="str">
        <f t="shared" si="107"/>
        <v/>
      </c>
      <c r="O1400" t="str">
        <f t="shared" si="108"/>
        <v/>
      </c>
    </row>
    <row r="1401" spans="11:15" x14ac:dyDescent="0.3">
      <c r="K1401" t="str">
        <f t="shared" si="109"/>
        <v/>
      </c>
      <c r="L1401" t="str">
        <f t="shared" si="105"/>
        <v/>
      </c>
      <c r="M1401" t="str">
        <f t="shared" si="106"/>
        <v/>
      </c>
      <c r="N1401" t="str">
        <f t="shared" si="107"/>
        <v/>
      </c>
      <c r="O1401" t="str">
        <f t="shared" si="108"/>
        <v/>
      </c>
    </row>
    <row r="1402" spans="11:15" x14ac:dyDescent="0.3">
      <c r="K1402" t="str">
        <f t="shared" si="109"/>
        <v/>
      </c>
      <c r="L1402" t="str">
        <f t="shared" si="105"/>
        <v/>
      </c>
      <c r="M1402" t="str">
        <f t="shared" si="106"/>
        <v/>
      </c>
      <c r="N1402" t="str">
        <f t="shared" si="107"/>
        <v/>
      </c>
      <c r="O1402" t="str">
        <f t="shared" si="108"/>
        <v/>
      </c>
    </row>
    <row r="1403" spans="11:15" x14ac:dyDescent="0.3">
      <c r="K1403" t="str">
        <f t="shared" si="109"/>
        <v/>
      </c>
      <c r="L1403" t="str">
        <f t="shared" si="105"/>
        <v/>
      </c>
      <c r="M1403" t="str">
        <f t="shared" si="106"/>
        <v/>
      </c>
      <c r="N1403" t="str">
        <f t="shared" si="107"/>
        <v/>
      </c>
      <c r="O1403" t="str">
        <f t="shared" si="108"/>
        <v/>
      </c>
    </row>
    <row r="1404" spans="11:15" x14ac:dyDescent="0.3">
      <c r="K1404" t="str">
        <f t="shared" si="109"/>
        <v/>
      </c>
      <c r="L1404" t="str">
        <f t="shared" si="105"/>
        <v/>
      </c>
      <c r="M1404" t="str">
        <f t="shared" si="106"/>
        <v/>
      </c>
      <c r="N1404" t="str">
        <f t="shared" si="107"/>
        <v/>
      </c>
      <c r="O1404" t="str">
        <f t="shared" si="108"/>
        <v/>
      </c>
    </row>
    <row r="1405" spans="11:15" x14ac:dyDescent="0.3">
      <c r="K1405" t="str">
        <f t="shared" si="109"/>
        <v/>
      </c>
      <c r="L1405" t="str">
        <f t="shared" si="105"/>
        <v/>
      </c>
      <c r="M1405" t="str">
        <f t="shared" si="106"/>
        <v/>
      </c>
      <c r="N1405" t="str">
        <f t="shared" si="107"/>
        <v/>
      </c>
      <c r="O1405" t="str">
        <f t="shared" si="108"/>
        <v/>
      </c>
    </row>
    <row r="1406" spans="11:15" x14ac:dyDescent="0.3">
      <c r="K1406" t="str">
        <f t="shared" si="109"/>
        <v/>
      </c>
      <c r="L1406" t="str">
        <f t="shared" si="105"/>
        <v/>
      </c>
      <c r="M1406" t="str">
        <f t="shared" si="106"/>
        <v/>
      </c>
      <c r="N1406" t="str">
        <f t="shared" si="107"/>
        <v/>
      </c>
      <c r="O1406" t="str">
        <f t="shared" si="108"/>
        <v/>
      </c>
    </row>
    <row r="1407" spans="11:15" x14ac:dyDescent="0.3">
      <c r="K1407" t="str">
        <f t="shared" si="109"/>
        <v/>
      </c>
      <c r="L1407" t="str">
        <f t="shared" si="105"/>
        <v/>
      </c>
      <c r="M1407" t="str">
        <f t="shared" si="106"/>
        <v/>
      </c>
      <c r="N1407" t="str">
        <f t="shared" si="107"/>
        <v/>
      </c>
      <c r="O1407" t="str">
        <f t="shared" si="108"/>
        <v/>
      </c>
    </row>
    <row r="1408" spans="11:15" x14ac:dyDescent="0.3">
      <c r="K1408" t="str">
        <f t="shared" si="109"/>
        <v/>
      </c>
      <c r="L1408" t="str">
        <f t="shared" si="105"/>
        <v/>
      </c>
      <c r="M1408" t="str">
        <f t="shared" si="106"/>
        <v/>
      </c>
      <c r="N1408" t="str">
        <f t="shared" si="107"/>
        <v/>
      </c>
      <c r="O1408" t="str">
        <f t="shared" si="108"/>
        <v/>
      </c>
    </row>
    <row r="1409" spans="11:15" x14ac:dyDescent="0.3">
      <c r="K1409" t="str">
        <f t="shared" si="109"/>
        <v/>
      </c>
      <c r="L1409" t="str">
        <f t="shared" ref="L1409:L1472" si="110">IF(A1409="","",IF(ISNUMBER(--LEFT(A1409,FIND(" - ",A1409&amp;" - ")-1)),LEFT(A1409,FIND(" - ",A1409&amp;" - ")-1),TRIM(A1409)))</f>
        <v/>
      </c>
      <c r="M1409" t="str">
        <f t="shared" ref="M1409:M1472" si="111">IF(OR(K1409="",K1409=A1409,A1409=""),"",K1409&amp;"|"&amp;L1409)</f>
        <v/>
      </c>
      <c r="N1409" t="str">
        <f t="shared" ref="N1409:N1472" si="112">IF(M1409="","",IF(ISNUMBER(B1409),B1409,IFERROR(_xlfn.NUMBERVALUE(B1409,".",","),0)))</f>
        <v/>
      </c>
      <c r="O1409" t="str">
        <f t="shared" ref="O1409:O1472" si="113">IF(M1409="","",IF(ISNUMBER(C1409),C1409,IFERROR(_xlfn.NUMBERVALUE(C1409,".",","),0)))</f>
        <v/>
      </c>
    </row>
    <row r="1410" spans="11:15" x14ac:dyDescent="0.3">
      <c r="K1410" t="str">
        <f t="shared" ref="K1410:K1473" si="114">IF(OR(LEFT(B1410,9)="DOANH THU",LEFT(B1410,8)="SỐ LƯỢNG"),A1410,K1409)</f>
        <v/>
      </c>
      <c r="L1410" t="str">
        <f t="shared" si="110"/>
        <v/>
      </c>
      <c r="M1410" t="str">
        <f t="shared" si="111"/>
        <v/>
      </c>
      <c r="N1410" t="str">
        <f t="shared" si="112"/>
        <v/>
      </c>
      <c r="O1410" t="str">
        <f t="shared" si="113"/>
        <v/>
      </c>
    </row>
    <row r="1411" spans="11:15" x14ac:dyDescent="0.3">
      <c r="K1411" t="str">
        <f t="shared" si="114"/>
        <v/>
      </c>
      <c r="L1411" t="str">
        <f t="shared" si="110"/>
        <v/>
      </c>
      <c r="M1411" t="str">
        <f t="shared" si="111"/>
        <v/>
      </c>
      <c r="N1411" t="str">
        <f t="shared" si="112"/>
        <v/>
      </c>
      <c r="O1411" t="str">
        <f t="shared" si="113"/>
        <v/>
      </c>
    </row>
    <row r="1412" spans="11:15" x14ac:dyDescent="0.3">
      <c r="K1412" t="str">
        <f t="shared" si="114"/>
        <v/>
      </c>
      <c r="L1412" t="str">
        <f t="shared" si="110"/>
        <v/>
      </c>
      <c r="M1412" t="str">
        <f t="shared" si="111"/>
        <v/>
      </c>
      <c r="N1412" t="str">
        <f t="shared" si="112"/>
        <v/>
      </c>
      <c r="O1412" t="str">
        <f t="shared" si="113"/>
        <v/>
      </c>
    </row>
    <row r="1413" spans="11:15" x14ac:dyDescent="0.3">
      <c r="K1413" t="str">
        <f t="shared" si="114"/>
        <v/>
      </c>
      <c r="L1413" t="str">
        <f t="shared" si="110"/>
        <v/>
      </c>
      <c r="M1413" t="str">
        <f t="shared" si="111"/>
        <v/>
      </c>
      <c r="N1413" t="str">
        <f t="shared" si="112"/>
        <v/>
      </c>
      <c r="O1413" t="str">
        <f t="shared" si="113"/>
        <v/>
      </c>
    </row>
    <row r="1414" spans="11:15" x14ac:dyDescent="0.3">
      <c r="K1414" t="str">
        <f t="shared" si="114"/>
        <v/>
      </c>
      <c r="L1414" t="str">
        <f t="shared" si="110"/>
        <v/>
      </c>
      <c r="M1414" t="str">
        <f t="shared" si="111"/>
        <v/>
      </c>
      <c r="N1414" t="str">
        <f t="shared" si="112"/>
        <v/>
      </c>
      <c r="O1414" t="str">
        <f t="shared" si="113"/>
        <v/>
      </c>
    </row>
    <row r="1415" spans="11:15" x14ac:dyDescent="0.3">
      <c r="K1415" t="str">
        <f t="shared" si="114"/>
        <v/>
      </c>
      <c r="L1415" t="str">
        <f t="shared" si="110"/>
        <v/>
      </c>
      <c r="M1415" t="str">
        <f t="shared" si="111"/>
        <v/>
      </c>
      <c r="N1415" t="str">
        <f t="shared" si="112"/>
        <v/>
      </c>
      <c r="O1415" t="str">
        <f t="shared" si="113"/>
        <v/>
      </c>
    </row>
    <row r="1416" spans="11:15" x14ac:dyDescent="0.3">
      <c r="K1416" t="str">
        <f t="shared" si="114"/>
        <v/>
      </c>
      <c r="L1416" t="str">
        <f t="shared" si="110"/>
        <v/>
      </c>
      <c r="M1416" t="str">
        <f t="shared" si="111"/>
        <v/>
      </c>
      <c r="N1416" t="str">
        <f t="shared" si="112"/>
        <v/>
      </c>
      <c r="O1416" t="str">
        <f t="shared" si="113"/>
        <v/>
      </c>
    </row>
    <row r="1417" spans="11:15" x14ac:dyDescent="0.3">
      <c r="K1417" t="str">
        <f t="shared" si="114"/>
        <v/>
      </c>
      <c r="L1417" t="str">
        <f t="shared" si="110"/>
        <v/>
      </c>
      <c r="M1417" t="str">
        <f t="shared" si="111"/>
        <v/>
      </c>
      <c r="N1417" t="str">
        <f t="shared" si="112"/>
        <v/>
      </c>
      <c r="O1417" t="str">
        <f t="shared" si="113"/>
        <v/>
      </c>
    </row>
    <row r="1418" spans="11:15" x14ac:dyDescent="0.3">
      <c r="K1418" t="str">
        <f t="shared" si="114"/>
        <v/>
      </c>
      <c r="L1418" t="str">
        <f t="shared" si="110"/>
        <v/>
      </c>
      <c r="M1418" t="str">
        <f t="shared" si="111"/>
        <v/>
      </c>
      <c r="N1418" t="str">
        <f t="shared" si="112"/>
        <v/>
      </c>
      <c r="O1418" t="str">
        <f t="shared" si="113"/>
        <v/>
      </c>
    </row>
    <row r="1419" spans="11:15" x14ac:dyDescent="0.3">
      <c r="K1419" t="str">
        <f t="shared" si="114"/>
        <v/>
      </c>
      <c r="L1419" t="str">
        <f t="shared" si="110"/>
        <v/>
      </c>
      <c r="M1419" t="str">
        <f t="shared" si="111"/>
        <v/>
      </c>
      <c r="N1419" t="str">
        <f t="shared" si="112"/>
        <v/>
      </c>
      <c r="O1419" t="str">
        <f t="shared" si="113"/>
        <v/>
      </c>
    </row>
    <row r="1420" spans="11:15" x14ac:dyDescent="0.3">
      <c r="K1420" t="str">
        <f t="shared" si="114"/>
        <v/>
      </c>
      <c r="L1420" t="str">
        <f t="shared" si="110"/>
        <v/>
      </c>
      <c r="M1420" t="str">
        <f t="shared" si="111"/>
        <v/>
      </c>
      <c r="N1420" t="str">
        <f t="shared" si="112"/>
        <v/>
      </c>
      <c r="O1420" t="str">
        <f t="shared" si="113"/>
        <v/>
      </c>
    </row>
    <row r="1421" spans="11:15" x14ac:dyDescent="0.3">
      <c r="K1421" t="str">
        <f t="shared" si="114"/>
        <v/>
      </c>
      <c r="L1421" t="str">
        <f t="shared" si="110"/>
        <v/>
      </c>
      <c r="M1421" t="str">
        <f t="shared" si="111"/>
        <v/>
      </c>
      <c r="N1421" t="str">
        <f t="shared" si="112"/>
        <v/>
      </c>
      <c r="O1421" t="str">
        <f t="shared" si="113"/>
        <v/>
      </c>
    </row>
    <row r="1422" spans="11:15" x14ac:dyDescent="0.3">
      <c r="K1422" t="str">
        <f t="shared" si="114"/>
        <v/>
      </c>
      <c r="L1422" t="str">
        <f t="shared" si="110"/>
        <v/>
      </c>
      <c r="M1422" t="str">
        <f t="shared" si="111"/>
        <v/>
      </c>
      <c r="N1422" t="str">
        <f t="shared" si="112"/>
        <v/>
      </c>
      <c r="O1422" t="str">
        <f t="shared" si="113"/>
        <v/>
      </c>
    </row>
    <row r="1423" spans="11:15" x14ac:dyDescent="0.3">
      <c r="K1423" t="str">
        <f t="shared" si="114"/>
        <v/>
      </c>
      <c r="L1423" t="str">
        <f t="shared" si="110"/>
        <v/>
      </c>
      <c r="M1423" t="str">
        <f t="shared" si="111"/>
        <v/>
      </c>
      <c r="N1423" t="str">
        <f t="shared" si="112"/>
        <v/>
      </c>
      <c r="O1423" t="str">
        <f t="shared" si="113"/>
        <v/>
      </c>
    </row>
    <row r="1424" spans="11:15" x14ac:dyDescent="0.3">
      <c r="K1424" t="str">
        <f t="shared" si="114"/>
        <v/>
      </c>
      <c r="L1424" t="str">
        <f t="shared" si="110"/>
        <v/>
      </c>
      <c r="M1424" t="str">
        <f t="shared" si="111"/>
        <v/>
      </c>
      <c r="N1424" t="str">
        <f t="shared" si="112"/>
        <v/>
      </c>
      <c r="O1424" t="str">
        <f t="shared" si="113"/>
        <v/>
      </c>
    </row>
    <row r="1425" spans="11:15" x14ac:dyDescent="0.3">
      <c r="K1425" t="str">
        <f t="shared" si="114"/>
        <v/>
      </c>
      <c r="L1425" t="str">
        <f t="shared" si="110"/>
        <v/>
      </c>
      <c r="M1425" t="str">
        <f t="shared" si="111"/>
        <v/>
      </c>
      <c r="N1425" t="str">
        <f t="shared" si="112"/>
        <v/>
      </c>
      <c r="O1425" t="str">
        <f t="shared" si="113"/>
        <v/>
      </c>
    </row>
    <row r="1426" spans="11:15" x14ac:dyDescent="0.3">
      <c r="K1426" t="str">
        <f t="shared" si="114"/>
        <v/>
      </c>
      <c r="L1426" t="str">
        <f t="shared" si="110"/>
        <v/>
      </c>
      <c r="M1426" t="str">
        <f t="shared" si="111"/>
        <v/>
      </c>
      <c r="N1426" t="str">
        <f t="shared" si="112"/>
        <v/>
      </c>
      <c r="O1426" t="str">
        <f t="shared" si="113"/>
        <v/>
      </c>
    </row>
    <row r="1427" spans="11:15" x14ac:dyDescent="0.3">
      <c r="K1427" t="str">
        <f t="shared" si="114"/>
        <v/>
      </c>
      <c r="L1427" t="str">
        <f t="shared" si="110"/>
        <v/>
      </c>
      <c r="M1427" t="str">
        <f t="shared" si="111"/>
        <v/>
      </c>
      <c r="N1427" t="str">
        <f t="shared" si="112"/>
        <v/>
      </c>
      <c r="O1427" t="str">
        <f t="shared" si="113"/>
        <v/>
      </c>
    </row>
    <row r="1428" spans="11:15" x14ac:dyDescent="0.3">
      <c r="K1428" t="str">
        <f t="shared" si="114"/>
        <v/>
      </c>
      <c r="L1428" t="str">
        <f t="shared" si="110"/>
        <v/>
      </c>
      <c r="M1428" t="str">
        <f t="shared" si="111"/>
        <v/>
      </c>
      <c r="N1428" t="str">
        <f t="shared" si="112"/>
        <v/>
      </c>
      <c r="O1428" t="str">
        <f t="shared" si="113"/>
        <v/>
      </c>
    </row>
    <row r="1429" spans="11:15" x14ac:dyDescent="0.3">
      <c r="K1429" t="str">
        <f t="shared" si="114"/>
        <v/>
      </c>
      <c r="L1429" t="str">
        <f t="shared" si="110"/>
        <v/>
      </c>
      <c r="M1429" t="str">
        <f t="shared" si="111"/>
        <v/>
      </c>
      <c r="N1429" t="str">
        <f t="shared" si="112"/>
        <v/>
      </c>
      <c r="O1429" t="str">
        <f t="shared" si="113"/>
        <v/>
      </c>
    </row>
    <row r="1430" spans="11:15" x14ac:dyDescent="0.3">
      <c r="K1430" t="str">
        <f t="shared" si="114"/>
        <v/>
      </c>
      <c r="L1430" t="str">
        <f t="shared" si="110"/>
        <v/>
      </c>
      <c r="M1430" t="str">
        <f t="shared" si="111"/>
        <v/>
      </c>
      <c r="N1430" t="str">
        <f t="shared" si="112"/>
        <v/>
      </c>
      <c r="O1430" t="str">
        <f t="shared" si="113"/>
        <v/>
      </c>
    </row>
    <row r="1431" spans="11:15" x14ac:dyDescent="0.3">
      <c r="K1431" t="str">
        <f t="shared" si="114"/>
        <v/>
      </c>
      <c r="L1431" t="str">
        <f t="shared" si="110"/>
        <v/>
      </c>
      <c r="M1431" t="str">
        <f t="shared" si="111"/>
        <v/>
      </c>
      <c r="N1431" t="str">
        <f t="shared" si="112"/>
        <v/>
      </c>
      <c r="O1431" t="str">
        <f t="shared" si="113"/>
        <v/>
      </c>
    </row>
    <row r="1432" spans="11:15" x14ac:dyDescent="0.3">
      <c r="K1432" t="str">
        <f t="shared" si="114"/>
        <v/>
      </c>
      <c r="L1432" t="str">
        <f t="shared" si="110"/>
        <v/>
      </c>
      <c r="M1432" t="str">
        <f t="shared" si="111"/>
        <v/>
      </c>
      <c r="N1432" t="str">
        <f t="shared" si="112"/>
        <v/>
      </c>
      <c r="O1432" t="str">
        <f t="shared" si="113"/>
        <v/>
      </c>
    </row>
    <row r="1433" spans="11:15" x14ac:dyDescent="0.3">
      <c r="K1433" t="str">
        <f t="shared" si="114"/>
        <v/>
      </c>
      <c r="L1433" t="str">
        <f t="shared" si="110"/>
        <v/>
      </c>
      <c r="M1433" t="str">
        <f t="shared" si="111"/>
        <v/>
      </c>
      <c r="N1433" t="str">
        <f t="shared" si="112"/>
        <v/>
      </c>
      <c r="O1433" t="str">
        <f t="shared" si="113"/>
        <v/>
      </c>
    </row>
    <row r="1434" spans="11:15" x14ac:dyDescent="0.3">
      <c r="K1434" t="str">
        <f t="shared" si="114"/>
        <v/>
      </c>
      <c r="L1434" t="str">
        <f t="shared" si="110"/>
        <v/>
      </c>
      <c r="M1434" t="str">
        <f t="shared" si="111"/>
        <v/>
      </c>
      <c r="N1434" t="str">
        <f t="shared" si="112"/>
        <v/>
      </c>
      <c r="O1434" t="str">
        <f t="shared" si="113"/>
        <v/>
      </c>
    </row>
    <row r="1435" spans="11:15" x14ac:dyDescent="0.3">
      <c r="K1435" t="str">
        <f t="shared" si="114"/>
        <v/>
      </c>
      <c r="L1435" t="str">
        <f t="shared" si="110"/>
        <v/>
      </c>
      <c r="M1435" t="str">
        <f t="shared" si="111"/>
        <v/>
      </c>
      <c r="N1435" t="str">
        <f t="shared" si="112"/>
        <v/>
      </c>
      <c r="O1435" t="str">
        <f t="shared" si="113"/>
        <v/>
      </c>
    </row>
    <row r="1436" spans="11:15" x14ac:dyDescent="0.3">
      <c r="K1436" t="str">
        <f t="shared" si="114"/>
        <v/>
      </c>
      <c r="L1436" t="str">
        <f t="shared" si="110"/>
        <v/>
      </c>
      <c r="M1436" t="str">
        <f t="shared" si="111"/>
        <v/>
      </c>
      <c r="N1436" t="str">
        <f t="shared" si="112"/>
        <v/>
      </c>
      <c r="O1436" t="str">
        <f t="shared" si="113"/>
        <v/>
      </c>
    </row>
    <row r="1437" spans="11:15" x14ac:dyDescent="0.3">
      <c r="K1437" t="str">
        <f t="shared" si="114"/>
        <v/>
      </c>
      <c r="L1437" t="str">
        <f t="shared" si="110"/>
        <v/>
      </c>
      <c r="M1437" t="str">
        <f t="shared" si="111"/>
        <v/>
      </c>
      <c r="N1437" t="str">
        <f t="shared" si="112"/>
        <v/>
      </c>
      <c r="O1437" t="str">
        <f t="shared" si="113"/>
        <v/>
      </c>
    </row>
    <row r="1438" spans="11:15" x14ac:dyDescent="0.3">
      <c r="K1438" t="str">
        <f t="shared" si="114"/>
        <v/>
      </c>
      <c r="L1438" t="str">
        <f t="shared" si="110"/>
        <v/>
      </c>
      <c r="M1438" t="str">
        <f t="shared" si="111"/>
        <v/>
      </c>
      <c r="N1438" t="str">
        <f t="shared" si="112"/>
        <v/>
      </c>
      <c r="O1438" t="str">
        <f t="shared" si="113"/>
        <v/>
      </c>
    </row>
    <row r="1439" spans="11:15" x14ac:dyDescent="0.3">
      <c r="K1439" t="str">
        <f t="shared" si="114"/>
        <v/>
      </c>
      <c r="L1439" t="str">
        <f t="shared" si="110"/>
        <v/>
      </c>
      <c r="M1439" t="str">
        <f t="shared" si="111"/>
        <v/>
      </c>
      <c r="N1439" t="str">
        <f t="shared" si="112"/>
        <v/>
      </c>
      <c r="O1439" t="str">
        <f t="shared" si="113"/>
        <v/>
      </c>
    </row>
    <row r="1440" spans="11:15" x14ac:dyDescent="0.3">
      <c r="K1440" t="str">
        <f t="shared" si="114"/>
        <v/>
      </c>
      <c r="L1440" t="str">
        <f t="shared" si="110"/>
        <v/>
      </c>
      <c r="M1440" t="str">
        <f t="shared" si="111"/>
        <v/>
      </c>
      <c r="N1440" t="str">
        <f t="shared" si="112"/>
        <v/>
      </c>
      <c r="O1440" t="str">
        <f t="shared" si="113"/>
        <v/>
      </c>
    </row>
    <row r="1441" spans="11:15" x14ac:dyDescent="0.3">
      <c r="K1441" t="str">
        <f t="shared" si="114"/>
        <v/>
      </c>
      <c r="L1441" t="str">
        <f t="shared" si="110"/>
        <v/>
      </c>
      <c r="M1441" t="str">
        <f t="shared" si="111"/>
        <v/>
      </c>
      <c r="N1441" t="str">
        <f t="shared" si="112"/>
        <v/>
      </c>
      <c r="O1441" t="str">
        <f t="shared" si="113"/>
        <v/>
      </c>
    </row>
    <row r="1442" spans="11:15" x14ac:dyDescent="0.3">
      <c r="K1442" t="str">
        <f t="shared" si="114"/>
        <v/>
      </c>
      <c r="L1442" t="str">
        <f t="shared" si="110"/>
        <v/>
      </c>
      <c r="M1442" t="str">
        <f t="shared" si="111"/>
        <v/>
      </c>
      <c r="N1442" t="str">
        <f t="shared" si="112"/>
        <v/>
      </c>
      <c r="O1442" t="str">
        <f t="shared" si="113"/>
        <v/>
      </c>
    </row>
    <row r="1443" spans="11:15" x14ac:dyDescent="0.3">
      <c r="K1443" t="str">
        <f t="shared" si="114"/>
        <v/>
      </c>
      <c r="L1443" t="str">
        <f t="shared" si="110"/>
        <v/>
      </c>
      <c r="M1443" t="str">
        <f t="shared" si="111"/>
        <v/>
      </c>
      <c r="N1443" t="str">
        <f t="shared" si="112"/>
        <v/>
      </c>
      <c r="O1443" t="str">
        <f t="shared" si="113"/>
        <v/>
      </c>
    </row>
    <row r="1444" spans="11:15" x14ac:dyDescent="0.3">
      <c r="K1444" t="str">
        <f t="shared" si="114"/>
        <v/>
      </c>
      <c r="L1444" t="str">
        <f t="shared" si="110"/>
        <v/>
      </c>
      <c r="M1444" t="str">
        <f t="shared" si="111"/>
        <v/>
      </c>
      <c r="N1444" t="str">
        <f t="shared" si="112"/>
        <v/>
      </c>
      <c r="O1444" t="str">
        <f t="shared" si="113"/>
        <v/>
      </c>
    </row>
    <row r="1445" spans="11:15" x14ac:dyDescent="0.3">
      <c r="K1445" t="str">
        <f t="shared" si="114"/>
        <v/>
      </c>
      <c r="L1445" t="str">
        <f t="shared" si="110"/>
        <v/>
      </c>
      <c r="M1445" t="str">
        <f t="shared" si="111"/>
        <v/>
      </c>
      <c r="N1445" t="str">
        <f t="shared" si="112"/>
        <v/>
      </c>
      <c r="O1445" t="str">
        <f t="shared" si="113"/>
        <v/>
      </c>
    </row>
    <row r="1446" spans="11:15" x14ac:dyDescent="0.3">
      <c r="K1446" t="str">
        <f t="shared" si="114"/>
        <v/>
      </c>
      <c r="L1446" t="str">
        <f t="shared" si="110"/>
        <v/>
      </c>
      <c r="M1446" t="str">
        <f t="shared" si="111"/>
        <v/>
      </c>
      <c r="N1446" t="str">
        <f t="shared" si="112"/>
        <v/>
      </c>
      <c r="O1446" t="str">
        <f t="shared" si="113"/>
        <v/>
      </c>
    </row>
    <row r="1447" spans="11:15" x14ac:dyDescent="0.3">
      <c r="K1447" t="str">
        <f t="shared" si="114"/>
        <v/>
      </c>
      <c r="L1447" t="str">
        <f t="shared" si="110"/>
        <v/>
      </c>
      <c r="M1447" t="str">
        <f t="shared" si="111"/>
        <v/>
      </c>
      <c r="N1447" t="str">
        <f t="shared" si="112"/>
        <v/>
      </c>
      <c r="O1447" t="str">
        <f t="shared" si="113"/>
        <v/>
      </c>
    </row>
    <row r="1448" spans="11:15" x14ac:dyDescent="0.3">
      <c r="K1448" t="str">
        <f t="shared" si="114"/>
        <v/>
      </c>
      <c r="L1448" t="str">
        <f t="shared" si="110"/>
        <v/>
      </c>
      <c r="M1448" t="str">
        <f t="shared" si="111"/>
        <v/>
      </c>
      <c r="N1448" t="str">
        <f t="shared" si="112"/>
        <v/>
      </c>
      <c r="O1448" t="str">
        <f t="shared" si="113"/>
        <v/>
      </c>
    </row>
    <row r="1449" spans="11:15" x14ac:dyDescent="0.3">
      <c r="K1449" t="str">
        <f t="shared" si="114"/>
        <v/>
      </c>
      <c r="L1449" t="str">
        <f t="shared" si="110"/>
        <v/>
      </c>
      <c r="M1449" t="str">
        <f t="shared" si="111"/>
        <v/>
      </c>
      <c r="N1449" t="str">
        <f t="shared" si="112"/>
        <v/>
      </c>
      <c r="O1449" t="str">
        <f t="shared" si="113"/>
        <v/>
      </c>
    </row>
    <row r="1450" spans="11:15" x14ac:dyDescent="0.3">
      <c r="K1450" t="str">
        <f t="shared" si="114"/>
        <v/>
      </c>
      <c r="L1450" t="str">
        <f t="shared" si="110"/>
        <v/>
      </c>
      <c r="M1450" t="str">
        <f t="shared" si="111"/>
        <v/>
      </c>
      <c r="N1450" t="str">
        <f t="shared" si="112"/>
        <v/>
      </c>
      <c r="O1450" t="str">
        <f t="shared" si="113"/>
        <v/>
      </c>
    </row>
    <row r="1451" spans="11:15" x14ac:dyDescent="0.3">
      <c r="K1451" t="str">
        <f t="shared" si="114"/>
        <v/>
      </c>
      <c r="L1451" t="str">
        <f t="shared" si="110"/>
        <v/>
      </c>
      <c r="M1451" t="str">
        <f t="shared" si="111"/>
        <v/>
      </c>
      <c r="N1451" t="str">
        <f t="shared" si="112"/>
        <v/>
      </c>
      <c r="O1451" t="str">
        <f t="shared" si="113"/>
        <v/>
      </c>
    </row>
    <row r="1452" spans="11:15" x14ac:dyDescent="0.3">
      <c r="K1452" t="str">
        <f t="shared" si="114"/>
        <v/>
      </c>
      <c r="L1452" t="str">
        <f t="shared" si="110"/>
        <v/>
      </c>
      <c r="M1452" t="str">
        <f t="shared" si="111"/>
        <v/>
      </c>
      <c r="N1452" t="str">
        <f t="shared" si="112"/>
        <v/>
      </c>
      <c r="O1452" t="str">
        <f t="shared" si="113"/>
        <v/>
      </c>
    </row>
    <row r="1453" spans="11:15" x14ac:dyDescent="0.3">
      <c r="K1453" t="str">
        <f t="shared" si="114"/>
        <v/>
      </c>
      <c r="L1453" t="str">
        <f t="shared" si="110"/>
        <v/>
      </c>
      <c r="M1453" t="str">
        <f t="shared" si="111"/>
        <v/>
      </c>
      <c r="N1453" t="str">
        <f t="shared" si="112"/>
        <v/>
      </c>
      <c r="O1453" t="str">
        <f t="shared" si="113"/>
        <v/>
      </c>
    </row>
    <row r="1454" spans="11:15" x14ac:dyDescent="0.3">
      <c r="K1454" t="str">
        <f t="shared" si="114"/>
        <v/>
      </c>
      <c r="L1454" t="str">
        <f t="shared" si="110"/>
        <v/>
      </c>
      <c r="M1454" t="str">
        <f t="shared" si="111"/>
        <v/>
      </c>
      <c r="N1454" t="str">
        <f t="shared" si="112"/>
        <v/>
      </c>
      <c r="O1454" t="str">
        <f t="shared" si="113"/>
        <v/>
      </c>
    </row>
    <row r="1455" spans="11:15" x14ac:dyDescent="0.3">
      <c r="K1455" t="str">
        <f t="shared" si="114"/>
        <v/>
      </c>
      <c r="L1455" t="str">
        <f t="shared" si="110"/>
        <v/>
      </c>
      <c r="M1455" t="str">
        <f t="shared" si="111"/>
        <v/>
      </c>
      <c r="N1455" t="str">
        <f t="shared" si="112"/>
        <v/>
      </c>
      <c r="O1455" t="str">
        <f t="shared" si="113"/>
        <v/>
      </c>
    </row>
    <row r="1456" spans="11:15" x14ac:dyDescent="0.3">
      <c r="K1456" t="str">
        <f t="shared" si="114"/>
        <v/>
      </c>
      <c r="L1456" t="str">
        <f t="shared" si="110"/>
        <v/>
      </c>
      <c r="M1456" t="str">
        <f t="shared" si="111"/>
        <v/>
      </c>
      <c r="N1456" t="str">
        <f t="shared" si="112"/>
        <v/>
      </c>
      <c r="O1456" t="str">
        <f t="shared" si="113"/>
        <v/>
      </c>
    </row>
    <row r="1457" spans="11:15" x14ac:dyDescent="0.3">
      <c r="K1457" t="str">
        <f t="shared" si="114"/>
        <v/>
      </c>
      <c r="L1457" t="str">
        <f t="shared" si="110"/>
        <v/>
      </c>
      <c r="M1457" t="str">
        <f t="shared" si="111"/>
        <v/>
      </c>
      <c r="N1457" t="str">
        <f t="shared" si="112"/>
        <v/>
      </c>
      <c r="O1457" t="str">
        <f t="shared" si="113"/>
        <v/>
      </c>
    </row>
    <row r="1458" spans="11:15" x14ac:dyDescent="0.3">
      <c r="K1458" t="str">
        <f t="shared" si="114"/>
        <v/>
      </c>
      <c r="L1458" t="str">
        <f t="shared" si="110"/>
        <v/>
      </c>
      <c r="M1458" t="str">
        <f t="shared" si="111"/>
        <v/>
      </c>
      <c r="N1458" t="str">
        <f t="shared" si="112"/>
        <v/>
      </c>
      <c r="O1458" t="str">
        <f t="shared" si="113"/>
        <v/>
      </c>
    </row>
    <row r="1459" spans="11:15" x14ac:dyDescent="0.3">
      <c r="K1459" t="str">
        <f t="shared" si="114"/>
        <v/>
      </c>
      <c r="L1459" t="str">
        <f t="shared" si="110"/>
        <v/>
      </c>
      <c r="M1459" t="str">
        <f t="shared" si="111"/>
        <v/>
      </c>
      <c r="N1459" t="str">
        <f t="shared" si="112"/>
        <v/>
      </c>
      <c r="O1459" t="str">
        <f t="shared" si="113"/>
        <v/>
      </c>
    </row>
    <row r="1460" spans="11:15" x14ac:dyDescent="0.3">
      <c r="K1460" t="str">
        <f t="shared" si="114"/>
        <v/>
      </c>
      <c r="L1460" t="str">
        <f t="shared" si="110"/>
        <v/>
      </c>
      <c r="M1460" t="str">
        <f t="shared" si="111"/>
        <v/>
      </c>
      <c r="N1460" t="str">
        <f t="shared" si="112"/>
        <v/>
      </c>
      <c r="O1460" t="str">
        <f t="shared" si="113"/>
        <v/>
      </c>
    </row>
    <row r="1461" spans="11:15" x14ac:dyDescent="0.3">
      <c r="K1461" t="str">
        <f t="shared" si="114"/>
        <v/>
      </c>
      <c r="L1461" t="str">
        <f t="shared" si="110"/>
        <v/>
      </c>
      <c r="M1461" t="str">
        <f t="shared" si="111"/>
        <v/>
      </c>
      <c r="N1461" t="str">
        <f t="shared" si="112"/>
        <v/>
      </c>
      <c r="O1461" t="str">
        <f t="shared" si="113"/>
        <v/>
      </c>
    </row>
    <row r="1462" spans="11:15" x14ac:dyDescent="0.3">
      <c r="K1462" t="str">
        <f t="shared" si="114"/>
        <v/>
      </c>
      <c r="L1462" t="str">
        <f t="shared" si="110"/>
        <v/>
      </c>
      <c r="M1462" t="str">
        <f t="shared" si="111"/>
        <v/>
      </c>
      <c r="N1462" t="str">
        <f t="shared" si="112"/>
        <v/>
      </c>
      <c r="O1462" t="str">
        <f t="shared" si="113"/>
        <v/>
      </c>
    </row>
    <row r="1463" spans="11:15" x14ac:dyDescent="0.3">
      <c r="K1463" t="str">
        <f t="shared" si="114"/>
        <v/>
      </c>
      <c r="L1463" t="str">
        <f t="shared" si="110"/>
        <v/>
      </c>
      <c r="M1463" t="str">
        <f t="shared" si="111"/>
        <v/>
      </c>
      <c r="N1463" t="str">
        <f t="shared" si="112"/>
        <v/>
      </c>
      <c r="O1463" t="str">
        <f t="shared" si="113"/>
        <v/>
      </c>
    </row>
    <row r="1464" spans="11:15" x14ac:dyDescent="0.3">
      <c r="K1464" t="str">
        <f t="shared" si="114"/>
        <v/>
      </c>
      <c r="L1464" t="str">
        <f t="shared" si="110"/>
        <v/>
      </c>
      <c r="M1464" t="str">
        <f t="shared" si="111"/>
        <v/>
      </c>
      <c r="N1464" t="str">
        <f t="shared" si="112"/>
        <v/>
      </c>
      <c r="O1464" t="str">
        <f t="shared" si="113"/>
        <v/>
      </c>
    </row>
    <row r="1465" spans="11:15" x14ac:dyDescent="0.3">
      <c r="K1465" t="str">
        <f t="shared" si="114"/>
        <v/>
      </c>
      <c r="L1465" t="str">
        <f t="shared" si="110"/>
        <v/>
      </c>
      <c r="M1465" t="str">
        <f t="shared" si="111"/>
        <v/>
      </c>
      <c r="N1465" t="str">
        <f t="shared" si="112"/>
        <v/>
      </c>
      <c r="O1465" t="str">
        <f t="shared" si="113"/>
        <v/>
      </c>
    </row>
    <row r="1466" spans="11:15" x14ac:dyDescent="0.3">
      <c r="K1466" t="str">
        <f t="shared" si="114"/>
        <v/>
      </c>
      <c r="L1466" t="str">
        <f t="shared" si="110"/>
        <v/>
      </c>
      <c r="M1466" t="str">
        <f t="shared" si="111"/>
        <v/>
      </c>
      <c r="N1466" t="str">
        <f t="shared" si="112"/>
        <v/>
      </c>
      <c r="O1466" t="str">
        <f t="shared" si="113"/>
        <v/>
      </c>
    </row>
    <row r="1467" spans="11:15" x14ac:dyDescent="0.3">
      <c r="K1467" t="str">
        <f t="shared" si="114"/>
        <v/>
      </c>
      <c r="L1467" t="str">
        <f t="shared" si="110"/>
        <v/>
      </c>
      <c r="M1467" t="str">
        <f t="shared" si="111"/>
        <v/>
      </c>
      <c r="N1467" t="str">
        <f t="shared" si="112"/>
        <v/>
      </c>
      <c r="O1467" t="str">
        <f t="shared" si="113"/>
        <v/>
      </c>
    </row>
    <row r="1468" spans="11:15" x14ac:dyDescent="0.3">
      <c r="K1468" t="str">
        <f t="shared" si="114"/>
        <v/>
      </c>
      <c r="L1468" t="str">
        <f t="shared" si="110"/>
        <v/>
      </c>
      <c r="M1468" t="str">
        <f t="shared" si="111"/>
        <v/>
      </c>
      <c r="N1468" t="str">
        <f t="shared" si="112"/>
        <v/>
      </c>
      <c r="O1468" t="str">
        <f t="shared" si="113"/>
        <v/>
      </c>
    </row>
    <row r="1469" spans="11:15" x14ac:dyDescent="0.3">
      <c r="K1469" t="str">
        <f t="shared" si="114"/>
        <v/>
      </c>
      <c r="L1469" t="str">
        <f t="shared" si="110"/>
        <v/>
      </c>
      <c r="M1469" t="str">
        <f t="shared" si="111"/>
        <v/>
      </c>
      <c r="N1469" t="str">
        <f t="shared" si="112"/>
        <v/>
      </c>
      <c r="O1469" t="str">
        <f t="shared" si="113"/>
        <v/>
      </c>
    </row>
    <row r="1470" spans="11:15" x14ac:dyDescent="0.3">
      <c r="K1470" t="str">
        <f t="shared" si="114"/>
        <v/>
      </c>
      <c r="L1470" t="str">
        <f t="shared" si="110"/>
        <v/>
      </c>
      <c r="M1470" t="str">
        <f t="shared" si="111"/>
        <v/>
      </c>
      <c r="N1470" t="str">
        <f t="shared" si="112"/>
        <v/>
      </c>
      <c r="O1470" t="str">
        <f t="shared" si="113"/>
        <v/>
      </c>
    </row>
    <row r="1471" spans="11:15" x14ac:dyDescent="0.3">
      <c r="K1471" t="str">
        <f t="shared" si="114"/>
        <v/>
      </c>
      <c r="L1471" t="str">
        <f t="shared" si="110"/>
        <v/>
      </c>
      <c r="M1471" t="str">
        <f t="shared" si="111"/>
        <v/>
      </c>
      <c r="N1471" t="str">
        <f t="shared" si="112"/>
        <v/>
      </c>
      <c r="O1471" t="str">
        <f t="shared" si="113"/>
        <v/>
      </c>
    </row>
    <row r="1472" spans="11:15" x14ac:dyDescent="0.3">
      <c r="K1472" t="str">
        <f t="shared" si="114"/>
        <v/>
      </c>
      <c r="L1472" t="str">
        <f t="shared" si="110"/>
        <v/>
      </c>
      <c r="M1472" t="str">
        <f t="shared" si="111"/>
        <v/>
      </c>
      <c r="N1472" t="str">
        <f t="shared" si="112"/>
        <v/>
      </c>
      <c r="O1472" t="str">
        <f t="shared" si="113"/>
        <v/>
      </c>
    </row>
    <row r="1473" spans="11:15" x14ac:dyDescent="0.3">
      <c r="K1473" t="str">
        <f t="shared" si="114"/>
        <v/>
      </c>
      <c r="L1473" t="str">
        <f t="shared" ref="L1473:L1500" si="115">IF(A1473="","",IF(ISNUMBER(--LEFT(A1473,FIND(" - ",A1473&amp;" - ")-1)),LEFT(A1473,FIND(" - ",A1473&amp;" - ")-1),TRIM(A1473)))</f>
        <v/>
      </c>
      <c r="M1473" t="str">
        <f t="shared" ref="M1473:M1536" si="116">IF(OR(K1473="",K1473=A1473,A1473=""),"",K1473&amp;"|"&amp;L1473)</f>
        <v/>
      </c>
      <c r="N1473" t="str">
        <f t="shared" ref="N1473:N1536" si="117">IF(M1473="","",IF(ISNUMBER(B1473),B1473,IFERROR(_xlfn.NUMBERVALUE(B1473,".",","),0)))</f>
        <v/>
      </c>
      <c r="O1473" t="str">
        <f t="shared" ref="O1473:O1500" si="118">IF(M1473="","",IF(ISNUMBER(C1473),C1473,IFERROR(_xlfn.NUMBERVALUE(C1473,".",","),0)))</f>
        <v/>
      </c>
    </row>
    <row r="1474" spans="11:15" x14ac:dyDescent="0.3">
      <c r="K1474" t="str">
        <f t="shared" ref="K1474:K1500" si="119">IF(OR(LEFT(B1474,9)="DOANH THU",LEFT(B1474,8)="SỐ LƯỢNG"),A1474,K1473)</f>
        <v/>
      </c>
      <c r="L1474" t="str">
        <f t="shared" si="115"/>
        <v/>
      </c>
      <c r="M1474" t="str">
        <f t="shared" si="116"/>
        <v/>
      </c>
      <c r="N1474" t="str">
        <f t="shared" si="117"/>
        <v/>
      </c>
      <c r="O1474" t="str">
        <f t="shared" si="118"/>
        <v/>
      </c>
    </row>
    <row r="1475" spans="11:15" x14ac:dyDescent="0.3">
      <c r="K1475" t="str">
        <f t="shared" si="119"/>
        <v/>
      </c>
      <c r="L1475" t="str">
        <f t="shared" si="115"/>
        <v/>
      </c>
      <c r="M1475" t="str">
        <f t="shared" si="116"/>
        <v/>
      </c>
      <c r="N1475" t="str">
        <f t="shared" si="117"/>
        <v/>
      </c>
      <c r="O1475" t="str">
        <f t="shared" si="118"/>
        <v/>
      </c>
    </row>
    <row r="1476" spans="11:15" x14ac:dyDescent="0.3">
      <c r="K1476" t="str">
        <f t="shared" si="119"/>
        <v/>
      </c>
      <c r="L1476" t="str">
        <f t="shared" si="115"/>
        <v/>
      </c>
      <c r="M1476" t="str">
        <f t="shared" si="116"/>
        <v/>
      </c>
      <c r="N1476" t="str">
        <f t="shared" si="117"/>
        <v/>
      </c>
      <c r="O1476" t="str">
        <f t="shared" si="118"/>
        <v/>
      </c>
    </row>
    <row r="1477" spans="11:15" x14ac:dyDescent="0.3">
      <c r="K1477" t="str">
        <f t="shared" si="119"/>
        <v/>
      </c>
      <c r="L1477" t="str">
        <f t="shared" si="115"/>
        <v/>
      </c>
      <c r="M1477" t="str">
        <f t="shared" si="116"/>
        <v/>
      </c>
      <c r="N1477" t="str">
        <f t="shared" si="117"/>
        <v/>
      </c>
      <c r="O1477" t="str">
        <f t="shared" si="118"/>
        <v/>
      </c>
    </row>
    <row r="1478" spans="11:15" x14ac:dyDescent="0.3">
      <c r="K1478" t="str">
        <f t="shared" si="119"/>
        <v/>
      </c>
      <c r="L1478" t="str">
        <f t="shared" si="115"/>
        <v/>
      </c>
      <c r="M1478" t="str">
        <f t="shared" si="116"/>
        <v/>
      </c>
      <c r="N1478" t="str">
        <f t="shared" si="117"/>
        <v/>
      </c>
      <c r="O1478" t="str">
        <f t="shared" si="118"/>
        <v/>
      </c>
    </row>
    <row r="1479" spans="11:15" x14ac:dyDescent="0.3">
      <c r="K1479" t="str">
        <f t="shared" si="119"/>
        <v/>
      </c>
      <c r="L1479" t="str">
        <f t="shared" si="115"/>
        <v/>
      </c>
      <c r="M1479" t="str">
        <f t="shared" si="116"/>
        <v/>
      </c>
      <c r="N1479" t="str">
        <f t="shared" si="117"/>
        <v/>
      </c>
      <c r="O1479" t="str">
        <f t="shared" si="118"/>
        <v/>
      </c>
    </row>
    <row r="1480" spans="11:15" x14ac:dyDescent="0.3">
      <c r="K1480" t="str">
        <f t="shared" si="119"/>
        <v/>
      </c>
      <c r="L1480" t="str">
        <f t="shared" si="115"/>
        <v/>
      </c>
      <c r="M1480" t="str">
        <f t="shared" si="116"/>
        <v/>
      </c>
      <c r="N1480" t="str">
        <f t="shared" si="117"/>
        <v/>
      </c>
      <c r="O1480" t="str">
        <f t="shared" si="118"/>
        <v/>
      </c>
    </row>
    <row r="1481" spans="11:15" x14ac:dyDescent="0.3">
      <c r="K1481" t="str">
        <f t="shared" si="119"/>
        <v/>
      </c>
      <c r="L1481" t="str">
        <f t="shared" si="115"/>
        <v/>
      </c>
      <c r="M1481" t="str">
        <f t="shared" si="116"/>
        <v/>
      </c>
      <c r="N1481" t="str">
        <f t="shared" si="117"/>
        <v/>
      </c>
      <c r="O1481" t="str">
        <f t="shared" si="118"/>
        <v/>
      </c>
    </row>
    <row r="1482" spans="11:15" x14ac:dyDescent="0.3">
      <c r="K1482" t="str">
        <f t="shared" si="119"/>
        <v/>
      </c>
      <c r="L1482" t="str">
        <f t="shared" si="115"/>
        <v/>
      </c>
      <c r="M1482" t="str">
        <f t="shared" si="116"/>
        <v/>
      </c>
      <c r="N1482" t="str">
        <f t="shared" si="117"/>
        <v/>
      </c>
      <c r="O1482" t="str">
        <f t="shared" si="118"/>
        <v/>
      </c>
    </row>
    <row r="1483" spans="11:15" x14ac:dyDescent="0.3">
      <c r="K1483" t="str">
        <f t="shared" si="119"/>
        <v/>
      </c>
      <c r="L1483" t="str">
        <f t="shared" si="115"/>
        <v/>
      </c>
      <c r="M1483" t="str">
        <f t="shared" si="116"/>
        <v/>
      </c>
      <c r="N1483" t="str">
        <f t="shared" si="117"/>
        <v/>
      </c>
      <c r="O1483" t="str">
        <f t="shared" si="118"/>
        <v/>
      </c>
    </row>
    <row r="1484" spans="11:15" x14ac:dyDescent="0.3">
      <c r="K1484" t="str">
        <f t="shared" si="119"/>
        <v/>
      </c>
      <c r="L1484" t="str">
        <f t="shared" si="115"/>
        <v/>
      </c>
      <c r="M1484" t="str">
        <f t="shared" si="116"/>
        <v/>
      </c>
      <c r="N1484" t="str">
        <f t="shared" si="117"/>
        <v/>
      </c>
      <c r="O1484" t="str">
        <f t="shared" si="118"/>
        <v/>
      </c>
    </row>
    <row r="1485" spans="11:15" x14ac:dyDescent="0.3">
      <c r="K1485" t="str">
        <f t="shared" si="119"/>
        <v/>
      </c>
      <c r="L1485" t="str">
        <f t="shared" si="115"/>
        <v/>
      </c>
      <c r="M1485" t="str">
        <f t="shared" si="116"/>
        <v/>
      </c>
      <c r="N1485" t="str">
        <f t="shared" si="117"/>
        <v/>
      </c>
      <c r="O1485" t="str">
        <f t="shared" si="118"/>
        <v/>
      </c>
    </row>
    <row r="1486" spans="11:15" x14ac:dyDescent="0.3">
      <c r="K1486" t="str">
        <f t="shared" si="119"/>
        <v/>
      </c>
      <c r="L1486" t="str">
        <f t="shared" si="115"/>
        <v/>
      </c>
      <c r="M1486" t="str">
        <f t="shared" si="116"/>
        <v/>
      </c>
      <c r="N1486" t="str">
        <f t="shared" si="117"/>
        <v/>
      </c>
      <c r="O1486" t="str">
        <f t="shared" si="118"/>
        <v/>
      </c>
    </row>
    <row r="1487" spans="11:15" x14ac:dyDescent="0.3">
      <c r="K1487" t="str">
        <f t="shared" si="119"/>
        <v/>
      </c>
      <c r="L1487" t="str">
        <f t="shared" si="115"/>
        <v/>
      </c>
      <c r="M1487" t="str">
        <f t="shared" si="116"/>
        <v/>
      </c>
      <c r="N1487" t="str">
        <f t="shared" si="117"/>
        <v/>
      </c>
      <c r="O1487" t="str">
        <f t="shared" si="118"/>
        <v/>
      </c>
    </row>
    <row r="1488" spans="11:15" x14ac:dyDescent="0.3">
      <c r="K1488" t="str">
        <f t="shared" si="119"/>
        <v/>
      </c>
      <c r="L1488" t="str">
        <f t="shared" si="115"/>
        <v/>
      </c>
      <c r="M1488" t="str">
        <f t="shared" si="116"/>
        <v/>
      </c>
      <c r="N1488" t="str">
        <f t="shared" si="117"/>
        <v/>
      </c>
      <c r="O1488" t="str">
        <f t="shared" si="118"/>
        <v/>
      </c>
    </row>
    <row r="1489" spans="11:15" x14ac:dyDescent="0.3">
      <c r="K1489" t="str">
        <f t="shared" si="119"/>
        <v/>
      </c>
      <c r="L1489" t="str">
        <f t="shared" si="115"/>
        <v/>
      </c>
      <c r="M1489" t="str">
        <f t="shared" si="116"/>
        <v/>
      </c>
      <c r="N1489" t="str">
        <f t="shared" si="117"/>
        <v/>
      </c>
      <c r="O1489" t="str">
        <f t="shared" si="118"/>
        <v/>
      </c>
    </row>
    <row r="1490" spans="11:15" x14ac:dyDescent="0.3">
      <c r="K1490" t="str">
        <f t="shared" si="119"/>
        <v/>
      </c>
      <c r="L1490" t="str">
        <f t="shared" si="115"/>
        <v/>
      </c>
      <c r="M1490" t="str">
        <f t="shared" si="116"/>
        <v/>
      </c>
      <c r="N1490" t="str">
        <f t="shared" si="117"/>
        <v/>
      </c>
      <c r="O1490" t="str">
        <f t="shared" si="118"/>
        <v/>
      </c>
    </row>
    <row r="1491" spans="11:15" x14ac:dyDescent="0.3">
      <c r="K1491" t="str">
        <f t="shared" si="119"/>
        <v/>
      </c>
      <c r="L1491" t="str">
        <f t="shared" si="115"/>
        <v/>
      </c>
      <c r="M1491" t="str">
        <f t="shared" si="116"/>
        <v/>
      </c>
      <c r="N1491" t="str">
        <f t="shared" si="117"/>
        <v/>
      </c>
      <c r="O1491" t="str">
        <f t="shared" si="118"/>
        <v/>
      </c>
    </row>
    <row r="1492" spans="11:15" x14ac:dyDescent="0.3">
      <c r="K1492" t="str">
        <f t="shared" si="119"/>
        <v/>
      </c>
      <c r="L1492" t="str">
        <f t="shared" si="115"/>
        <v/>
      </c>
      <c r="M1492" t="str">
        <f t="shared" si="116"/>
        <v/>
      </c>
      <c r="N1492" t="str">
        <f t="shared" si="117"/>
        <v/>
      </c>
      <c r="O1492" t="str">
        <f t="shared" si="118"/>
        <v/>
      </c>
    </row>
    <row r="1493" spans="11:15" x14ac:dyDescent="0.3">
      <c r="K1493" t="str">
        <f t="shared" si="119"/>
        <v/>
      </c>
      <c r="L1493" t="str">
        <f t="shared" si="115"/>
        <v/>
      </c>
      <c r="M1493" t="str">
        <f t="shared" si="116"/>
        <v/>
      </c>
      <c r="N1493" t="str">
        <f t="shared" si="117"/>
        <v/>
      </c>
      <c r="O1493" t="str">
        <f t="shared" si="118"/>
        <v/>
      </c>
    </row>
    <row r="1494" spans="11:15" x14ac:dyDescent="0.3">
      <c r="K1494" t="str">
        <f t="shared" si="119"/>
        <v/>
      </c>
      <c r="L1494" t="str">
        <f t="shared" si="115"/>
        <v/>
      </c>
      <c r="M1494" t="str">
        <f t="shared" si="116"/>
        <v/>
      </c>
      <c r="N1494" t="str">
        <f t="shared" si="117"/>
        <v/>
      </c>
      <c r="O1494" t="str">
        <f t="shared" si="118"/>
        <v/>
      </c>
    </row>
    <row r="1495" spans="11:15" x14ac:dyDescent="0.3">
      <c r="K1495" t="str">
        <f t="shared" si="119"/>
        <v/>
      </c>
      <c r="L1495" t="str">
        <f t="shared" si="115"/>
        <v/>
      </c>
      <c r="M1495" t="str">
        <f t="shared" si="116"/>
        <v/>
      </c>
      <c r="N1495" t="str">
        <f t="shared" si="117"/>
        <v/>
      </c>
      <c r="O1495" t="str">
        <f t="shared" si="118"/>
        <v/>
      </c>
    </row>
    <row r="1496" spans="11:15" x14ac:dyDescent="0.3">
      <c r="K1496" t="str">
        <f t="shared" si="119"/>
        <v/>
      </c>
      <c r="L1496" t="str">
        <f t="shared" si="115"/>
        <v/>
      </c>
      <c r="M1496" t="str">
        <f t="shared" si="116"/>
        <v/>
      </c>
      <c r="N1496" t="str">
        <f t="shared" si="117"/>
        <v/>
      </c>
      <c r="O1496" t="str">
        <f t="shared" si="118"/>
        <v/>
      </c>
    </row>
    <row r="1497" spans="11:15" x14ac:dyDescent="0.3">
      <c r="K1497" t="str">
        <f t="shared" si="119"/>
        <v/>
      </c>
      <c r="L1497" t="str">
        <f t="shared" si="115"/>
        <v/>
      </c>
      <c r="M1497" t="str">
        <f t="shared" si="116"/>
        <v/>
      </c>
      <c r="N1497" t="str">
        <f t="shared" si="117"/>
        <v/>
      </c>
      <c r="O1497" t="str">
        <f t="shared" si="118"/>
        <v/>
      </c>
    </row>
    <row r="1498" spans="11:15" x14ac:dyDescent="0.3">
      <c r="K1498" t="str">
        <f t="shared" si="119"/>
        <v/>
      </c>
      <c r="L1498" t="str">
        <f t="shared" si="115"/>
        <v/>
      </c>
      <c r="M1498" t="str">
        <f t="shared" si="116"/>
        <v/>
      </c>
      <c r="N1498" t="str">
        <f t="shared" si="117"/>
        <v/>
      </c>
      <c r="O1498" t="str">
        <f t="shared" si="118"/>
        <v/>
      </c>
    </row>
    <row r="1499" spans="11:15" x14ac:dyDescent="0.3">
      <c r="K1499" t="str">
        <f t="shared" si="119"/>
        <v/>
      </c>
      <c r="L1499" t="str">
        <f t="shared" si="115"/>
        <v/>
      </c>
      <c r="M1499" t="str">
        <f t="shared" si="116"/>
        <v/>
      </c>
      <c r="N1499" t="str">
        <f t="shared" si="117"/>
        <v/>
      </c>
      <c r="O1499" t="str">
        <f t="shared" si="118"/>
        <v/>
      </c>
    </row>
    <row r="1500" spans="11:15" x14ac:dyDescent="0.3">
      <c r="K1500" t="str">
        <f t="shared" si="119"/>
        <v/>
      </c>
      <c r="L1500" t="str">
        <f t="shared" si="115"/>
        <v/>
      </c>
      <c r="M1500" t="str">
        <f t="shared" si="116"/>
        <v/>
      </c>
      <c r="N1500" t="str">
        <f t="shared" si="117"/>
        <v/>
      </c>
      <c r="O1500" t="str">
        <f t="shared" si="118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J1:Q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7" x14ac:dyDescent="0.3">
      <c r="J1" s="45" t="s">
        <v>98</v>
      </c>
      <c r="L1" t="str">
        <f t="shared" ref="L1:L64" si="0">IF(A1="","",IF(ISNUMBER(--LEFT(A1,FIND(" - ",A1&amp;" - ")-1)),LEFT(A1,FIND(" - ",A1&amp;" - ")-1),TRIM(A1)))</f>
        <v/>
      </c>
      <c r="N1" t="str">
        <f t="shared" ref="N1:N64" si="1">IF(L1="","",IF(ISNUMBER(INDEX(A1:H1,$P$1)),INDEX(A1:H1,$P$1),IFERROR(_xlfn.NUMBERVALUE(INDEX(A1:H1,$P$1),".",","),0)))</f>
        <v/>
      </c>
      <c r="P1">
        <f>IFERROR(MATCH("DOANH THU*",A1:H1,0),IFERROR(MATCH("DOANH THU*",A2:H2,0),IFERROR(MATCH("DOANH THU*",A3:H3,0),3)))</f>
        <v>3</v>
      </c>
      <c r="Q1" t="s">
        <v>105</v>
      </c>
    </row>
    <row r="2" spans="10:17" x14ac:dyDescent="0.3">
      <c r="J2" s="46" t="s">
        <v>106</v>
      </c>
      <c r="L2" t="str">
        <f t="shared" si="0"/>
        <v/>
      </c>
      <c r="N2" t="str">
        <f t="shared" si="1"/>
        <v/>
      </c>
    </row>
    <row r="3" spans="10:17" x14ac:dyDescent="0.3">
      <c r="J3" s="47" t="s">
        <v>107</v>
      </c>
      <c r="L3" t="str">
        <f t="shared" si="0"/>
        <v/>
      </c>
      <c r="N3" t="str">
        <f t="shared" si="1"/>
        <v/>
      </c>
    </row>
    <row r="4" spans="10:17" x14ac:dyDescent="0.3">
      <c r="L4" t="str">
        <f t="shared" si="0"/>
        <v/>
      </c>
      <c r="N4" t="str">
        <f t="shared" si="1"/>
        <v/>
      </c>
    </row>
    <row r="5" spans="10:17" x14ac:dyDescent="0.3">
      <c r="L5" t="str">
        <f t="shared" si="0"/>
        <v/>
      </c>
      <c r="N5" t="str">
        <f t="shared" si="1"/>
        <v/>
      </c>
    </row>
    <row r="6" spans="10:17" x14ac:dyDescent="0.3">
      <c r="L6" t="str">
        <f t="shared" si="0"/>
        <v/>
      </c>
      <c r="N6" t="str">
        <f t="shared" si="1"/>
        <v/>
      </c>
    </row>
    <row r="7" spans="10:17" x14ac:dyDescent="0.3">
      <c r="L7" t="str">
        <f t="shared" si="0"/>
        <v/>
      </c>
      <c r="N7" t="str">
        <f t="shared" si="1"/>
        <v/>
      </c>
    </row>
    <row r="8" spans="10:17" x14ac:dyDescent="0.3">
      <c r="L8" t="str">
        <f t="shared" si="0"/>
        <v/>
      </c>
      <c r="N8" t="str">
        <f t="shared" si="1"/>
        <v/>
      </c>
    </row>
    <row r="9" spans="10:17" x14ac:dyDescent="0.3">
      <c r="L9" t="str">
        <f t="shared" si="0"/>
        <v/>
      </c>
      <c r="N9" t="str">
        <f t="shared" si="1"/>
        <v/>
      </c>
    </row>
    <row r="10" spans="10:17" x14ac:dyDescent="0.3">
      <c r="L10" t="str">
        <f t="shared" si="0"/>
        <v/>
      </c>
      <c r="N10" t="str">
        <f t="shared" si="1"/>
        <v/>
      </c>
    </row>
    <row r="11" spans="10:17" x14ac:dyDescent="0.3">
      <c r="L11" t="str">
        <f t="shared" si="0"/>
        <v/>
      </c>
      <c r="N11" t="str">
        <f t="shared" si="1"/>
        <v/>
      </c>
    </row>
    <row r="12" spans="10:17" x14ac:dyDescent="0.3">
      <c r="L12" t="str">
        <f t="shared" si="0"/>
        <v/>
      </c>
      <c r="N12" t="str">
        <f t="shared" si="1"/>
        <v/>
      </c>
    </row>
    <row r="13" spans="10:17" x14ac:dyDescent="0.3">
      <c r="L13" t="str">
        <f t="shared" si="0"/>
        <v/>
      </c>
      <c r="N13" t="str">
        <f t="shared" si="1"/>
        <v/>
      </c>
    </row>
    <row r="14" spans="10:17" x14ac:dyDescent="0.3">
      <c r="L14" t="str">
        <f t="shared" si="0"/>
        <v/>
      </c>
      <c r="N14" t="str">
        <f t="shared" si="1"/>
        <v/>
      </c>
    </row>
    <row r="15" spans="10:17" x14ac:dyDescent="0.3">
      <c r="L15" t="str">
        <f t="shared" si="0"/>
        <v/>
      </c>
      <c r="N15" t="str">
        <f t="shared" si="1"/>
        <v/>
      </c>
    </row>
    <row r="16" spans="10:17" x14ac:dyDescent="0.3">
      <c r="L16" t="str">
        <f t="shared" si="0"/>
        <v/>
      </c>
      <c r="N16" t="str">
        <f t="shared" si="1"/>
        <v/>
      </c>
    </row>
    <row r="17" spans="12:14" x14ac:dyDescent="0.3">
      <c r="L17" t="str">
        <f t="shared" si="0"/>
        <v/>
      </c>
      <c r="N17" t="str">
        <f t="shared" si="1"/>
        <v/>
      </c>
    </row>
    <row r="18" spans="12:14" x14ac:dyDescent="0.3">
      <c r="L18" t="str">
        <f t="shared" si="0"/>
        <v/>
      </c>
      <c r="N18" t="str">
        <f t="shared" si="1"/>
        <v/>
      </c>
    </row>
    <row r="19" spans="12:14" x14ac:dyDescent="0.3">
      <c r="L19" t="str">
        <f t="shared" si="0"/>
        <v/>
      </c>
      <c r="N19" t="str">
        <f t="shared" si="1"/>
        <v/>
      </c>
    </row>
    <row r="20" spans="12:14" x14ac:dyDescent="0.3">
      <c r="L20" t="str">
        <f t="shared" si="0"/>
        <v/>
      </c>
      <c r="N20" t="str">
        <f t="shared" si="1"/>
        <v/>
      </c>
    </row>
    <row r="21" spans="12:14" x14ac:dyDescent="0.3">
      <c r="L21" t="str">
        <f t="shared" si="0"/>
        <v/>
      </c>
      <c r="N21" t="str">
        <f t="shared" si="1"/>
        <v/>
      </c>
    </row>
    <row r="22" spans="12:14" x14ac:dyDescent="0.3">
      <c r="L22" t="str">
        <f t="shared" si="0"/>
        <v/>
      </c>
      <c r="N22" t="str">
        <f t="shared" si="1"/>
        <v/>
      </c>
    </row>
    <row r="23" spans="12:14" x14ac:dyDescent="0.3">
      <c r="L23" t="str">
        <f t="shared" si="0"/>
        <v/>
      </c>
      <c r="N23" t="str">
        <f t="shared" si="1"/>
        <v/>
      </c>
    </row>
    <row r="24" spans="12:14" x14ac:dyDescent="0.3">
      <c r="L24" t="str">
        <f t="shared" si="0"/>
        <v/>
      </c>
      <c r="N24" t="str">
        <f t="shared" si="1"/>
        <v/>
      </c>
    </row>
    <row r="25" spans="12:14" x14ac:dyDescent="0.3">
      <c r="L25" t="str">
        <f t="shared" si="0"/>
        <v/>
      </c>
      <c r="N25" t="str">
        <f t="shared" si="1"/>
        <v/>
      </c>
    </row>
    <row r="26" spans="12:14" x14ac:dyDescent="0.3">
      <c r="L26" t="str">
        <f t="shared" si="0"/>
        <v/>
      </c>
      <c r="N26" t="str">
        <f t="shared" si="1"/>
        <v/>
      </c>
    </row>
    <row r="27" spans="12:14" x14ac:dyDescent="0.3">
      <c r="L27" t="str">
        <f t="shared" si="0"/>
        <v/>
      </c>
      <c r="N27" t="str">
        <f t="shared" si="1"/>
        <v/>
      </c>
    </row>
    <row r="28" spans="12:14" x14ac:dyDescent="0.3">
      <c r="L28" t="str">
        <f t="shared" si="0"/>
        <v/>
      </c>
      <c r="N28" t="str">
        <f t="shared" si="1"/>
        <v/>
      </c>
    </row>
    <row r="29" spans="12:14" x14ac:dyDescent="0.3">
      <c r="L29" t="str">
        <f t="shared" si="0"/>
        <v/>
      </c>
      <c r="N29" t="str">
        <f t="shared" si="1"/>
        <v/>
      </c>
    </row>
    <row r="30" spans="12:14" x14ac:dyDescent="0.3">
      <c r="L30" t="str">
        <f t="shared" si="0"/>
        <v/>
      </c>
      <c r="N30" t="str">
        <f t="shared" si="1"/>
        <v/>
      </c>
    </row>
    <row r="31" spans="12:14" x14ac:dyDescent="0.3">
      <c r="L31" t="str">
        <f t="shared" si="0"/>
        <v/>
      </c>
      <c r="N31" t="str">
        <f t="shared" si="1"/>
        <v/>
      </c>
    </row>
    <row r="32" spans="12:14" x14ac:dyDescent="0.3">
      <c r="L32" t="str">
        <f t="shared" si="0"/>
        <v/>
      </c>
      <c r="N32" t="str">
        <f t="shared" si="1"/>
        <v/>
      </c>
    </row>
    <row r="33" spans="12:14" x14ac:dyDescent="0.3">
      <c r="L33" t="str">
        <f t="shared" si="0"/>
        <v/>
      </c>
      <c r="N33" t="str">
        <f t="shared" si="1"/>
        <v/>
      </c>
    </row>
    <row r="34" spans="12:14" x14ac:dyDescent="0.3">
      <c r="L34" t="str">
        <f t="shared" si="0"/>
        <v/>
      </c>
      <c r="N34" t="str">
        <f t="shared" si="1"/>
        <v/>
      </c>
    </row>
    <row r="35" spans="12:14" x14ac:dyDescent="0.3">
      <c r="L35" t="str">
        <f t="shared" si="0"/>
        <v/>
      </c>
      <c r="N35" t="str">
        <f t="shared" si="1"/>
        <v/>
      </c>
    </row>
    <row r="36" spans="12:14" x14ac:dyDescent="0.3">
      <c r="L36" t="str">
        <f t="shared" si="0"/>
        <v/>
      </c>
      <c r="N36" t="str">
        <f t="shared" si="1"/>
        <v/>
      </c>
    </row>
    <row r="37" spans="12:14" x14ac:dyDescent="0.3">
      <c r="L37" t="str">
        <f t="shared" si="0"/>
        <v/>
      </c>
      <c r="N37" t="str">
        <f t="shared" si="1"/>
        <v/>
      </c>
    </row>
    <row r="38" spans="12:14" x14ac:dyDescent="0.3">
      <c r="L38" t="str">
        <f t="shared" si="0"/>
        <v/>
      </c>
      <c r="N38" t="str">
        <f t="shared" si="1"/>
        <v/>
      </c>
    </row>
    <row r="39" spans="12:14" x14ac:dyDescent="0.3">
      <c r="L39" t="str">
        <f t="shared" si="0"/>
        <v/>
      </c>
      <c r="N39" t="str">
        <f t="shared" si="1"/>
        <v/>
      </c>
    </row>
    <row r="40" spans="12:14" x14ac:dyDescent="0.3">
      <c r="L40" t="str">
        <f t="shared" si="0"/>
        <v/>
      </c>
      <c r="N40" t="str">
        <f t="shared" si="1"/>
        <v/>
      </c>
    </row>
    <row r="41" spans="12:14" x14ac:dyDescent="0.3">
      <c r="L41" t="str">
        <f t="shared" si="0"/>
        <v/>
      </c>
      <c r="N41" t="str">
        <f t="shared" si="1"/>
        <v/>
      </c>
    </row>
    <row r="42" spans="12:14" x14ac:dyDescent="0.3">
      <c r="L42" t="str">
        <f t="shared" si="0"/>
        <v/>
      </c>
      <c r="N42" t="str">
        <f t="shared" si="1"/>
        <v/>
      </c>
    </row>
    <row r="43" spans="12:14" x14ac:dyDescent="0.3">
      <c r="L43" t="str">
        <f t="shared" si="0"/>
        <v/>
      </c>
      <c r="N43" t="str">
        <f t="shared" si="1"/>
        <v/>
      </c>
    </row>
    <row r="44" spans="12:14" x14ac:dyDescent="0.3">
      <c r="L44" t="str">
        <f t="shared" si="0"/>
        <v/>
      </c>
      <c r="N44" t="str">
        <f t="shared" si="1"/>
        <v/>
      </c>
    </row>
    <row r="45" spans="12:14" x14ac:dyDescent="0.3">
      <c r="L45" t="str">
        <f t="shared" si="0"/>
        <v/>
      </c>
      <c r="N45" t="str">
        <f t="shared" si="1"/>
        <v/>
      </c>
    </row>
    <row r="46" spans="12:14" x14ac:dyDescent="0.3">
      <c r="L46" t="str">
        <f t="shared" si="0"/>
        <v/>
      </c>
      <c r="N46" t="str">
        <f t="shared" si="1"/>
        <v/>
      </c>
    </row>
    <row r="47" spans="12:14" x14ac:dyDescent="0.3">
      <c r="L47" t="str">
        <f t="shared" si="0"/>
        <v/>
      </c>
      <c r="N47" t="str">
        <f t="shared" si="1"/>
        <v/>
      </c>
    </row>
    <row r="48" spans="12:14" x14ac:dyDescent="0.3">
      <c r="L48" t="str">
        <f t="shared" si="0"/>
        <v/>
      </c>
      <c r="N48" t="str">
        <f t="shared" si="1"/>
        <v/>
      </c>
    </row>
    <row r="49" spans="12:14" x14ac:dyDescent="0.3">
      <c r="L49" t="str">
        <f t="shared" si="0"/>
        <v/>
      </c>
      <c r="N49" t="str">
        <f t="shared" si="1"/>
        <v/>
      </c>
    </row>
    <row r="50" spans="12:14" x14ac:dyDescent="0.3">
      <c r="L50" t="str">
        <f t="shared" si="0"/>
        <v/>
      </c>
      <c r="N50" t="str">
        <f t="shared" si="1"/>
        <v/>
      </c>
    </row>
    <row r="51" spans="12:14" x14ac:dyDescent="0.3">
      <c r="L51" t="str">
        <f t="shared" si="0"/>
        <v/>
      </c>
      <c r="N51" t="str">
        <f t="shared" si="1"/>
        <v/>
      </c>
    </row>
    <row r="52" spans="12:14" x14ac:dyDescent="0.3">
      <c r="L52" t="str">
        <f t="shared" si="0"/>
        <v/>
      </c>
      <c r="N52" t="str">
        <f t="shared" si="1"/>
        <v/>
      </c>
    </row>
    <row r="53" spans="12:14" x14ac:dyDescent="0.3">
      <c r="L53" t="str">
        <f t="shared" si="0"/>
        <v/>
      </c>
      <c r="N53" t="str">
        <f t="shared" si="1"/>
        <v/>
      </c>
    </row>
    <row r="54" spans="12:14" x14ac:dyDescent="0.3">
      <c r="L54" t="str">
        <f t="shared" si="0"/>
        <v/>
      </c>
      <c r="N54" t="str">
        <f t="shared" si="1"/>
        <v/>
      </c>
    </row>
    <row r="55" spans="12:14" x14ac:dyDescent="0.3">
      <c r="L55" t="str">
        <f t="shared" si="0"/>
        <v/>
      </c>
      <c r="N55" t="str">
        <f t="shared" si="1"/>
        <v/>
      </c>
    </row>
    <row r="56" spans="12:14" x14ac:dyDescent="0.3">
      <c r="L56" t="str">
        <f t="shared" si="0"/>
        <v/>
      </c>
      <c r="N56" t="str">
        <f t="shared" si="1"/>
        <v/>
      </c>
    </row>
    <row r="57" spans="12:14" x14ac:dyDescent="0.3">
      <c r="L57" t="str">
        <f t="shared" si="0"/>
        <v/>
      </c>
      <c r="N57" t="str">
        <f t="shared" si="1"/>
        <v/>
      </c>
    </row>
    <row r="58" spans="12:14" x14ac:dyDescent="0.3">
      <c r="L58" t="str">
        <f t="shared" si="0"/>
        <v/>
      </c>
      <c r="N58" t="str">
        <f t="shared" si="1"/>
        <v/>
      </c>
    </row>
    <row r="59" spans="12:14" x14ac:dyDescent="0.3">
      <c r="L59" t="str">
        <f t="shared" si="0"/>
        <v/>
      </c>
      <c r="N59" t="str">
        <f t="shared" si="1"/>
        <v/>
      </c>
    </row>
    <row r="60" spans="12:14" x14ac:dyDescent="0.3">
      <c r="L60" t="str">
        <f t="shared" si="0"/>
        <v/>
      </c>
      <c r="N60" t="str">
        <f t="shared" si="1"/>
        <v/>
      </c>
    </row>
    <row r="61" spans="12:14" x14ac:dyDescent="0.3">
      <c r="L61" t="str">
        <f t="shared" si="0"/>
        <v/>
      </c>
      <c r="N61" t="str">
        <f t="shared" si="1"/>
        <v/>
      </c>
    </row>
    <row r="62" spans="12:14" x14ac:dyDescent="0.3">
      <c r="L62" t="str">
        <f t="shared" si="0"/>
        <v/>
      </c>
      <c r="N62" t="str">
        <f t="shared" si="1"/>
        <v/>
      </c>
    </row>
    <row r="63" spans="12:14" x14ac:dyDescent="0.3">
      <c r="L63" t="str">
        <f t="shared" si="0"/>
        <v/>
      </c>
      <c r="N63" t="str">
        <f t="shared" si="1"/>
        <v/>
      </c>
    </row>
    <row r="64" spans="12:14" x14ac:dyDescent="0.3">
      <c r="L64" t="str">
        <f t="shared" si="0"/>
        <v/>
      </c>
      <c r="N64" t="str">
        <f t="shared" si="1"/>
        <v/>
      </c>
    </row>
    <row r="65" spans="12:14" x14ac:dyDescent="0.3">
      <c r="L65" t="str">
        <f t="shared" ref="L65:L128" si="2">IF(A65="","",IF(ISNUMBER(--LEFT(A65,FIND(" - ",A65&amp;" - ")-1)),LEFT(A65,FIND(" - ",A65&amp;" - ")-1),TRIM(A65)))</f>
        <v/>
      </c>
      <c r="N65" t="str">
        <f t="shared" ref="N65:N128" si="3">IF(L65="","",IF(ISNUMBER(INDEX(A65:H65,$P$1)),INDEX(A65:H65,$P$1),IFERROR(_xlfn.NUMBERVALUE(INDEX(A65:H65,$P$1),".",","),0)))</f>
        <v/>
      </c>
    </row>
    <row r="66" spans="12:14" x14ac:dyDescent="0.3">
      <c r="L66" t="str">
        <f t="shared" si="2"/>
        <v/>
      </c>
      <c r="N66" t="str">
        <f t="shared" si="3"/>
        <v/>
      </c>
    </row>
    <row r="67" spans="12:14" x14ac:dyDescent="0.3">
      <c r="L67" t="str">
        <f t="shared" si="2"/>
        <v/>
      </c>
      <c r="N67" t="str">
        <f t="shared" si="3"/>
        <v/>
      </c>
    </row>
    <row r="68" spans="12:14" x14ac:dyDescent="0.3">
      <c r="L68" t="str">
        <f t="shared" si="2"/>
        <v/>
      </c>
      <c r="N68" t="str">
        <f t="shared" si="3"/>
        <v/>
      </c>
    </row>
    <row r="69" spans="12:14" x14ac:dyDescent="0.3">
      <c r="L69" t="str">
        <f t="shared" si="2"/>
        <v/>
      </c>
      <c r="N69" t="str">
        <f t="shared" si="3"/>
        <v/>
      </c>
    </row>
    <row r="70" spans="12:14" x14ac:dyDescent="0.3">
      <c r="L70" t="str">
        <f t="shared" si="2"/>
        <v/>
      </c>
      <c r="N70" t="str">
        <f t="shared" si="3"/>
        <v/>
      </c>
    </row>
    <row r="71" spans="12:14" x14ac:dyDescent="0.3">
      <c r="L71" t="str">
        <f t="shared" si="2"/>
        <v/>
      </c>
      <c r="N71" t="str">
        <f t="shared" si="3"/>
        <v/>
      </c>
    </row>
    <row r="72" spans="12:14" x14ac:dyDescent="0.3">
      <c r="L72" t="str">
        <f t="shared" si="2"/>
        <v/>
      </c>
      <c r="N72" t="str">
        <f t="shared" si="3"/>
        <v/>
      </c>
    </row>
    <row r="73" spans="12:14" x14ac:dyDescent="0.3">
      <c r="L73" t="str">
        <f t="shared" si="2"/>
        <v/>
      </c>
      <c r="N73" t="str">
        <f t="shared" si="3"/>
        <v/>
      </c>
    </row>
    <row r="74" spans="12:14" x14ac:dyDescent="0.3">
      <c r="L74" t="str">
        <f t="shared" si="2"/>
        <v/>
      </c>
      <c r="N74" t="str">
        <f t="shared" si="3"/>
        <v/>
      </c>
    </row>
    <row r="75" spans="12:14" x14ac:dyDescent="0.3">
      <c r="L75" t="str">
        <f t="shared" si="2"/>
        <v/>
      </c>
      <c r="N75" t="str">
        <f t="shared" si="3"/>
        <v/>
      </c>
    </row>
    <row r="76" spans="12:14" x14ac:dyDescent="0.3">
      <c r="L76" t="str">
        <f t="shared" si="2"/>
        <v/>
      </c>
      <c r="N76" t="str">
        <f t="shared" si="3"/>
        <v/>
      </c>
    </row>
    <row r="77" spans="12:14" x14ac:dyDescent="0.3">
      <c r="L77" t="str">
        <f t="shared" si="2"/>
        <v/>
      </c>
      <c r="N77" t="str">
        <f t="shared" si="3"/>
        <v/>
      </c>
    </row>
    <row r="78" spans="12:14" x14ac:dyDescent="0.3">
      <c r="L78" t="str">
        <f t="shared" si="2"/>
        <v/>
      </c>
      <c r="N78" t="str">
        <f t="shared" si="3"/>
        <v/>
      </c>
    </row>
    <row r="79" spans="12:14" x14ac:dyDescent="0.3">
      <c r="L79" t="str">
        <f t="shared" si="2"/>
        <v/>
      </c>
      <c r="N79" t="str">
        <f t="shared" si="3"/>
        <v/>
      </c>
    </row>
    <row r="80" spans="12:14" x14ac:dyDescent="0.3">
      <c r="L80" t="str">
        <f t="shared" si="2"/>
        <v/>
      </c>
      <c r="N80" t="str">
        <f t="shared" si="3"/>
        <v/>
      </c>
    </row>
    <row r="81" spans="12:14" x14ac:dyDescent="0.3">
      <c r="L81" t="str">
        <f t="shared" si="2"/>
        <v/>
      </c>
      <c r="N81" t="str">
        <f t="shared" si="3"/>
        <v/>
      </c>
    </row>
    <row r="82" spans="12:14" x14ac:dyDescent="0.3">
      <c r="L82" t="str">
        <f t="shared" si="2"/>
        <v/>
      </c>
      <c r="N82" t="str">
        <f t="shared" si="3"/>
        <v/>
      </c>
    </row>
    <row r="83" spans="12:14" x14ac:dyDescent="0.3">
      <c r="L83" t="str">
        <f t="shared" si="2"/>
        <v/>
      </c>
      <c r="N83" t="str">
        <f t="shared" si="3"/>
        <v/>
      </c>
    </row>
    <row r="84" spans="12:14" x14ac:dyDescent="0.3">
      <c r="L84" t="str">
        <f t="shared" si="2"/>
        <v/>
      </c>
      <c r="N84" t="str">
        <f t="shared" si="3"/>
        <v/>
      </c>
    </row>
    <row r="85" spans="12:14" x14ac:dyDescent="0.3">
      <c r="L85" t="str">
        <f t="shared" si="2"/>
        <v/>
      </c>
      <c r="N85" t="str">
        <f t="shared" si="3"/>
        <v/>
      </c>
    </row>
    <row r="86" spans="12:14" x14ac:dyDescent="0.3">
      <c r="L86" t="str">
        <f t="shared" si="2"/>
        <v/>
      </c>
      <c r="N86" t="str">
        <f t="shared" si="3"/>
        <v/>
      </c>
    </row>
    <row r="87" spans="12:14" x14ac:dyDescent="0.3">
      <c r="L87" t="str">
        <f t="shared" si="2"/>
        <v/>
      </c>
      <c r="N87" t="str">
        <f t="shared" si="3"/>
        <v/>
      </c>
    </row>
    <row r="88" spans="12:14" x14ac:dyDescent="0.3">
      <c r="L88" t="str">
        <f t="shared" si="2"/>
        <v/>
      </c>
      <c r="N88" t="str">
        <f t="shared" si="3"/>
        <v/>
      </c>
    </row>
    <row r="89" spans="12:14" x14ac:dyDescent="0.3">
      <c r="L89" t="str">
        <f t="shared" si="2"/>
        <v/>
      </c>
      <c r="N89" t="str">
        <f t="shared" si="3"/>
        <v/>
      </c>
    </row>
    <row r="90" spans="12:14" x14ac:dyDescent="0.3">
      <c r="L90" t="str">
        <f t="shared" si="2"/>
        <v/>
      </c>
      <c r="N90" t="str">
        <f t="shared" si="3"/>
        <v/>
      </c>
    </row>
    <row r="91" spans="12:14" x14ac:dyDescent="0.3">
      <c r="L91" t="str">
        <f t="shared" si="2"/>
        <v/>
      </c>
      <c r="N91" t="str">
        <f t="shared" si="3"/>
        <v/>
      </c>
    </row>
    <row r="92" spans="12:14" x14ac:dyDescent="0.3">
      <c r="L92" t="str">
        <f t="shared" si="2"/>
        <v/>
      </c>
      <c r="N92" t="str">
        <f t="shared" si="3"/>
        <v/>
      </c>
    </row>
    <row r="93" spans="12:14" x14ac:dyDescent="0.3">
      <c r="L93" t="str">
        <f t="shared" si="2"/>
        <v/>
      </c>
      <c r="N93" t="str">
        <f t="shared" si="3"/>
        <v/>
      </c>
    </row>
    <row r="94" spans="12:14" x14ac:dyDescent="0.3">
      <c r="L94" t="str">
        <f t="shared" si="2"/>
        <v/>
      </c>
      <c r="N94" t="str">
        <f t="shared" si="3"/>
        <v/>
      </c>
    </row>
    <row r="95" spans="12:14" x14ac:dyDescent="0.3">
      <c r="L95" t="str">
        <f t="shared" si="2"/>
        <v/>
      </c>
      <c r="N95" t="str">
        <f t="shared" si="3"/>
        <v/>
      </c>
    </row>
    <row r="96" spans="12:14" x14ac:dyDescent="0.3">
      <c r="L96" t="str">
        <f t="shared" si="2"/>
        <v/>
      </c>
      <c r="N96" t="str">
        <f t="shared" si="3"/>
        <v/>
      </c>
    </row>
    <row r="97" spans="12:14" x14ac:dyDescent="0.3">
      <c r="L97" t="str">
        <f t="shared" si="2"/>
        <v/>
      </c>
      <c r="N97" t="str">
        <f t="shared" si="3"/>
        <v/>
      </c>
    </row>
    <row r="98" spans="12:14" x14ac:dyDescent="0.3">
      <c r="L98" t="str">
        <f t="shared" si="2"/>
        <v/>
      </c>
      <c r="N98" t="str">
        <f t="shared" si="3"/>
        <v/>
      </c>
    </row>
    <row r="99" spans="12:14" x14ac:dyDescent="0.3">
      <c r="L99" t="str">
        <f t="shared" si="2"/>
        <v/>
      </c>
      <c r="N99" t="str">
        <f t="shared" si="3"/>
        <v/>
      </c>
    </row>
    <row r="100" spans="12:14" x14ac:dyDescent="0.3">
      <c r="L100" t="str">
        <f t="shared" si="2"/>
        <v/>
      </c>
      <c r="N100" t="str">
        <f t="shared" si="3"/>
        <v/>
      </c>
    </row>
    <row r="101" spans="12:14" x14ac:dyDescent="0.3">
      <c r="L101" t="str">
        <f t="shared" si="2"/>
        <v/>
      </c>
      <c r="N101" t="str">
        <f t="shared" si="3"/>
        <v/>
      </c>
    </row>
    <row r="102" spans="12:14" x14ac:dyDescent="0.3">
      <c r="L102" t="str">
        <f t="shared" si="2"/>
        <v/>
      </c>
      <c r="N102" t="str">
        <f t="shared" si="3"/>
        <v/>
      </c>
    </row>
    <row r="103" spans="12:14" x14ac:dyDescent="0.3">
      <c r="L103" t="str">
        <f t="shared" si="2"/>
        <v/>
      </c>
      <c r="N103" t="str">
        <f t="shared" si="3"/>
        <v/>
      </c>
    </row>
    <row r="104" spans="12:14" x14ac:dyDescent="0.3">
      <c r="L104" t="str">
        <f t="shared" si="2"/>
        <v/>
      </c>
      <c r="N104" t="str">
        <f t="shared" si="3"/>
        <v/>
      </c>
    </row>
    <row r="105" spans="12:14" x14ac:dyDescent="0.3">
      <c r="L105" t="str">
        <f t="shared" si="2"/>
        <v/>
      </c>
      <c r="N105" t="str">
        <f t="shared" si="3"/>
        <v/>
      </c>
    </row>
    <row r="106" spans="12:14" x14ac:dyDescent="0.3">
      <c r="L106" t="str">
        <f t="shared" si="2"/>
        <v/>
      </c>
      <c r="N106" t="str">
        <f t="shared" si="3"/>
        <v/>
      </c>
    </row>
    <row r="107" spans="12:14" x14ac:dyDescent="0.3">
      <c r="L107" t="str">
        <f t="shared" si="2"/>
        <v/>
      </c>
      <c r="N107" t="str">
        <f t="shared" si="3"/>
        <v/>
      </c>
    </row>
    <row r="108" spans="12:14" x14ac:dyDescent="0.3">
      <c r="L108" t="str">
        <f t="shared" si="2"/>
        <v/>
      </c>
      <c r="N108" t="str">
        <f t="shared" si="3"/>
        <v/>
      </c>
    </row>
    <row r="109" spans="12:14" x14ac:dyDescent="0.3">
      <c r="L109" t="str">
        <f t="shared" si="2"/>
        <v/>
      </c>
      <c r="N109" t="str">
        <f t="shared" si="3"/>
        <v/>
      </c>
    </row>
    <row r="110" spans="12:14" x14ac:dyDescent="0.3">
      <c r="L110" t="str">
        <f t="shared" si="2"/>
        <v/>
      </c>
      <c r="N110" t="str">
        <f t="shared" si="3"/>
        <v/>
      </c>
    </row>
    <row r="111" spans="12:14" x14ac:dyDescent="0.3">
      <c r="L111" t="str">
        <f t="shared" si="2"/>
        <v/>
      </c>
      <c r="N111" t="str">
        <f t="shared" si="3"/>
        <v/>
      </c>
    </row>
    <row r="112" spans="12:14" x14ac:dyDescent="0.3">
      <c r="L112" t="str">
        <f t="shared" si="2"/>
        <v/>
      </c>
      <c r="N112" t="str">
        <f t="shared" si="3"/>
        <v/>
      </c>
    </row>
    <row r="113" spans="12:14" x14ac:dyDescent="0.3">
      <c r="L113" t="str">
        <f t="shared" si="2"/>
        <v/>
      </c>
      <c r="N113" t="str">
        <f t="shared" si="3"/>
        <v/>
      </c>
    </row>
    <row r="114" spans="12:14" x14ac:dyDescent="0.3">
      <c r="L114" t="str">
        <f t="shared" si="2"/>
        <v/>
      </c>
      <c r="N114" t="str">
        <f t="shared" si="3"/>
        <v/>
      </c>
    </row>
    <row r="115" spans="12:14" x14ac:dyDescent="0.3">
      <c r="L115" t="str">
        <f t="shared" si="2"/>
        <v/>
      </c>
      <c r="N115" t="str">
        <f t="shared" si="3"/>
        <v/>
      </c>
    </row>
    <row r="116" spans="12:14" x14ac:dyDescent="0.3">
      <c r="L116" t="str">
        <f t="shared" si="2"/>
        <v/>
      </c>
      <c r="N116" t="str">
        <f t="shared" si="3"/>
        <v/>
      </c>
    </row>
    <row r="117" spans="12:14" x14ac:dyDescent="0.3">
      <c r="L117" t="str">
        <f t="shared" si="2"/>
        <v/>
      </c>
      <c r="N117" t="str">
        <f t="shared" si="3"/>
        <v/>
      </c>
    </row>
    <row r="118" spans="12:14" x14ac:dyDescent="0.3">
      <c r="L118" t="str">
        <f t="shared" si="2"/>
        <v/>
      </c>
      <c r="N118" t="str">
        <f t="shared" si="3"/>
        <v/>
      </c>
    </row>
    <row r="119" spans="12:14" x14ac:dyDescent="0.3">
      <c r="L119" t="str">
        <f t="shared" si="2"/>
        <v/>
      </c>
      <c r="N119" t="str">
        <f t="shared" si="3"/>
        <v/>
      </c>
    </row>
    <row r="120" spans="12:14" x14ac:dyDescent="0.3">
      <c r="L120" t="str">
        <f t="shared" si="2"/>
        <v/>
      </c>
      <c r="N120" t="str">
        <f t="shared" si="3"/>
        <v/>
      </c>
    </row>
    <row r="121" spans="12:14" x14ac:dyDescent="0.3">
      <c r="L121" t="str">
        <f t="shared" si="2"/>
        <v/>
      </c>
      <c r="N121" t="str">
        <f t="shared" si="3"/>
        <v/>
      </c>
    </row>
    <row r="122" spans="12:14" x14ac:dyDescent="0.3">
      <c r="L122" t="str">
        <f t="shared" si="2"/>
        <v/>
      </c>
      <c r="N122" t="str">
        <f t="shared" si="3"/>
        <v/>
      </c>
    </row>
    <row r="123" spans="12:14" x14ac:dyDescent="0.3">
      <c r="L123" t="str">
        <f t="shared" si="2"/>
        <v/>
      </c>
      <c r="N123" t="str">
        <f t="shared" si="3"/>
        <v/>
      </c>
    </row>
    <row r="124" spans="12:14" x14ac:dyDescent="0.3">
      <c r="L124" t="str">
        <f t="shared" si="2"/>
        <v/>
      </c>
      <c r="N124" t="str">
        <f t="shared" si="3"/>
        <v/>
      </c>
    </row>
    <row r="125" spans="12:14" x14ac:dyDescent="0.3">
      <c r="L125" t="str">
        <f t="shared" si="2"/>
        <v/>
      </c>
      <c r="N125" t="str">
        <f t="shared" si="3"/>
        <v/>
      </c>
    </row>
    <row r="126" spans="12:14" x14ac:dyDescent="0.3">
      <c r="L126" t="str">
        <f t="shared" si="2"/>
        <v/>
      </c>
      <c r="N126" t="str">
        <f t="shared" si="3"/>
        <v/>
      </c>
    </row>
    <row r="127" spans="12:14" x14ac:dyDescent="0.3">
      <c r="L127" t="str">
        <f t="shared" si="2"/>
        <v/>
      </c>
      <c r="N127" t="str">
        <f t="shared" si="3"/>
        <v/>
      </c>
    </row>
    <row r="128" spans="12:14" x14ac:dyDescent="0.3">
      <c r="L128" t="str">
        <f t="shared" si="2"/>
        <v/>
      </c>
      <c r="N128" t="str">
        <f t="shared" si="3"/>
        <v/>
      </c>
    </row>
    <row r="129" spans="12:14" x14ac:dyDescent="0.3">
      <c r="L129" t="str">
        <f t="shared" ref="L129:L192" si="4">IF(A129="","",IF(ISNUMBER(--LEFT(A129,FIND(" - ",A129&amp;" - ")-1)),LEFT(A129,FIND(" - ",A129&amp;" - ")-1),TRIM(A129)))</f>
        <v/>
      </c>
      <c r="N129" t="str">
        <f t="shared" ref="N129:N192" si="5">IF(L129="","",IF(ISNUMBER(INDEX(A129:H129,$P$1)),INDEX(A129:H129,$P$1),IFERROR(_xlfn.NUMBERVALUE(INDEX(A129:H129,$P$1),".",","),0)))</f>
        <v/>
      </c>
    </row>
    <row r="130" spans="12:14" x14ac:dyDescent="0.3">
      <c r="L130" t="str">
        <f t="shared" si="4"/>
        <v/>
      </c>
      <c r="N130" t="str">
        <f t="shared" si="5"/>
        <v/>
      </c>
    </row>
    <row r="131" spans="12:14" x14ac:dyDescent="0.3">
      <c r="L131" t="str">
        <f t="shared" si="4"/>
        <v/>
      </c>
      <c r="N131" t="str">
        <f t="shared" si="5"/>
        <v/>
      </c>
    </row>
    <row r="132" spans="12:14" x14ac:dyDescent="0.3">
      <c r="L132" t="str">
        <f t="shared" si="4"/>
        <v/>
      </c>
      <c r="N132" t="str">
        <f t="shared" si="5"/>
        <v/>
      </c>
    </row>
    <row r="133" spans="12:14" x14ac:dyDescent="0.3">
      <c r="L133" t="str">
        <f t="shared" si="4"/>
        <v/>
      </c>
      <c r="N133" t="str">
        <f t="shared" si="5"/>
        <v/>
      </c>
    </row>
    <row r="134" spans="12:14" x14ac:dyDescent="0.3">
      <c r="L134" t="str">
        <f t="shared" si="4"/>
        <v/>
      </c>
      <c r="N134" t="str">
        <f t="shared" si="5"/>
        <v/>
      </c>
    </row>
    <row r="135" spans="12:14" x14ac:dyDescent="0.3">
      <c r="L135" t="str">
        <f t="shared" si="4"/>
        <v/>
      </c>
      <c r="N135" t="str">
        <f t="shared" si="5"/>
        <v/>
      </c>
    </row>
    <row r="136" spans="12:14" x14ac:dyDescent="0.3">
      <c r="L136" t="str">
        <f t="shared" si="4"/>
        <v/>
      </c>
      <c r="N136" t="str">
        <f t="shared" si="5"/>
        <v/>
      </c>
    </row>
    <row r="137" spans="12:14" x14ac:dyDescent="0.3">
      <c r="L137" t="str">
        <f t="shared" si="4"/>
        <v/>
      </c>
      <c r="N137" t="str">
        <f t="shared" si="5"/>
        <v/>
      </c>
    </row>
    <row r="138" spans="12:14" x14ac:dyDescent="0.3">
      <c r="L138" t="str">
        <f t="shared" si="4"/>
        <v/>
      </c>
      <c r="N138" t="str">
        <f t="shared" si="5"/>
        <v/>
      </c>
    </row>
    <row r="139" spans="12:14" x14ac:dyDescent="0.3">
      <c r="L139" t="str">
        <f t="shared" si="4"/>
        <v/>
      </c>
      <c r="N139" t="str">
        <f t="shared" si="5"/>
        <v/>
      </c>
    </row>
    <row r="140" spans="12:14" x14ac:dyDescent="0.3">
      <c r="L140" t="str">
        <f t="shared" si="4"/>
        <v/>
      </c>
      <c r="N140" t="str">
        <f t="shared" si="5"/>
        <v/>
      </c>
    </row>
    <row r="141" spans="12:14" x14ac:dyDescent="0.3">
      <c r="L141" t="str">
        <f t="shared" si="4"/>
        <v/>
      </c>
      <c r="N141" t="str">
        <f t="shared" si="5"/>
        <v/>
      </c>
    </row>
    <row r="142" spans="12:14" x14ac:dyDescent="0.3">
      <c r="L142" t="str">
        <f t="shared" si="4"/>
        <v/>
      </c>
      <c r="N142" t="str">
        <f t="shared" si="5"/>
        <v/>
      </c>
    </row>
    <row r="143" spans="12:14" x14ac:dyDescent="0.3">
      <c r="L143" t="str">
        <f t="shared" si="4"/>
        <v/>
      </c>
      <c r="N143" t="str">
        <f t="shared" si="5"/>
        <v/>
      </c>
    </row>
    <row r="144" spans="12:14" x14ac:dyDescent="0.3">
      <c r="L144" t="str">
        <f t="shared" si="4"/>
        <v/>
      </c>
      <c r="N144" t="str">
        <f t="shared" si="5"/>
        <v/>
      </c>
    </row>
    <row r="145" spans="12:14" x14ac:dyDescent="0.3">
      <c r="L145" t="str">
        <f t="shared" si="4"/>
        <v/>
      </c>
      <c r="N145" t="str">
        <f t="shared" si="5"/>
        <v/>
      </c>
    </row>
    <row r="146" spans="12:14" x14ac:dyDescent="0.3">
      <c r="L146" t="str">
        <f t="shared" si="4"/>
        <v/>
      </c>
      <c r="N146" t="str">
        <f t="shared" si="5"/>
        <v/>
      </c>
    </row>
    <row r="147" spans="12:14" x14ac:dyDescent="0.3">
      <c r="L147" t="str">
        <f t="shared" si="4"/>
        <v/>
      </c>
      <c r="N147" t="str">
        <f t="shared" si="5"/>
        <v/>
      </c>
    </row>
    <row r="148" spans="12:14" x14ac:dyDescent="0.3">
      <c r="L148" t="str">
        <f t="shared" si="4"/>
        <v/>
      </c>
      <c r="N148" t="str">
        <f t="shared" si="5"/>
        <v/>
      </c>
    </row>
    <row r="149" spans="12:14" x14ac:dyDescent="0.3">
      <c r="L149" t="str">
        <f t="shared" si="4"/>
        <v/>
      </c>
      <c r="N149" t="str">
        <f t="shared" si="5"/>
        <v/>
      </c>
    </row>
    <row r="150" spans="12:14" x14ac:dyDescent="0.3">
      <c r="L150" t="str">
        <f t="shared" si="4"/>
        <v/>
      </c>
      <c r="N150" t="str">
        <f t="shared" si="5"/>
        <v/>
      </c>
    </row>
    <row r="151" spans="12:14" x14ac:dyDescent="0.3">
      <c r="L151" t="str">
        <f t="shared" si="4"/>
        <v/>
      </c>
      <c r="N151" t="str">
        <f t="shared" si="5"/>
        <v/>
      </c>
    </row>
    <row r="152" spans="12:14" x14ac:dyDescent="0.3">
      <c r="L152" t="str">
        <f t="shared" si="4"/>
        <v/>
      </c>
      <c r="N152" t="str">
        <f t="shared" si="5"/>
        <v/>
      </c>
    </row>
    <row r="153" spans="12:14" x14ac:dyDescent="0.3">
      <c r="L153" t="str">
        <f t="shared" si="4"/>
        <v/>
      </c>
      <c r="N153" t="str">
        <f t="shared" si="5"/>
        <v/>
      </c>
    </row>
    <row r="154" spans="12:14" x14ac:dyDescent="0.3">
      <c r="L154" t="str">
        <f t="shared" si="4"/>
        <v/>
      </c>
      <c r="N154" t="str">
        <f t="shared" si="5"/>
        <v/>
      </c>
    </row>
    <row r="155" spans="12:14" x14ac:dyDescent="0.3">
      <c r="L155" t="str">
        <f t="shared" si="4"/>
        <v/>
      </c>
      <c r="N155" t="str">
        <f t="shared" si="5"/>
        <v/>
      </c>
    </row>
    <row r="156" spans="12:14" x14ac:dyDescent="0.3">
      <c r="L156" t="str">
        <f t="shared" si="4"/>
        <v/>
      </c>
      <c r="N156" t="str">
        <f t="shared" si="5"/>
        <v/>
      </c>
    </row>
    <row r="157" spans="12:14" x14ac:dyDescent="0.3">
      <c r="L157" t="str">
        <f t="shared" si="4"/>
        <v/>
      </c>
      <c r="N157" t="str">
        <f t="shared" si="5"/>
        <v/>
      </c>
    </row>
    <row r="158" spans="12:14" x14ac:dyDescent="0.3">
      <c r="L158" t="str">
        <f t="shared" si="4"/>
        <v/>
      </c>
      <c r="N158" t="str">
        <f t="shared" si="5"/>
        <v/>
      </c>
    </row>
    <row r="159" spans="12:14" x14ac:dyDescent="0.3">
      <c r="L159" t="str">
        <f t="shared" si="4"/>
        <v/>
      </c>
      <c r="N159" t="str">
        <f t="shared" si="5"/>
        <v/>
      </c>
    </row>
    <row r="160" spans="12:14" x14ac:dyDescent="0.3">
      <c r="L160" t="str">
        <f t="shared" si="4"/>
        <v/>
      </c>
      <c r="N160" t="str">
        <f t="shared" si="5"/>
        <v/>
      </c>
    </row>
    <row r="161" spans="12:14" x14ac:dyDescent="0.3">
      <c r="L161" t="str">
        <f t="shared" si="4"/>
        <v/>
      </c>
      <c r="N161" t="str">
        <f t="shared" si="5"/>
        <v/>
      </c>
    </row>
    <row r="162" spans="12:14" x14ac:dyDescent="0.3">
      <c r="L162" t="str">
        <f t="shared" si="4"/>
        <v/>
      </c>
      <c r="N162" t="str">
        <f t="shared" si="5"/>
        <v/>
      </c>
    </row>
    <row r="163" spans="12:14" x14ac:dyDescent="0.3">
      <c r="L163" t="str">
        <f t="shared" si="4"/>
        <v/>
      </c>
      <c r="N163" t="str">
        <f t="shared" si="5"/>
        <v/>
      </c>
    </row>
    <row r="164" spans="12:14" x14ac:dyDescent="0.3">
      <c r="L164" t="str">
        <f t="shared" si="4"/>
        <v/>
      </c>
      <c r="N164" t="str">
        <f t="shared" si="5"/>
        <v/>
      </c>
    </row>
    <row r="165" spans="12:14" x14ac:dyDescent="0.3">
      <c r="L165" t="str">
        <f t="shared" si="4"/>
        <v/>
      </c>
      <c r="N165" t="str">
        <f t="shared" si="5"/>
        <v/>
      </c>
    </row>
    <row r="166" spans="12:14" x14ac:dyDescent="0.3">
      <c r="L166" t="str">
        <f t="shared" si="4"/>
        <v/>
      </c>
      <c r="N166" t="str">
        <f t="shared" si="5"/>
        <v/>
      </c>
    </row>
    <row r="167" spans="12:14" x14ac:dyDescent="0.3">
      <c r="L167" t="str">
        <f t="shared" si="4"/>
        <v/>
      </c>
      <c r="N167" t="str">
        <f t="shared" si="5"/>
        <v/>
      </c>
    </row>
    <row r="168" spans="12:14" x14ac:dyDescent="0.3">
      <c r="L168" t="str">
        <f t="shared" si="4"/>
        <v/>
      </c>
      <c r="N168" t="str">
        <f t="shared" si="5"/>
        <v/>
      </c>
    </row>
    <row r="169" spans="12:14" x14ac:dyDescent="0.3">
      <c r="L169" t="str">
        <f t="shared" si="4"/>
        <v/>
      </c>
      <c r="N169" t="str">
        <f t="shared" si="5"/>
        <v/>
      </c>
    </row>
    <row r="170" spans="12:14" x14ac:dyDescent="0.3">
      <c r="L170" t="str">
        <f t="shared" si="4"/>
        <v/>
      </c>
      <c r="N170" t="str">
        <f t="shared" si="5"/>
        <v/>
      </c>
    </row>
    <row r="171" spans="12:14" x14ac:dyDescent="0.3">
      <c r="L171" t="str">
        <f t="shared" si="4"/>
        <v/>
      </c>
      <c r="N171" t="str">
        <f t="shared" si="5"/>
        <v/>
      </c>
    </row>
    <row r="172" spans="12:14" x14ac:dyDescent="0.3">
      <c r="L172" t="str">
        <f t="shared" si="4"/>
        <v/>
      </c>
      <c r="N172" t="str">
        <f t="shared" si="5"/>
        <v/>
      </c>
    </row>
    <row r="173" spans="12:14" x14ac:dyDescent="0.3">
      <c r="L173" t="str">
        <f t="shared" si="4"/>
        <v/>
      </c>
      <c r="N173" t="str">
        <f t="shared" si="5"/>
        <v/>
      </c>
    </row>
    <row r="174" spans="12:14" x14ac:dyDescent="0.3">
      <c r="L174" t="str">
        <f t="shared" si="4"/>
        <v/>
      </c>
      <c r="N174" t="str">
        <f t="shared" si="5"/>
        <v/>
      </c>
    </row>
    <row r="175" spans="12:14" x14ac:dyDescent="0.3">
      <c r="L175" t="str">
        <f t="shared" si="4"/>
        <v/>
      </c>
      <c r="N175" t="str">
        <f t="shared" si="5"/>
        <v/>
      </c>
    </row>
    <row r="176" spans="12:14" x14ac:dyDescent="0.3">
      <c r="L176" t="str">
        <f t="shared" si="4"/>
        <v/>
      </c>
      <c r="N176" t="str">
        <f t="shared" si="5"/>
        <v/>
      </c>
    </row>
    <row r="177" spans="12:14" x14ac:dyDescent="0.3">
      <c r="L177" t="str">
        <f t="shared" si="4"/>
        <v/>
      </c>
      <c r="N177" t="str">
        <f t="shared" si="5"/>
        <v/>
      </c>
    </row>
    <row r="178" spans="12:14" x14ac:dyDescent="0.3">
      <c r="L178" t="str">
        <f t="shared" si="4"/>
        <v/>
      </c>
      <c r="N178" t="str">
        <f t="shared" si="5"/>
        <v/>
      </c>
    </row>
    <row r="179" spans="12:14" x14ac:dyDescent="0.3">
      <c r="L179" t="str">
        <f t="shared" si="4"/>
        <v/>
      </c>
      <c r="N179" t="str">
        <f t="shared" si="5"/>
        <v/>
      </c>
    </row>
    <row r="180" spans="12:14" x14ac:dyDescent="0.3">
      <c r="L180" t="str">
        <f t="shared" si="4"/>
        <v/>
      </c>
      <c r="N180" t="str">
        <f t="shared" si="5"/>
        <v/>
      </c>
    </row>
    <row r="181" spans="12:14" x14ac:dyDescent="0.3">
      <c r="L181" t="str">
        <f t="shared" si="4"/>
        <v/>
      </c>
      <c r="N181" t="str">
        <f t="shared" si="5"/>
        <v/>
      </c>
    </row>
    <row r="182" spans="12:14" x14ac:dyDescent="0.3">
      <c r="L182" t="str">
        <f t="shared" si="4"/>
        <v/>
      </c>
      <c r="N182" t="str">
        <f t="shared" si="5"/>
        <v/>
      </c>
    </row>
    <row r="183" spans="12:14" x14ac:dyDescent="0.3">
      <c r="L183" t="str">
        <f t="shared" si="4"/>
        <v/>
      </c>
      <c r="N183" t="str">
        <f t="shared" si="5"/>
        <v/>
      </c>
    </row>
    <row r="184" spans="12:14" x14ac:dyDescent="0.3">
      <c r="L184" t="str">
        <f t="shared" si="4"/>
        <v/>
      </c>
      <c r="N184" t="str">
        <f t="shared" si="5"/>
        <v/>
      </c>
    </row>
    <row r="185" spans="12:14" x14ac:dyDescent="0.3">
      <c r="L185" t="str">
        <f t="shared" si="4"/>
        <v/>
      </c>
      <c r="N185" t="str">
        <f t="shared" si="5"/>
        <v/>
      </c>
    </row>
    <row r="186" spans="12:14" x14ac:dyDescent="0.3">
      <c r="L186" t="str">
        <f t="shared" si="4"/>
        <v/>
      </c>
      <c r="N186" t="str">
        <f t="shared" si="5"/>
        <v/>
      </c>
    </row>
    <row r="187" spans="12:14" x14ac:dyDescent="0.3">
      <c r="L187" t="str">
        <f t="shared" si="4"/>
        <v/>
      </c>
      <c r="N187" t="str">
        <f t="shared" si="5"/>
        <v/>
      </c>
    </row>
    <row r="188" spans="12:14" x14ac:dyDescent="0.3">
      <c r="L188" t="str">
        <f t="shared" si="4"/>
        <v/>
      </c>
      <c r="N188" t="str">
        <f t="shared" si="5"/>
        <v/>
      </c>
    </row>
    <row r="189" spans="12:14" x14ac:dyDescent="0.3">
      <c r="L189" t="str">
        <f t="shared" si="4"/>
        <v/>
      </c>
      <c r="N189" t="str">
        <f t="shared" si="5"/>
        <v/>
      </c>
    </row>
    <row r="190" spans="12:14" x14ac:dyDescent="0.3">
      <c r="L190" t="str">
        <f t="shared" si="4"/>
        <v/>
      </c>
      <c r="N190" t="str">
        <f t="shared" si="5"/>
        <v/>
      </c>
    </row>
    <row r="191" spans="12:14" x14ac:dyDescent="0.3">
      <c r="L191" t="str">
        <f t="shared" si="4"/>
        <v/>
      </c>
      <c r="N191" t="str">
        <f t="shared" si="5"/>
        <v/>
      </c>
    </row>
    <row r="192" spans="12:14" x14ac:dyDescent="0.3">
      <c r="L192" t="str">
        <f t="shared" si="4"/>
        <v/>
      </c>
      <c r="N192" t="str">
        <f t="shared" si="5"/>
        <v/>
      </c>
    </row>
    <row r="193" spans="12:14" x14ac:dyDescent="0.3">
      <c r="L193" t="str">
        <f t="shared" ref="L193:L256" si="6">IF(A193="","",IF(ISNUMBER(--LEFT(A193,FIND(" - ",A193&amp;" - ")-1)),LEFT(A193,FIND(" - ",A193&amp;" - ")-1),TRIM(A193)))</f>
        <v/>
      </c>
      <c r="N193" t="str">
        <f t="shared" ref="N193:N256" si="7">IF(L193="","",IF(ISNUMBER(INDEX(A193:H193,$P$1)),INDEX(A193:H193,$P$1),IFERROR(_xlfn.NUMBERVALUE(INDEX(A193:H193,$P$1),".",","),0)))</f>
        <v/>
      </c>
    </row>
    <row r="194" spans="12:14" x14ac:dyDescent="0.3">
      <c r="L194" t="str">
        <f t="shared" si="6"/>
        <v/>
      </c>
      <c r="N194" t="str">
        <f t="shared" si="7"/>
        <v/>
      </c>
    </row>
    <row r="195" spans="12:14" x14ac:dyDescent="0.3">
      <c r="L195" t="str">
        <f t="shared" si="6"/>
        <v/>
      </c>
      <c r="N195" t="str">
        <f t="shared" si="7"/>
        <v/>
      </c>
    </row>
    <row r="196" spans="12:14" x14ac:dyDescent="0.3">
      <c r="L196" t="str">
        <f t="shared" si="6"/>
        <v/>
      </c>
      <c r="N196" t="str">
        <f t="shared" si="7"/>
        <v/>
      </c>
    </row>
    <row r="197" spans="12:14" x14ac:dyDescent="0.3">
      <c r="L197" t="str">
        <f t="shared" si="6"/>
        <v/>
      </c>
      <c r="N197" t="str">
        <f t="shared" si="7"/>
        <v/>
      </c>
    </row>
    <row r="198" spans="12:14" x14ac:dyDescent="0.3">
      <c r="L198" t="str">
        <f t="shared" si="6"/>
        <v/>
      </c>
      <c r="N198" t="str">
        <f t="shared" si="7"/>
        <v/>
      </c>
    </row>
    <row r="199" spans="12:14" x14ac:dyDescent="0.3">
      <c r="L199" t="str">
        <f t="shared" si="6"/>
        <v/>
      </c>
      <c r="N199" t="str">
        <f t="shared" si="7"/>
        <v/>
      </c>
    </row>
    <row r="200" spans="12:14" x14ac:dyDescent="0.3">
      <c r="L200" t="str">
        <f t="shared" si="6"/>
        <v/>
      </c>
      <c r="N200" t="str">
        <f t="shared" si="7"/>
        <v/>
      </c>
    </row>
    <row r="201" spans="12:14" x14ac:dyDescent="0.3">
      <c r="L201" t="str">
        <f t="shared" si="6"/>
        <v/>
      </c>
      <c r="N201" t="str">
        <f t="shared" si="7"/>
        <v/>
      </c>
    </row>
    <row r="202" spans="12:14" x14ac:dyDescent="0.3">
      <c r="L202" t="str">
        <f t="shared" si="6"/>
        <v/>
      </c>
      <c r="N202" t="str">
        <f t="shared" si="7"/>
        <v/>
      </c>
    </row>
    <row r="203" spans="12:14" x14ac:dyDescent="0.3">
      <c r="L203" t="str">
        <f t="shared" si="6"/>
        <v/>
      </c>
      <c r="N203" t="str">
        <f t="shared" si="7"/>
        <v/>
      </c>
    </row>
    <row r="204" spans="12:14" x14ac:dyDescent="0.3">
      <c r="L204" t="str">
        <f t="shared" si="6"/>
        <v/>
      </c>
      <c r="N204" t="str">
        <f t="shared" si="7"/>
        <v/>
      </c>
    </row>
    <row r="205" spans="12:14" x14ac:dyDescent="0.3">
      <c r="L205" t="str">
        <f t="shared" si="6"/>
        <v/>
      </c>
      <c r="N205" t="str">
        <f t="shared" si="7"/>
        <v/>
      </c>
    </row>
    <row r="206" spans="12:14" x14ac:dyDescent="0.3">
      <c r="L206" t="str">
        <f t="shared" si="6"/>
        <v/>
      </c>
      <c r="N206" t="str">
        <f t="shared" si="7"/>
        <v/>
      </c>
    </row>
    <row r="207" spans="12:14" x14ac:dyDescent="0.3">
      <c r="L207" t="str">
        <f t="shared" si="6"/>
        <v/>
      </c>
      <c r="N207" t="str">
        <f t="shared" si="7"/>
        <v/>
      </c>
    </row>
    <row r="208" spans="12:14" x14ac:dyDescent="0.3">
      <c r="L208" t="str">
        <f t="shared" si="6"/>
        <v/>
      </c>
      <c r="N208" t="str">
        <f t="shared" si="7"/>
        <v/>
      </c>
    </row>
    <row r="209" spans="12:14" x14ac:dyDescent="0.3">
      <c r="L209" t="str">
        <f t="shared" si="6"/>
        <v/>
      </c>
      <c r="N209" t="str">
        <f t="shared" si="7"/>
        <v/>
      </c>
    </row>
    <row r="210" spans="12:14" x14ac:dyDescent="0.3">
      <c r="L210" t="str">
        <f t="shared" si="6"/>
        <v/>
      </c>
      <c r="N210" t="str">
        <f t="shared" si="7"/>
        <v/>
      </c>
    </row>
    <row r="211" spans="12:14" x14ac:dyDescent="0.3">
      <c r="L211" t="str">
        <f t="shared" si="6"/>
        <v/>
      </c>
      <c r="N211" t="str">
        <f t="shared" si="7"/>
        <v/>
      </c>
    </row>
    <row r="212" spans="12:14" x14ac:dyDescent="0.3">
      <c r="L212" t="str">
        <f t="shared" si="6"/>
        <v/>
      </c>
      <c r="N212" t="str">
        <f t="shared" si="7"/>
        <v/>
      </c>
    </row>
    <row r="213" spans="12:14" x14ac:dyDescent="0.3">
      <c r="L213" t="str">
        <f t="shared" si="6"/>
        <v/>
      </c>
      <c r="N213" t="str">
        <f t="shared" si="7"/>
        <v/>
      </c>
    </row>
    <row r="214" spans="12:14" x14ac:dyDescent="0.3">
      <c r="L214" t="str">
        <f t="shared" si="6"/>
        <v/>
      </c>
      <c r="N214" t="str">
        <f t="shared" si="7"/>
        <v/>
      </c>
    </row>
    <row r="215" spans="12:14" x14ac:dyDescent="0.3">
      <c r="L215" t="str">
        <f t="shared" si="6"/>
        <v/>
      </c>
      <c r="N215" t="str">
        <f t="shared" si="7"/>
        <v/>
      </c>
    </row>
    <row r="216" spans="12:14" x14ac:dyDescent="0.3">
      <c r="L216" t="str">
        <f t="shared" si="6"/>
        <v/>
      </c>
      <c r="N216" t="str">
        <f t="shared" si="7"/>
        <v/>
      </c>
    </row>
    <row r="217" spans="12:14" x14ac:dyDescent="0.3">
      <c r="L217" t="str">
        <f t="shared" si="6"/>
        <v/>
      </c>
      <c r="N217" t="str">
        <f t="shared" si="7"/>
        <v/>
      </c>
    </row>
    <row r="218" spans="12:14" x14ac:dyDescent="0.3">
      <c r="L218" t="str">
        <f t="shared" si="6"/>
        <v/>
      </c>
      <c r="N218" t="str">
        <f t="shared" si="7"/>
        <v/>
      </c>
    </row>
    <row r="219" spans="12:14" x14ac:dyDescent="0.3">
      <c r="L219" t="str">
        <f t="shared" si="6"/>
        <v/>
      </c>
      <c r="N219" t="str">
        <f t="shared" si="7"/>
        <v/>
      </c>
    </row>
    <row r="220" spans="12:14" x14ac:dyDescent="0.3">
      <c r="L220" t="str">
        <f t="shared" si="6"/>
        <v/>
      </c>
      <c r="N220" t="str">
        <f t="shared" si="7"/>
        <v/>
      </c>
    </row>
    <row r="221" spans="12:14" x14ac:dyDescent="0.3">
      <c r="L221" t="str">
        <f t="shared" si="6"/>
        <v/>
      </c>
      <c r="N221" t="str">
        <f t="shared" si="7"/>
        <v/>
      </c>
    </row>
    <row r="222" spans="12:14" x14ac:dyDescent="0.3">
      <c r="L222" t="str">
        <f t="shared" si="6"/>
        <v/>
      </c>
      <c r="N222" t="str">
        <f t="shared" si="7"/>
        <v/>
      </c>
    </row>
    <row r="223" spans="12:14" x14ac:dyDescent="0.3">
      <c r="L223" t="str">
        <f t="shared" si="6"/>
        <v/>
      </c>
      <c r="N223" t="str">
        <f t="shared" si="7"/>
        <v/>
      </c>
    </row>
    <row r="224" spans="12:14" x14ac:dyDescent="0.3">
      <c r="L224" t="str">
        <f t="shared" si="6"/>
        <v/>
      </c>
      <c r="N224" t="str">
        <f t="shared" si="7"/>
        <v/>
      </c>
    </row>
    <row r="225" spans="12:14" x14ac:dyDescent="0.3">
      <c r="L225" t="str">
        <f t="shared" si="6"/>
        <v/>
      </c>
      <c r="N225" t="str">
        <f t="shared" si="7"/>
        <v/>
      </c>
    </row>
    <row r="226" spans="12:14" x14ac:dyDescent="0.3">
      <c r="L226" t="str">
        <f t="shared" si="6"/>
        <v/>
      </c>
      <c r="N226" t="str">
        <f t="shared" si="7"/>
        <v/>
      </c>
    </row>
    <row r="227" spans="12:14" x14ac:dyDescent="0.3">
      <c r="L227" t="str">
        <f t="shared" si="6"/>
        <v/>
      </c>
      <c r="N227" t="str">
        <f t="shared" si="7"/>
        <v/>
      </c>
    </row>
    <row r="228" spans="12:14" x14ac:dyDescent="0.3">
      <c r="L228" t="str">
        <f t="shared" si="6"/>
        <v/>
      </c>
      <c r="N228" t="str">
        <f t="shared" si="7"/>
        <v/>
      </c>
    </row>
    <row r="229" spans="12:14" x14ac:dyDescent="0.3">
      <c r="L229" t="str">
        <f t="shared" si="6"/>
        <v/>
      </c>
      <c r="N229" t="str">
        <f t="shared" si="7"/>
        <v/>
      </c>
    </row>
    <row r="230" spans="12:14" x14ac:dyDescent="0.3">
      <c r="L230" t="str">
        <f t="shared" si="6"/>
        <v/>
      </c>
      <c r="N230" t="str">
        <f t="shared" si="7"/>
        <v/>
      </c>
    </row>
    <row r="231" spans="12:14" x14ac:dyDescent="0.3">
      <c r="L231" t="str">
        <f t="shared" si="6"/>
        <v/>
      </c>
      <c r="N231" t="str">
        <f t="shared" si="7"/>
        <v/>
      </c>
    </row>
    <row r="232" spans="12:14" x14ac:dyDescent="0.3">
      <c r="L232" t="str">
        <f t="shared" si="6"/>
        <v/>
      </c>
      <c r="N232" t="str">
        <f t="shared" si="7"/>
        <v/>
      </c>
    </row>
    <row r="233" spans="12:14" x14ac:dyDescent="0.3">
      <c r="L233" t="str">
        <f t="shared" si="6"/>
        <v/>
      </c>
      <c r="N233" t="str">
        <f t="shared" si="7"/>
        <v/>
      </c>
    </row>
    <row r="234" spans="12:14" x14ac:dyDescent="0.3">
      <c r="L234" t="str">
        <f t="shared" si="6"/>
        <v/>
      </c>
      <c r="N234" t="str">
        <f t="shared" si="7"/>
        <v/>
      </c>
    </row>
    <row r="235" spans="12:14" x14ac:dyDescent="0.3">
      <c r="L235" t="str">
        <f t="shared" si="6"/>
        <v/>
      </c>
      <c r="N235" t="str">
        <f t="shared" si="7"/>
        <v/>
      </c>
    </row>
    <row r="236" spans="12:14" x14ac:dyDescent="0.3">
      <c r="L236" t="str">
        <f t="shared" si="6"/>
        <v/>
      </c>
      <c r="N236" t="str">
        <f t="shared" si="7"/>
        <v/>
      </c>
    </row>
    <row r="237" spans="12:14" x14ac:dyDescent="0.3">
      <c r="L237" t="str">
        <f t="shared" si="6"/>
        <v/>
      </c>
      <c r="N237" t="str">
        <f t="shared" si="7"/>
        <v/>
      </c>
    </row>
    <row r="238" spans="12:14" x14ac:dyDescent="0.3">
      <c r="L238" t="str">
        <f t="shared" si="6"/>
        <v/>
      </c>
      <c r="N238" t="str">
        <f t="shared" si="7"/>
        <v/>
      </c>
    </row>
    <row r="239" spans="12:14" x14ac:dyDescent="0.3">
      <c r="L239" t="str">
        <f t="shared" si="6"/>
        <v/>
      </c>
      <c r="N239" t="str">
        <f t="shared" si="7"/>
        <v/>
      </c>
    </row>
    <row r="240" spans="12:14" x14ac:dyDescent="0.3">
      <c r="L240" t="str">
        <f t="shared" si="6"/>
        <v/>
      </c>
      <c r="N240" t="str">
        <f t="shared" si="7"/>
        <v/>
      </c>
    </row>
    <row r="241" spans="12:14" x14ac:dyDescent="0.3">
      <c r="L241" t="str">
        <f t="shared" si="6"/>
        <v/>
      </c>
      <c r="N241" t="str">
        <f t="shared" si="7"/>
        <v/>
      </c>
    </row>
    <row r="242" spans="12:14" x14ac:dyDescent="0.3">
      <c r="L242" t="str">
        <f t="shared" si="6"/>
        <v/>
      </c>
      <c r="N242" t="str">
        <f t="shared" si="7"/>
        <v/>
      </c>
    </row>
    <row r="243" spans="12:14" x14ac:dyDescent="0.3">
      <c r="L243" t="str">
        <f t="shared" si="6"/>
        <v/>
      </c>
      <c r="N243" t="str">
        <f t="shared" si="7"/>
        <v/>
      </c>
    </row>
    <row r="244" spans="12:14" x14ac:dyDescent="0.3">
      <c r="L244" t="str">
        <f t="shared" si="6"/>
        <v/>
      </c>
      <c r="N244" t="str">
        <f t="shared" si="7"/>
        <v/>
      </c>
    </row>
    <row r="245" spans="12:14" x14ac:dyDescent="0.3">
      <c r="L245" t="str">
        <f t="shared" si="6"/>
        <v/>
      </c>
      <c r="N245" t="str">
        <f t="shared" si="7"/>
        <v/>
      </c>
    </row>
    <row r="246" spans="12:14" x14ac:dyDescent="0.3">
      <c r="L246" t="str">
        <f t="shared" si="6"/>
        <v/>
      </c>
      <c r="N246" t="str">
        <f t="shared" si="7"/>
        <v/>
      </c>
    </row>
    <row r="247" spans="12:14" x14ac:dyDescent="0.3">
      <c r="L247" t="str">
        <f t="shared" si="6"/>
        <v/>
      </c>
      <c r="N247" t="str">
        <f t="shared" si="7"/>
        <v/>
      </c>
    </row>
    <row r="248" spans="12:14" x14ac:dyDescent="0.3">
      <c r="L248" t="str">
        <f t="shared" si="6"/>
        <v/>
      </c>
      <c r="N248" t="str">
        <f t="shared" si="7"/>
        <v/>
      </c>
    </row>
    <row r="249" spans="12:14" x14ac:dyDescent="0.3">
      <c r="L249" t="str">
        <f t="shared" si="6"/>
        <v/>
      </c>
      <c r="N249" t="str">
        <f t="shared" si="7"/>
        <v/>
      </c>
    </row>
    <row r="250" spans="12:14" x14ac:dyDescent="0.3">
      <c r="L250" t="str">
        <f t="shared" si="6"/>
        <v/>
      </c>
      <c r="N250" t="str">
        <f t="shared" si="7"/>
        <v/>
      </c>
    </row>
    <row r="251" spans="12:14" x14ac:dyDescent="0.3">
      <c r="L251" t="str">
        <f t="shared" si="6"/>
        <v/>
      </c>
      <c r="N251" t="str">
        <f t="shared" si="7"/>
        <v/>
      </c>
    </row>
    <row r="252" spans="12:14" x14ac:dyDescent="0.3">
      <c r="L252" t="str">
        <f t="shared" si="6"/>
        <v/>
      </c>
      <c r="N252" t="str">
        <f t="shared" si="7"/>
        <v/>
      </c>
    </row>
    <row r="253" spans="12:14" x14ac:dyDescent="0.3">
      <c r="L253" t="str">
        <f t="shared" si="6"/>
        <v/>
      </c>
      <c r="N253" t="str">
        <f t="shared" si="7"/>
        <v/>
      </c>
    </row>
    <row r="254" spans="12:14" x14ac:dyDescent="0.3">
      <c r="L254" t="str">
        <f t="shared" si="6"/>
        <v/>
      </c>
      <c r="N254" t="str">
        <f t="shared" si="7"/>
        <v/>
      </c>
    </row>
    <row r="255" spans="12:14" x14ac:dyDescent="0.3">
      <c r="L255" t="str">
        <f t="shared" si="6"/>
        <v/>
      </c>
      <c r="N255" t="str">
        <f t="shared" si="7"/>
        <v/>
      </c>
    </row>
    <row r="256" spans="12:14" x14ac:dyDescent="0.3">
      <c r="L256" t="str">
        <f t="shared" si="6"/>
        <v/>
      </c>
      <c r="N256" t="str">
        <f t="shared" si="7"/>
        <v/>
      </c>
    </row>
    <row r="257" spans="12:14" x14ac:dyDescent="0.3">
      <c r="L257" t="str">
        <f t="shared" ref="L257:L320" si="8">IF(A257="","",IF(ISNUMBER(--LEFT(A257,FIND(" - ",A257&amp;" - ")-1)),LEFT(A257,FIND(" - ",A257&amp;" - ")-1),TRIM(A257)))</f>
        <v/>
      </c>
      <c r="N257" t="str">
        <f t="shared" ref="N257:N320" si="9">IF(L257="","",IF(ISNUMBER(INDEX(A257:H257,$P$1)),INDEX(A257:H257,$P$1),IFERROR(_xlfn.NUMBERVALUE(INDEX(A257:H257,$P$1),".",","),0)))</f>
        <v/>
      </c>
    </row>
    <row r="258" spans="12:14" x14ac:dyDescent="0.3">
      <c r="L258" t="str">
        <f t="shared" si="8"/>
        <v/>
      </c>
      <c r="N258" t="str">
        <f t="shared" si="9"/>
        <v/>
      </c>
    </row>
    <row r="259" spans="12:14" x14ac:dyDescent="0.3">
      <c r="L259" t="str">
        <f t="shared" si="8"/>
        <v/>
      </c>
      <c r="N259" t="str">
        <f t="shared" si="9"/>
        <v/>
      </c>
    </row>
    <row r="260" spans="12:14" x14ac:dyDescent="0.3">
      <c r="L260" t="str">
        <f t="shared" si="8"/>
        <v/>
      </c>
      <c r="N260" t="str">
        <f t="shared" si="9"/>
        <v/>
      </c>
    </row>
    <row r="261" spans="12:14" x14ac:dyDescent="0.3">
      <c r="L261" t="str">
        <f t="shared" si="8"/>
        <v/>
      </c>
      <c r="N261" t="str">
        <f t="shared" si="9"/>
        <v/>
      </c>
    </row>
    <row r="262" spans="12:14" x14ac:dyDescent="0.3">
      <c r="L262" t="str">
        <f t="shared" si="8"/>
        <v/>
      </c>
      <c r="N262" t="str">
        <f t="shared" si="9"/>
        <v/>
      </c>
    </row>
    <row r="263" spans="12:14" x14ac:dyDescent="0.3">
      <c r="L263" t="str">
        <f t="shared" si="8"/>
        <v/>
      </c>
      <c r="N263" t="str">
        <f t="shared" si="9"/>
        <v/>
      </c>
    </row>
    <row r="264" spans="12:14" x14ac:dyDescent="0.3">
      <c r="L264" t="str">
        <f t="shared" si="8"/>
        <v/>
      </c>
      <c r="N264" t="str">
        <f t="shared" si="9"/>
        <v/>
      </c>
    </row>
    <row r="265" spans="12:14" x14ac:dyDescent="0.3">
      <c r="L265" t="str">
        <f t="shared" si="8"/>
        <v/>
      </c>
      <c r="N265" t="str">
        <f t="shared" si="9"/>
        <v/>
      </c>
    </row>
    <row r="266" spans="12:14" x14ac:dyDescent="0.3">
      <c r="L266" t="str">
        <f t="shared" si="8"/>
        <v/>
      </c>
      <c r="N266" t="str">
        <f t="shared" si="9"/>
        <v/>
      </c>
    </row>
    <row r="267" spans="12:14" x14ac:dyDescent="0.3">
      <c r="L267" t="str">
        <f t="shared" si="8"/>
        <v/>
      </c>
      <c r="N267" t="str">
        <f t="shared" si="9"/>
        <v/>
      </c>
    </row>
    <row r="268" spans="12:14" x14ac:dyDescent="0.3">
      <c r="L268" t="str">
        <f t="shared" si="8"/>
        <v/>
      </c>
      <c r="N268" t="str">
        <f t="shared" si="9"/>
        <v/>
      </c>
    </row>
    <row r="269" spans="12:14" x14ac:dyDescent="0.3">
      <c r="L269" t="str">
        <f t="shared" si="8"/>
        <v/>
      </c>
      <c r="N269" t="str">
        <f t="shared" si="9"/>
        <v/>
      </c>
    </row>
    <row r="270" spans="12:14" x14ac:dyDescent="0.3">
      <c r="L270" t="str">
        <f t="shared" si="8"/>
        <v/>
      </c>
      <c r="N270" t="str">
        <f t="shared" si="9"/>
        <v/>
      </c>
    </row>
    <row r="271" spans="12:14" x14ac:dyDescent="0.3">
      <c r="L271" t="str">
        <f t="shared" si="8"/>
        <v/>
      </c>
      <c r="N271" t="str">
        <f t="shared" si="9"/>
        <v/>
      </c>
    </row>
    <row r="272" spans="12:14" x14ac:dyDescent="0.3">
      <c r="L272" t="str">
        <f t="shared" si="8"/>
        <v/>
      </c>
      <c r="N272" t="str">
        <f t="shared" si="9"/>
        <v/>
      </c>
    </row>
    <row r="273" spans="12:14" x14ac:dyDescent="0.3">
      <c r="L273" t="str">
        <f t="shared" si="8"/>
        <v/>
      </c>
      <c r="N273" t="str">
        <f t="shared" si="9"/>
        <v/>
      </c>
    </row>
    <row r="274" spans="12:14" x14ac:dyDescent="0.3">
      <c r="L274" t="str">
        <f t="shared" si="8"/>
        <v/>
      </c>
      <c r="N274" t="str">
        <f t="shared" si="9"/>
        <v/>
      </c>
    </row>
    <row r="275" spans="12:14" x14ac:dyDescent="0.3">
      <c r="L275" t="str">
        <f t="shared" si="8"/>
        <v/>
      </c>
      <c r="N275" t="str">
        <f t="shared" si="9"/>
        <v/>
      </c>
    </row>
    <row r="276" spans="12:14" x14ac:dyDescent="0.3">
      <c r="L276" t="str">
        <f t="shared" si="8"/>
        <v/>
      </c>
      <c r="N276" t="str">
        <f t="shared" si="9"/>
        <v/>
      </c>
    </row>
    <row r="277" spans="12:14" x14ac:dyDescent="0.3">
      <c r="L277" t="str">
        <f t="shared" si="8"/>
        <v/>
      </c>
      <c r="N277" t="str">
        <f t="shared" si="9"/>
        <v/>
      </c>
    </row>
    <row r="278" spans="12:14" x14ac:dyDescent="0.3">
      <c r="L278" t="str">
        <f t="shared" si="8"/>
        <v/>
      </c>
      <c r="N278" t="str">
        <f t="shared" si="9"/>
        <v/>
      </c>
    </row>
    <row r="279" spans="12:14" x14ac:dyDescent="0.3">
      <c r="L279" t="str">
        <f t="shared" si="8"/>
        <v/>
      </c>
      <c r="N279" t="str">
        <f t="shared" si="9"/>
        <v/>
      </c>
    </row>
    <row r="280" spans="12:14" x14ac:dyDescent="0.3">
      <c r="L280" t="str">
        <f t="shared" si="8"/>
        <v/>
      </c>
      <c r="N280" t="str">
        <f t="shared" si="9"/>
        <v/>
      </c>
    </row>
    <row r="281" spans="12:14" x14ac:dyDescent="0.3">
      <c r="L281" t="str">
        <f t="shared" si="8"/>
        <v/>
      </c>
      <c r="N281" t="str">
        <f t="shared" si="9"/>
        <v/>
      </c>
    </row>
    <row r="282" spans="12:14" x14ac:dyDescent="0.3">
      <c r="L282" t="str">
        <f t="shared" si="8"/>
        <v/>
      </c>
      <c r="N282" t="str">
        <f t="shared" si="9"/>
        <v/>
      </c>
    </row>
    <row r="283" spans="12:14" x14ac:dyDescent="0.3">
      <c r="L283" t="str">
        <f t="shared" si="8"/>
        <v/>
      </c>
      <c r="N283" t="str">
        <f t="shared" si="9"/>
        <v/>
      </c>
    </row>
    <row r="284" spans="12:14" x14ac:dyDescent="0.3">
      <c r="L284" t="str">
        <f t="shared" si="8"/>
        <v/>
      </c>
      <c r="N284" t="str">
        <f t="shared" si="9"/>
        <v/>
      </c>
    </row>
    <row r="285" spans="12:14" x14ac:dyDescent="0.3">
      <c r="L285" t="str">
        <f t="shared" si="8"/>
        <v/>
      </c>
      <c r="N285" t="str">
        <f t="shared" si="9"/>
        <v/>
      </c>
    </row>
    <row r="286" spans="12:14" x14ac:dyDescent="0.3">
      <c r="L286" t="str">
        <f t="shared" si="8"/>
        <v/>
      </c>
      <c r="N286" t="str">
        <f t="shared" si="9"/>
        <v/>
      </c>
    </row>
    <row r="287" spans="12:14" x14ac:dyDescent="0.3">
      <c r="L287" t="str">
        <f t="shared" si="8"/>
        <v/>
      </c>
      <c r="N287" t="str">
        <f t="shared" si="9"/>
        <v/>
      </c>
    </row>
    <row r="288" spans="12:14" x14ac:dyDescent="0.3">
      <c r="L288" t="str">
        <f t="shared" si="8"/>
        <v/>
      </c>
      <c r="N288" t="str">
        <f t="shared" si="9"/>
        <v/>
      </c>
    </row>
    <row r="289" spans="12:14" x14ac:dyDescent="0.3">
      <c r="L289" t="str">
        <f t="shared" si="8"/>
        <v/>
      </c>
      <c r="N289" t="str">
        <f t="shared" si="9"/>
        <v/>
      </c>
    </row>
    <row r="290" spans="12:14" x14ac:dyDescent="0.3">
      <c r="L290" t="str">
        <f t="shared" si="8"/>
        <v/>
      </c>
      <c r="N290" t="str">
        <f t="shared" si="9"/>
        <v/>
      </c>
    </row>
    <row r="291" spans="12:14" x14ac:dyDescent="0.3">
      <c r="L291" t="str">
        <f t="shared" si="8"/>
        <v/>
      </c>
      <c r="N291" t="str">
        <f t="shared" si="9"/>
        <v/>
      </c>
    </row>
    <row r="292" spans="12:14" x14ac:dyDescent="0.3">
      <c r="L292" t="str">
        <f t="shared" si="8"/>
        <v/>
      </c>
      <c r="N292" t="str">
        <f t="shared" si="9"/>
        <v/>
      </c>
    </row>
    <row r="293" spans="12:14" x14ac:dyDescent="0.3">
      <c r="L293" t="str">
        <f t="shared" si="8"/>
        <v/>
      </c>
      <c r="N293" t="str">
        <f t="shared" si="9"/>
        <v/>
      </c>
    </row>
    <row r="294" spans="12:14" x14ac:dyDescent="0.3">
      <c r="L294" t="str">
        <f t="shared" si="8"/>
        <v/>
      </c>
      <c r="N294" t="str">
        <f t="shared" si="9"/>
        <v/>
      </c>
    </row>
    <row r="295" spans="12:14" x14ac:dyDescent="0.3">
      <c r="L295" t="str">
        <f t="shared" si="8"/>
        <v/>
      </c>
      <c r="N295" t="str">
        <f t="shared" si="9"/>
        <v/>
      </c>
    </row>
    <row r="296" spans="12:14" x14ac:dyDescent="0.3">
      <c r="L296" t="str">
        <f t="shared" si="8"/>
        <v/>
      </c>
      <c r="N296" t="str">
        <f t="shared" si="9"/>
        <v/>
      </c>
    </row>
    <row r="297" spans="12:14" x14ac:dyDescent="0.3">
      <c r="L297" t="str">
        <f t="shared" si="8"/>
        <v/>
      </c>
      <c r="N297" t="str">
        <f t="shared" si="9"/>
        <v/>
      </c>
    </row>
    <row r="298" spans="12:14" x14ac:dyDescent="0.3">
      <c r="L298" t="str">
        <f t="shared" si="8"/>
        <v/>
      </c>
      <c r="N298" t="str">
        <f t="shared" si="9"/>
        <v/>
      </c>
    </row>
    <row r="299" spans="12:14" x14ac:dyDescent="0.3">
      <c r="L299" t="str">
        <f t="shared" si="8"/>
        <v/>
      </c>
      <c r="N299" t="str">
        <f t="shared" si="9"/>
        <v/>
      </c>
    </row>
    <row r="300" spans="12:14" x14ac:dyDescent="0.3">
      <c r="L300" t="str">
        <f t="shared" si="8"/>
        <v/>
      </c>
      <c r="N300" t="str">
        <f t="shared" si="9"/>
        <v/>
      </c>
    </row>
    <row r="301" spans="12:14" x14ac:dyDescent="0.3">
      <c r="L301" t="str">
        <f t="shared" si="8"/>
        <v/>
      </c>
      <c r="N301" t="str">
        <f t="shared" si="9"/>
        <v/>
      </c>
    </row>
    <row r="302" spans="12:14" x14ac:dyDescent="0.3">
      <c r="L302" t="str">
        <f t="shared" si="8"/>
        <v/>
      </c>
      <c r="N302" t="str">
        <f t="shared" si="9"/>
        <v/>
      </c>
    </row>
    <row r="303" spans="12:14" x14ac:dyDescent="0.3">
      <c r="L303" t="str">
        <f t="shared" si="8"/>
        <v/>
      </c>
      <c r="N303" t="str">
        <f t="shared" si="9"/>
        <v/>
      </c>
    </row>
    <row r="304" spans="12:14" x14ac:dyDescent="0.3">
      <c r="L304" t="str">
        <f t="shared" si="8"/>
        <v/>
      </c>
      <c r="N304" t="str">
        <f t="shared" si="9"/>
        <v/>
      </c>
    </row>
    <row r="305" spans="12:14" x14ac:dyDescent="0.3">
      <c r="L305" t="str">
        <f t="shared" si="8"/>
        <v/>
      </c>
      <c r="N305" t="str">
        <f t="shared" si="9"/>
        <v/>
      </c>
    </row>
    <row r="306" spans="12:14" x14ac:dyDescent="0.3">
      <c r="L306" t="str">
        <f t="shared" si="8"/>
        <v/>
      </c>
      <c r="N306" t="str">
        <f t="shared" si="9"/>
        <v/>
      </c>
    </row>
    <row r="307" spans="12:14" x14ac:dyDescent="0.3">
      <c r="L307" t="str">
        <f t="shared" si="8"/>
        <v/>
      </c>
      <c r="N307" t="str">
        <f t="shared" si="9"/>
        <v/>
      </c>
    </row>
    <row r="308" spans="12:14" x14ac:dyDescent="0.3">
      <c r="L308" t="str">
        <f t="shared" si="8"/>
        <v/>
      </c>
      <c r="N308" t="str">
        <f t="shared" si="9"/>
        <v/>
      </c>
    </row>
    <row r="309" spans="12:14" x14ac:dyDescent="0.3">
      <c r="L309" t="str">
        <f t="shared" si="8"/>
        <v/>
      </c>
      <c r="N309" t="str">
        <f t="shared" si="9"/>
        <v/>
      </c>
    </row>
    <row r="310" spans="12:14" x14ac:dyDescent="0.3">
      <c r="L310" t="str">
        <f t="shared" si="8"/>
        <v/>
      </c>
      <c r="N310" t="str">
        <f t="shared" si="9"/>
        <v/>
      </c>
    </row>
    <row r="311" spans="12:14" x14ac:dyDescent="0.3">
      <c r="L311" t="str">
        <f t="shared" si="8"/>
        <v/>
      </c>
      <c r="N311" t="str">
        <f t="shared" si="9"/>
        <v/>
      </c>
    </row>
    <row r="312" spans="12:14" x14ac:dyDescent="0.3">
      <c r="L312" t="str">
        <f t="shared" si="8"/>
        <v/>
      </c>
      <c r="N312" t="str">
        <f t="shared" si="9"/>
        <v/>
      </c>
    </row>
    <row r="313" spans="12:14" x14ac:dyDescent="0.3">
      <c r="L313" t="str">
        <f t="shared" si="8"/>
        <v/>
      </c>
      <c r="N313" t="str">
        <f t="shared" si="9"/>
        <v/>
      </c>
    </row>
    <row r="314" spans="12:14" x14ac:dyDescent="0.3">
      <c r="L314" t="str">
        <f t="shared" si="8"/>
        <v/>
      </c>
      <c r="N314" t="str">
        <f t="shared" si="9"/>
        <v/>
      </c>
    </row>
    <row r="315" spans="12:14" x14ac:dyDescent="0.3">
      <c r="L315" t="str">
        <f t="shared" si="8"/>
        <v/>
      </c>
      <c r="N315" t="str">
        <f t="shared" si="9"/>
        <v/>
      </c>
    </row>
    <row r="316" spans="12:14" x14ac:dyDescent="0.3">
      <c r="L316" t="str">
        <f t="shared" si="8"/>
        <v/>
      </c>
      <c r="N316" t="str">
        <f t="shared" si="9"/>
        <v/>
      </c>
    </row>
    <row r="317" spans="12:14" x14ac:dyDescent="0.3">
      <c r="L317" t="str">
        <f t="shared" si="8"/>
        <v/>
      </c>
      <c r="N317" t="str">
        <f t="shared" si="9"/>
        <v/>
      </c>
    </row>
    <row r="318" spans="12:14" x14ac:dyDescent="0.3">
      <c r="L318" t="str">
        <f t="shared" si="8"/>
        <v/>
      </c>
      <c r="N318" t="str">
        <f t="shared" si="9"/>
        <v/>
      </c>
    </row>
    <row r="319" spans="12:14" x14ac:dyDescent="0.3">
      <c r="L319" t="str">
        <f t="shared" si="8"/>
        <v/>
      </c>
      <c r="N319" t="str">
        <f t="shared" si="9"/>
        <v/>
      </c>
    </row>
    <row r="320" spans="12:14" x14ac:dyDescent="0.3">
      <c r="L320" t="str">
        <f t="shared" si="8"/>
        <v/>
      </c>
      <c r="N320" t="str">
        <f t="shared" si="9"/>
        <v/>
      </c>
    </row>
    <row r="321" spans="12:14" x14ac:dyDescent="0.3">
      <c r="L321" t="str">
        <f t="shared" ref="L321:L384" si="10">IF(A321="","",IF(ISNUMBER(--LEFT(A321,FIND(" - ",A321&amp;" - ")-1)),LEFT(A321,FIND(" - ",A321&amp;" - ")-1),TRIM(A321)))</f>
        <v/>
      </c>
      <c r="N321" t="str">
        <f t="shared" ref="N321:N384" si="11">IF(L321="","",IF(ISNUMBER(INDEX(A321:H321,$P$1)),INDEX(A321:H321,$P$1),IFERROR(_xlfn.NUMBERVALUE(INDEX(A321:H321,$P$1),".",","),0)))</f>
        <v/>
      </c>
    </row>
    <row r="322" spans="12:14" x14ac:dyDescent="0.3">
      <c r="L322" t="str">
        <f t="shared" si="10"/>
        <v/>
      </c>
      <c r="N322" t="str">
        <f t="shared" si="11"/>
        <v/>
      </c>
    </row>
    <row r="323" spans="12:14" x14ac:dyDescent="0.3">
      <c r="L323" t="str">
        <f t="shared" si="10"/>
        <v/>
      </c>
      <c r="N323" t="str">
        <f t="shared" si="11"/>
        <v/>
      </c>
    </row>
    <row r="324" spans="12:14" x14ac:dyDescent="0.3">
      <c r="L324" t="str">
        <f t="shared" si="10"/>
        <v/>
      </c>
      <c r="N324" t="str">
        <f t="shared" si="11"/>
        <v/>
      </c>
    </row>
    <row r="325" spans="12:14" x14ac:dyDescent="0.3">
      <c r="L325" t="str">
        <f t="shared" si="10"/>
        <v/>
      </c>
      <c r="N325" t="str">
        <f t="shared" si="11"/>
        <v/>
      </c>
    </row>
    <row r="326" spans="12:14" x14ac:dyDescent="0.3">
      <c r="L326" t="str">
        <f t="shared" si="10"/>
        <v/>
      </c>
      <c r="N326" t="str">
        <f t="shared" si="11"/>
        <v/>
      </c>
    </row>
    <row r="327" spans="12:14" x14ac:dyDescent="0.3">
      <c r="L327" t="str">
        <f t="shared" si="10"/>
        <v/>
      </c>
      <c r="N327" t="str">
        <f t="shared" si="11"/>
        <v/>
      </c>
    </row>
    <row r="328" spans="12:14" x14ac:dyDescent="0.3">
      <c r="L328" t="str">
        <f t="shared" si="10"/>
        <v/>
      </c>
      <c r="N328" t="str">
        <f t="shared" si="11"/>
        <v/>
      </c>
    </row>
    <row r="329" spans="12:14" x14ac:dyDescent="0.3">
      <c r="L329" t="str">
        <f t="shared" si="10"/>
        <v/>
      </c>
      <c r="N329" t="str">
        <f t="shared" si="11"/>
        <v/>
      </c>
    </row>
    <row r="330" spans="12:14" x14ac:dyDescent="0.3">
      <c r="L330" t="str">
        <f t="shared" si="10"/>
        <v/>
      </c>
      <c r="N330" t="str">
        <f t="shared" si="11"/>
        <v/>
      </c>
    </row>
    <row r="331" spans="12:14" x14ac:dyDescent="0.3">
      <c r="L331" t="str">
        <f t="shared" si="10"/>
        <v/>
      </c>
      <c r="N331" t="str">
        <f t="shared" si="11"/>
        <v/>
      </c>
    </row>
    <row r="332" spans="12:14" x14ac:dyDescent="0.3">
      <c r="L332" t="str">
        <f t="shared" si="10"/>
        <v/>
      </c>
      <c r="N332" t="str">
        <f t="shared" si="11"/>
        <v/>
      </c>
    </row>
    <row r="333" spans="12:14" x14ac:dyDescent="0.3">
      <c r="L333" t="str">
        <f t="shared" si="10"/>
        <v/>
      </c>
      <c r="N333" t="str">
        <f t="shared" si="11"/>
        <v/>
      </c>
    </row>
    <row r="334" spans="12:14" x14ac:dyDescent="0.3">
      <c r="L334" t="str">
        <f t="shared" si="10"/>
        <v/>
      </c>
      <c r="N334" t="str">
        <f t="shared" si="11"/>
        <v/>
      </c>
    </row>
    <row r="335" spans="12:14" x14ac:dyDescent="0.3">
      <c r="L335" t="str">
        <f t="shared" si="10"/>
        <v/>
      </c>
      <c r="N335" t="str">
        <f t="shared" si="11"/>
        <v/>
      </c>
    </row>
    <row r="336" spans="12:14" x14ac:dyDescent="0.3">
      <c r="L336" t="str">
        <f t="shared" si="10"/>
        <v/>
      </c>
      <c r="N336" t="str">
        <f t="shared" si="11"/>
        <v/>
      </c>
    </row>
    <row r="337" spans="12:14" x14ac:dyDescent="0.3">
      <c r="L337" t="str">
        <f t="shared" si="10"/>
        <v/>
      </c>
      <c r="N337" t="str">
        <f t="shared" si="11"/>
        <v/>
      </c>
    </row>
    <row r="338" spans="12:14" x14ac:dyDescent="0.3">
      <c r="L338" t="str">
        <f t="shared" si="10"/>
        <v/>
      </c>
      <c r="N338" t="str">
        <f t="shared" si="11"/>
        <v/>
      </c>
    </row>
    <row r="339" spans="12:14" x14ac:dyDescent="0.3">
      <c r="L339" t="str">
        <f t="shared" si="10"/>
        <v/>
      </c>
      <c r="N339" t="str">
        <f t="shared" si="11"/>
        <v/>
      </c>
    </row>
    <row r="340" spans="12:14" x14ac:dyDescent="0.3">
      <c r="L340" t="str">
        <f t="shared" si="10"/>
        <v/>
      </c>
      <c r="N340" t="str">
        <f t="shared" si="11"/>
        <v/>
      </c>
    </row>
    <row r="341" spans="12:14" x14ac:dyDescent="0.3">
      <c r="L341" t="str">
        <f t="shared" si="10"/>
        <v/>
      </c>
      <c r="N341" t="str">
        <f t="shared" si="11"/>
        <v/>
      </c>
    </row>
    <row r="342" spans="12:14" x14ac:dyDescent="0.3">
      <c r="L342" t="str">
        <f t="shared" si="10"/>
        <v/>
      </c>
      <c r="N342" t="str">
        <f t="shared" si="11"/>
        <v/>
      </c>
    </row>
    <row r="343" spans="12:14" x14ac:dyDescent="0.3">
      <c r="L343" t="str">
        <f t="shared" si="10"/>
        <v/>
      </c>
      <c r="N343" t="str">
        <f t="shared" si="11"/>
        <v/>
      </c>
    </row>
    <row r="344" spans="12:14" x14ac:dyDescent="0.3">
      <c r="L344" t="str">
        <f t="shared" si="10"/>
        <v/>
      </c>
      <c r="N344" t="str">
        <f t="shared" si="11"/>
        <v/>
      </c>
    </row>
    <row r="345" spans="12:14" x14ac:dyDescent="0.3">
      <c r="L345" t="str">
        <f t="shared" si="10"/>
        <v/>
      </c>
      <c r="N345" t="str">
        <f t="shared" si="11"/>
        <v/>
      </c>
    </row>
    <row r="346" spans="12:14" x14ac:dyDescent="0.3">
      <c r="L346" t="str">
        <f t="shared" si="10"/>
        <v/>
      </c>
      <c r="N346" t="str">
        <f t="shared" si="11"/>
        <v/>
      </c>
    </row>
    <row r="347" spans="12:14" x14ac:dyDescent="0.3">
      <c r="L347" t="str">
        <f t="shared" si="10"/>
        <v/>
      </c>
      <c r="N347" t="str">
        <f t="shared" si="11"/>
        <v/>
      </c>
    </row>
    <row r="348" spans="12:14" x14ac:dyDescent="0.3">
      <c r="L348" t="str">
        <f t="shared" si="10"/>
        <v/>
      </c>
      <c r="N348" t="str">
        <f t="shared" si="11"/>
        <v/>
      </c>
    </row>
    <row r="349" spans="12:14" x14ac:dyDescent="0.3">
      <c r="L349" t="str">
        <f t="shared" si="10"/>
        <v/>
      </c>
      <c r="N349" t="str">
        <f t="shared" si="11"/>
        <v/>
      </c>
    </row>
    <row r="350" spans="12:14" x14ac:dyDescent="0.3">
      <c r="L350" t="str">
        <f t="shared" si="10"/>
        <v/>
      </c>
      <c r="N350" t="str">
        <f t="shared" si="11"/>
        <v/>
      </c>
    </row>
    <row r="351" spans="12:14" x14ac:dyDescent="0.3">
      <c r="L351" t="str">
        <f t="shared" si="10"/>
        <v/>
      </c>
      <c r="N351" t="str">
        <f t="shared" si="11"/>
        <v/>
      </c>
    </row>
    <row r="352" spans="12:14" x14ac:dyDescent="0.3">
      <c r="L352" t="str">
        <f t="shared" si="10"/>
        <v/>
      </c>
      <c r="N352" t="str">
        <f t="shared" si="11"/>
        <v/>
      </c>
    </row>
    <row r="353" spans="12:14" x14ac:dyDescent="0.3">
      <c r="L353" t="str">
        <f t="shared" si="10"/>
        <v/>
      </c>
      <c r="N353" t="str">
        <f t="shared" si="11"/>
        <v/>
      </c>
    </row>
    <row r="354" spans="12:14" x14ac:dyDescent="0.3">
      <c r="L354" t="str">
        <f t="shared" si="10"/>
        <v/>
      </c>
      <c r="N354" t="str">
        <f t="shared" si="11"/>
        <v/>
      </c>
    </row>
    <row r="355" spans="12:14" x14ac:dyDescent="0.3">
      <c r="L355" t="str">
        <f t="shared" si="10"/>
        <v/>
      </c>
      <c r="N355" t="str">
        <f t="shared" si="11"/>
        <v/>
      </c>
    </row>
    <row r="356" spans="12:14" x14ac:dyDescent="0.3">
      <c r="L356" t="str">
        <f t="shared" si="10"/>
        <v/>
      </c>
      <c r="N356" t="str">
        <f t="shared" si="11"/>
        <v/>
      </c>
    </row>
    <row r="357" spans="12:14" x14ac:dyDescent="0.3">
      <c r="L357" t="str">
        <f t="shared" si="10"/>
        <v/>
      </c>
      <c r="N357" t="str">
        <f t="shared" si="11"/>
        <v/>
      </c>
    </row>
    <row r="358" spans="12:14" x14ac:dyDescent="0.3">
      <c r="L358" t="str">
        <f t="shared" si="10"/>
        <v/>
      </c>
      <c r="N358" t="str">
        <f t="shared" si="11"/>
        <v/>
      </c>
    </row>
    <row r="359" spans="12:14" x14ac:dyDescent="0.3">
      <c r="L359" t="str">
        <f t="shared" si="10"/>
        <v/>
      </c>
      <c r="N359" t="str">
        <f t="shared" si="11"/>
        <v/>
      </c>
    </row>
    <row r="360" spans="12:14" x14ac:dyDescent="0.3">
      <c r="L360" t="str">
        <f t="shared" si="10"/>
        <v/>
      </c>
      <c r="N360" t="str">
        <f t="shared" si="11"/>
        <v/>
      </c>
    </row>
    <row r="361" spans="12:14" x14ac:dyDescent="0.3">
      <c r="L361" t="str">
        <f t="shared" si="10"/>
        <v/>
      </c>
      <c r="N361" t="str">
        <f t="shared" si="11"/>
        <v/>
      </c>
    </row>
    <row r="362" spans="12:14" x14ac:dyDescent="0.3">
      <c r="L362" t="str">
        <f t="shared" si="10"/>
        <v/>
      </c>
      <c r="N362" t="str">
        <f t="shared" si="11"/>
        <v/>
      </c>
    </row>
    <row r="363" spans="12:14" x14ac:dyDescent="0.3">
      <c r="L363" t="str">
        <f t="shared" si="10"/>
        <v/>
      </c>
      <c r="N363" t="str">
        <f t="shared" si="11"/>
        <v/>
      </c>
    </row>
    <row r="364" spans="12:14" x14ac:dyDescent="0.3">
      <c r="L364" t="str">
        <f t="shared" si="10"/>
        <v/>
      </c>
      <c r="N364" t="str">
        <f t="shared" si="11"/>
        <v/>
      </c>
    </row>
    <row r="365" spans="12:14" x14ac:dyDescent="0.3">
      <c r="L365" t="str">
        <f t="shared" si="10"/>
        <v/>
      </c>
      <c r="N365" t="str">
        <f t="shared" si="11"/>
        <v/>
      </c>
    </row>
    <row r="366" spans="12:14" x14ac:dyDescent="0.3">
      <c r="L366" t="str">
        <f t="shared" si="10"/>
        <v/>
      </c>
      <c r="N366" t="str">
        <f t="shared" si="11"/>
        <v/>
      </c>
    </row>
    <row r="367" spans="12:14" x14ac:dyDescent="0.3">
      <c r="L367" t="str">
        <f t="shared" si="10"/>
        <v/>
      </c>
      <c r="N367" t="str">
        <f t="shared" si="11"/>
        <v/>
      </c>
    </row>
    <row r="368" spans="12:14" x14ac:dyDescent="0.3">
      <c r="L368" t="str">
        <f t="shared" si="10"/>
        <v/>
      </c>
      <c r="N368" t="str">
        <f t="shared" si="11"/>
        <v/>
      </c>
    </row>
    <row r="369" spans="12:14" x14ac:dyDescent="0.3">
      <c r="L369" t="str">
        <f t="shared" si="10"/>
        <v/>
      </c>
      <c r="N369" t="str">
        <f t="shared" si="11"/>
        <v/>
      </c>
    </row>
    <row r="370" spans="12:14" x14ac:dyDescent="0.3">
      <c r="L370" t="str">
        <f t="shared" si="10"/>
        <v/>
      </c>
      <c r="N370" t="str">
        <f t="shared" si="11"/>
        <v/>
      </c>
    </row>
    <row r="371" spans="12:14" x14ac:dyDescent="0.3">
      <c r="L371" t="str">
        <f t="shared" si="10"/>
        <v/>
      </c>
      <c r="N371" t="str">
        <f t="shared" si="11"/>
        <v/>
      </c>
    </row>
    <row r="372" spans="12:14" x14ac:dyDescent="0.3">
      <c r="L372" t="str">
        <f t="shared" si="10"/>
        <v/>
      </c>
      <c r="N372" t="str">
        <f t="shared" si="11"/>
        <v/>
      </c>
    </row>
    <row r="373" spans="12:14" x14ac:dyDescent="0.3">
      <c r="L373" t="str">
        <f t="shared" si="10"/>
        <v/>
      </c>
      <c r="N373" t="str">
        <f t="shared" si="11"/>
        <v/>
      </c>
    </row>
    <row r="374" spans="12:14" x14ac:dyDescent="0.3">
      <c r="L374" t="str">
        <f t="shared" si="10"/>
        <v/>
      </c>
      <c r="N374" t="str">
        <f t="shared" si="11"/>
        <v/>
      </c>
    </row>
    <row r="375" spans="12:14" x14ac:dyDescent="0.3">
      <c r="L375" t="str">
        <f t="shared" si="10"/>
        <v/>
      </c>
      <c r="N375" t="str">
        <f t="shared" si="11"/>
        <v/>
      </c>
    </row>
    <row r="376" spans="12:14" x14ac:dyDescent="0.3">
      <c r="L376" t="str">
        <f t="shared" si="10"/>
        <v/>
      </c>
      <c r="N376" t="str">
        <f t="shared" si="11"/>
        <v/>
      </c>
    </row>
    <row r="377" spans="12:14" x14ac:dyDescent="0.3">
      <c r="L377" t="str">
        <f t="shared" si="10"/>
        <v/>
      </c>
      <c r="N377" t="str">
        <f t="shared" si="11"/>
        <v/>
      </c>
    </row>
    <row r="378" spans="12:14" x14ac:dyDescent="0.3">
      <c r="L378" t="str">
        <f t="shared" si="10"/>
        <v/>
      </c>
      <c r="N378" t="str">
        <f t="shared" si="11"/>
        <v/>
      </c>
    </row>
    <row r="379" spans="12:14" x14ac:dyDescent="0.3">
      <c r="L379" t="str">
        <f t="shared" si="10"/>
        <v/>
      </c>
      <c r="N379" t="str">
        <f t="shared" si="11"/>
        <v/>
      </c>
    </row>
    <row r="380" spans="12:14" x14ac:dyDescent="0.3">
      <c r="L380" t="str">
        <f t="shared" si="10"/>
        <v/>
      </c>
      <c r="N380" t="str">
        <f t="shared" si="11"/>
        <v/>
      </c>
    </row>
    <row r="381" spans="12:14" x14ac:dyDescent="0.3">
      <c r="L381" t="str">
        <f t="shared" si="10"/>
        <v/>
      </c>
      <c r="N381" t="str">
        <f t="shared" si="11"/>
        <v/>
      </c>
    </row>
    <row r="382" spans="12:14" x14ac:dyDescent="0.3">
      <c r="L382" t="str">
        <f t="shared" si="10"/>
        <v/>
      </c>
      <c r="N382" t="str">
        <f t="shared" si="11"/>
        <v/>
      </c>
    </row>
    <row r="383" spans="12:14" x14ac:dyDescent="0.3">
      <c r="L383" t="str">
        <f t="shared" si="10"/>
        <v/>
      </c>
      <c r="N383" t="str">
        <f t="shared" si="11"/>
        <v/>
      </c>
    </row>
    <row r="384" spans="12:14" x14ac:dyDescent="0.3">
      <c r="L384" t="str">
        <f t="shared" si="10"/>
        <v/>
      </c>
      <c r="N384" t="str">
        <f t="shared" si="11"/>
        <v/>
      </c>
    </row>
    <row r="385" spans="12:14" x14ac:dyDescent="0.3">
      <c r="L385" t="str">
        <f t="shared" ref="L385:L448" si="12">IF(A385="","",IF(ISNUMBER(--LEFT(A385,FIND(" - ",A385&amp;" - ")-1)),LEFT(A385,FIND(" - ",A385&amp;" - ")-1),TRIM(A385)))</f>
        <v/>
      </c>
      <c r="N385" t="str">
        <f t="shared" ref="N385:N448" si="13">IF(L385="","",IF(ISNUMBER(INDEX(A385:H385,$P$1)),INDEX(A385:H385,$P$1),IFERROR(_xlfn.NUMBERVALUE(INDEX(A385:H385,$P$1),".",","),0)))</f>
        <v/>
      </c>
    </row>
    <row r="386" spans="12:14" x14ac:dyDescent="0.3">
      <c r="L386" t="str">
        <f t="shared" si="12"/>
        <v/>
      </c>
      <c r="N386" t="str">
        <f t="shared" si="13"/>
        <v/>
      </c>
    </row>
    <row r="387" spans="12:14" x14ac:dyDescent="0.3">
      <c r="L387" t="str">
        <f t="shared" si="12"/>
        <v/>
      </c>
      <c r="N387" t="str">
        <f t="shared" si="13"/>
        <v/>
      </c>
    </row>
    <row r="388" spans="12:14" x14ac:dyDescent="0.3">
      <c r="L388" t="str">
        <f t="shared" si="12"/>
        <v/>
      </c>
      <c r="N388" t="str">
        <f t="shared" si="13"/>
        <v/>
      </c>
    </row>
    <row r="389" spans="12:14" x14ac:dyDescent="0.3">
      <c r="L389" t="str">
        <f t="shared" si="12"/>
        <v/>
      </c>
      <c r="N389" t="str">
        <f t="shared" si="13"/>
        <v/>
      </c>
    </row>
    <row r="390" spans="12:14" x14ac:dyDescent="0.3">
      <c r="L390" t="str">
        <f t="shared" si="12"/>
        <v/>
      </c>
      <c r="N390" t="str">
        <f t="shared" si="13"/>
        <v/>
      </c>
    </row>
    <row r="391" spans="12:14" x14ac:dyDescent="0.3">
      <c r="L391" t="str">
        <f t="shared" si="12"/>
        <v/>
      </c>
      <c r="N391" t="str">
        <f t="shared" si="13"/>
        <v/>
      </c>
    </row>
    <row r="392" spans="12:14" x14ac:dyDescent="0.3">
      <c r="L392" t="str">
        <f t="shared" si="12"/>
        <v/>
      </c>
      <c r="N392" t="str">
        <f t="shared" si="13"/>
        <v/>
      </c>
    </row>
    <row r="393" spans="12:14" x14ac:dyDescent="0.3">
      <c r="L393" t="str">
        <f t="shared" si="12"/>
        <v/>
      </c>
      <c r="N393" t="str">
        <f t="shared" si="13"/>
        <v/>
      </c>
    </row>
    <row r="394" spans="12:14" x14ac:dyDescent="0.3">
      <c r="L394" t="str">
        <f t="shared" si="12"/>
        <v/>
      </c>
      <c r="N394" t="str">
        <f t="shared" si="13"/>
        <v/>
      </c>
    </row>
    <row r="395" spans="12:14" x14ac:dyDescent="0.3">
      <c r="L395" t="str">
        <f t="shared" si="12"/>
        <v/>
      </c>
      <c r="N395" t="str">
        <f t="shared" si="13"/>
        <v/>
      </c>
    </row>
    <row r="396" spans="12:14" x14ac:dyDescent="0.3">
      <c r="L396" t="str">
        <f t="shared" si="12"/>
        <v/>
      </c>
      <c r="N396" t="str">
        <f t="shared" si="13"/>
        <v/>
      </c>
    </row>
    <row r="397" spans="12:14" x14ac:dyDescent="0.3">
      <c r="L397" t="str">
        <f t="shared" si="12"/>
        <v/>
      </c>
      <c r="N397" t="str">
        <f t="shared" si="13"/>
        <v/>
      </c>
    </row>
    <row r="398" spans="12:14" x14ac:dyDescent="0.3">
      <c r="L398" t="str">
        <f t="shared" si="12"/>
        <v/>
      </c>
      <c r="N398" t="str">
        <f t="shared" si="13"/>
        <v/>
      </c>
    </row>
    <row r="399" spans="12:14" x14ac:dyDescent="0.3">
      <c r="L399" t="str">
        <f t="shared" si="12"/>
        <v/>
      </c>
      <c r="N399" t="str">
        <f t="shared" si="13"/>
        <v/>
      </c>
    </row>
    <row r="400" spans="12:14" x14ac:dyDescent="0.3">
      <c r="L400" t="str">
        <f t="shared" si="12"/>
        <v/>
      </c>
      <c r="N400" t="str">
        <f t="shared" si="13"/>
        <v/>
      </c>
    </row>
    <row r="401" spans="12:14" x14ac:dyDescent="0.3">
      <c r="L401" t="str">
        <f t="shared" si="12"/>
        <v/>
      </c>
      <c r="N401" t="str">
        <f t="shared" si="13"/>
        <v/>
      </c>
    </row>
    <row r="402" spans="12:14" x14ac:dyDescent="0.3">
      <c r="L402" t="str">
        <f t="shared" si="12"/>
        <v/>
      </c>
      <c r="N402" t="str">
        <f t="shared" si="13"/>
        <v/>
      </c>
    </row>
    <row r="403" spans="12:14" x14ac:dyDescent="0.3">
      <c r="L403" t="str">
        <f t="shared" si="12"/>
        <v/>
      </c>
      <c r="N403" t="str">
        <f t="shared" si="13"/>
        <v/>
      </c>
    </row>
    <row r="404" spans="12:14" x14ac:dyDescent="0.3">
      <c r="L404" t="str">
        <f t="shared" si="12"/>
        <v/>
      </c>
      <c r="N404" t="str">
        <f t="shared" si="13"/>
        <v/>
      </c>
    </row>
    <row r="405" spans="12:14" x14ac:dyDescent="0.3">
      <c r="L405" t="str">
        <f t="shared" si="12"/>
        <v/>
      </c>
      <c r="N405" t="str">
        <f t="shared" si="13"/>
        <v/>
      </c>
    </row>
    <row r="406" spans="12:14" x14ac:dyDescent="0.3">
      <c r="L406" t="str">
        <f t="shared" si="12"/>
        <v/>
      </c>
      <c r="N406" t="str">
        <f t="shared" si="13"/>
        <v/>
      </c>
    </row>
    <row r="407" spans="12:14" x14ac:dyDescent="0.3">
      <c r="L407" t="str">
        <f t="shared" si="12"/>
        <v/>
      </c>
      <c r="N407" t="str">
        <f t="shared" si="13"/>
        <v/>
      </c>
    </row>
    <row r="408" spans="12:14" x14ac:dyDescent="0.3">
      <c r="L408" t="str">
        <f t="shared" si="12"/>
        <v/>
      </c>
      <c r="N408" t="str">
        <f t="shared" si="13"/>
        <v/>
      </c>
    </row>
    <row r="409" spans="12:14" x14ac:dyDescent="0.3">
      <c r="L409" t="str">
        <f t="shared" si="12"/>
        <v/>
      </c>
      <c r="N409" t="str">
        <f t="shared" si="13"/>
        <v/>
      </c>
    </row>
    <row r="410" spans="12:14" x14ac:dyDescent="0.3">
      <c r="L410" t="str">
        <f t="shared" si="12"/>
        <v/>
      </c>
      <c r="N410" t="str">
        <f t="shared" si="13"/>
        <v/>
      </c>
    </row>
    <row r="411" spans="12:14" x14ac:dyDescent="0.3">
      <c r="L411" t="str">
        <f t="shared" si="12"/>
        <v/>
      </c>
      <c r="N411" t="str">
        <f t="shared" si="13"/>
        <v/>
      </c>
    </row>
    <row r="412" spans="12:14" x14ac:dyDescent="0.3">
      <c r="L412" t="str">
        <f t="shared" si="12"/>
        <v/>
      </c>
      <c r="N412" t="str">
        <f t="shared" si="13"/>
        <v/>
      </c>
    </row>
    <row r="413" spans="12:14" x14ac:dyDescent="0.3">
      <c r="L413" t="str">
        <f t="shared" si="12"/>
        <v/>
      </c>
      <c r="N413" t="str">
        <f t="shared" si="13"/>
        <v/>
      </c>
    </row>
    <row r="414" spans="12:14" x14ac:dyDescent="0.3">
      <c r="L414" t="str">
        <f t="shared" si="12"/>
        <v/>
      </c>
      <c r="N414" t="str">
        <f t="shared" si="13"/>
        <v/>
      </c>
    </row>
    <row r="415" spans="12:14" x14ac:dyDescent="0.3">
      <c r="L415" t="str">
        <f t="shared" si="12"/>
        <v/>
      </c>
      <c r="N415" t="str">
        <f t="shared" si="13"/>
        <v/>
      </c>
    </row>
    <row r="416" spans="12:14" x14ac:dyDescent="0.3">
      <c r="L416" t="str">
        <f t="shared" si="12"/>
        <v/>
      </c>
      <c r="N416" t="str">
        <f t="shared" si="13"/>
        <v/>
      </c>
    </row>
    <row r="417" spans="12:14" x14ac:dyDescent="0.3">
      <c r="L417" t="str">
        <f t="shared" si="12"/>
        <v/>
      </c>
      <c r="N417" t="str">
        <f t="shared" si="13"/>
        <v/>
      </c>
    </row>
    <row r="418" spans="12:14" x14ac:dyDescent="0.3">
      <c r="L418" t="str">
        <f t="shared" si="12"/>
        <v/>
      </c>
      <c r="N418" t="str">
        <f t="shared" si="13"/>
        <v/>
      </c>
    </row>
    <row r="419" spans="12:14" x14ac:dyDescent="0.3">
      <c r="L419" t="str">
        <f t="shared" si="12"/>
        <v/>
      </c>
      <c r="N419" t="str">
        <f t="shared" si="13"/>
        <v/>
      </c>
    </row>
    <row r="420" spans="12:14" x14ac:dyDescent="0.3">
      <c r="L420" t="str">
        <f t="shared" si="12"/>
        <v/>
      </c>
      <c r="N420" t="str">
        <f t="shared" si="13"/>
        <v/>
      </c>
    </row>
    <row r="421" spans="12:14" x14ac:dyDescent="0.3">
      <c r="L421" t="str">
        <f t="shared" si="12"/>
        <v/>
      </c>
      <c r="N421" t="str">
        <f t="shared" si="13"/>
        <v/>
      </c>
    </row>
    <row r="422" spans="12:14" x14ac:dyDescent="0.3">
      <c r="L422" t="str">
        <f t="shared" si="12"/>
        <v/>
      </c>
      <c r="N422" t="str">
        <f t="shared" si="13"/>
        <v/>
      </c>
    </row>
    <row r="423" spans="12:14" x14ac:dyDescent="0.3">
      <c r="L423" t="str">
        <f t="shared" si="12"/>
        <v/>
      </c>
      <c r="N423" t="str">
        <f t="shared" si="13"/>
        <v/>
      </c>
    </row>
    <row r="424" spans="12:14" x14ac:dyDescent="0.3">
      <c r="L424" t="str">
        <f t="shared" si="12"/>
        <v/>
      </c>
      <c r="N424" t="str">
        <f t="shared" si="13"/>
        <v/>
      </c>
    </row>
    <row r="425" spans="12:14" x14ac:dyDescent="0.3">
      <c r="L425" t="str">
        <f t="shared" si="12"/>
        <v/>
      </c>
      <c r="N425" t="str">
        <f t="shared" si="13"/>
        <v/>
      </c>
    </row>
    <row r="426" spans="12:14" x14ac:dyDescent="0.3">
      <c r="L426" t="str">
        <f t="shared" si="12"/>
        <v/>
      </c>
      <c r="N426" t="str">
        <f t="shared" si="13"/>
        <v/>
      </c>
    </row>
    <row r="427" spans="12:14" x14ac:dyDescent="0.3">
      <c r="L427" t="str">
        <f t="shared" si="12"/>
        <v/>
      </c>
      <c r="N427" t="str">
        <f t="shared" si="13"/>
        <v/>
      </c>
    </row>
    <row r="428" spans="12:14" x14ac:dyDescent="0.3">
      <c r="L428" t="str">
        <f t="shared" si="12"/>
        <v/>
      </c>
      <c r="N428" t="str">
        <f t="shared" si="13"/>
        <v/>
      </c>
    </row>
    <row r="429" spans="12:14" x14ac:dyDescent="0.3">
      <c r="L429" t="str">
        <f t="shared" si="12"/>
        <v/>
      </c>
      <c r="N429" t="str">
        <f t="shared" si="13"/>
        <v/>
      </c>
    </row>
    <row r="430" spans="12:14" x14ac:dyDescent="0.3">
      <c r="L430" t="str">
        <f t="shared" si="12"/>
        <v/>
      </c>
      <c r="N430" t="str">
        <f t="shared" si="13"/>
        <v/>
      </c>
    </row>
    <row r="431" spans="12:14" x14ac:dyDescent="0.3">
      <c r="L431" t="str">
        <f t="shared" si="12"/>
        <v/>
      </c>
      <c r="N431" t="str">
        <f t="shared" si="13"/>
        <v/>
      </c>
    </row>
    <row r="432" spans="12:14" x14ac:dyDescent="0.3">
      <c r="L432" t="str">
        <f t="shared" si="12"/>
        <v/>
      </c>
      <c r="N432" t="str">
        <f t="shared" si="13"/>
        <v/>
      </c>
    </row>
    <row r="433" spans="12:14" x14ac:dyDescent="0.3">
      <c r="L433" t="str">
        <f t="shared" si="12"/>
        <v/>
      </c>
      <c r="N433" t="str">
        <f t="shared" si="13"/>
        <v/>
      </c>
    </row>
    <row r="434" spans="12:14" x14ac:dyDescent="0.3">
      <c r="L434" t="str">
        <f t="shared" si="12"/>
        <v/>
      </c>
      <c r="N434" t="str">
        <f t="shared" si="13"/>
        <v/>
      </c>
    </row>
    <row r="435" spans="12:14" x14ac:dyDescent="0.3">
      <c r="L435" t="str">
        <f t="shared" si="12"/>
        <v/>
      </c>
      <c r="N435" t="str">
        <f t="shared" si="13"/>
        <v/>
      </c>
    </row>
    <row r="436" spans="12:14" x14ac:dyDescent="0.3">
      <c r="L436" t="str">
        <f t="shared" si="12"/>
        <v/>
      </c>
      <c r="N436" t="str">
        <f t="shared" si="13"/>
        <v/>
      </c>
    </row>
    <row r="437" spans="12:14" x14ac:dyDescent="0.3">
      <c r="L437" t="str">
        <f t="shared" si="12"/>
        <v/>
      </c>
      <c r="N437" t="str">
        <f t="shared" si="13"/>
        <v/>
      </c>
    </row>
    <row r="438" spans="12:14" x14ac:dyDescent="0.3">
      <c r="L438" t="str">
        <f t="shared" si="12"/>
        <v/>
      </c>
      <c r="N438" t="str">
        <f t="shared" si="13"/>
        <v/>
      </c>
    </row>
    <row r="439" spans="12:14" x14ac:dyDescent="0.3">
      <c r="L439" t="str">
        <f t="shared" si="12"/>
        <v/>
      </c>
      <c r="N439" t="str">
        <f t="shared" si="13"/>
        <v/>
      </c>
    </row>
    <row r="440" spans="12:14" x14ac:dyDescent="0.3">
      <c r="L440" t="str">
        <f t="shared" si="12"/>
        <v/>
      </c>
      <c r="N440" t="str">
        <f t="shared" si="13"/>
        <v/>
      </c>
    </row>
    <row r="441" spans="12:14" x14ac:dyDescent="0.3">
      <c r="L441" t="str">
        <f t="shared" si="12"/>
        <v/>
      </c>
      <c r="N441" t="str">
        <f t="shared" si="13"/>
        <v/>
      </c>
    </row>
    <row r="442" spans="12:14" x14ac:dyDescent="0.3">
      <c r="L442" t="str">
        <f t="shared" si="12"/>
        <v/>
      </c>
      <c r="N442" t="str">
        <f t="shared" si="13"/>
        <v/>
      </c>
    </row>
    <row r="443" spans="12:14" x14ac:dyDescent="0.3">
      <c r="L443" t="str">
        <f t="shared" si="12"/>
        <v/>
      </c>
      <c r="N443" t="str">
        <f t="shared" si="13"/>
        <v/>
      </c>
    </row>
    <row r="444" spans="12:14" x14ac:dyDescent="0.3">
      <c r="L444" t="str">
        <f t="shared" si="12"/>
        <v/>
      </c>
      <c r="N444" t="str">
        <f t="shared" si="13"/>
        <v/>
      </c>
    </row>
    <row r="445" spans="12:14" x14ac:dyDescent="0.3">
      <c r="L445" t="str">
        <f t="shared" si="12"/>
        <v/>
      </c>
      <c r="N445" t="str">
        <f t="shared" si="13"/>
        <v/>
      </c>
    </row>
    <row r="446" spans="12:14" x14ac:dyDescent="0.3">
      <c r="L446" t="str">
        <f t="shared" si="12"/>
        <v/>
      </c>
      <c r="N446" t="str">
        <f t="shared" si="13"/>
        <v/>
      </c>
    </row>
    <row r="447" spans="12:14" x14ac:dyDescent="0.3">
      <c r="L447" t="str">
        <f t="shared" si="12"/>
        <v/>
      </c>
      <c r="N447" t="str">
        <f t="shared" si="13"/>
        <v/>
      </c>
    </row>
    <row r="448" spans="12:14" x14ac:dyDescent="0.3">
      <c r="L448" t="str">
        <f t="shared" si="12"/>
        <v/>
      </c>
      <c r="N448" t="str">
        <f t="shared" si="13"/>
        <v/>
      </c>
    </row>
    <row r="449" spans="12:14" x14ac:dyDescent="0.3">
      <c r="L449" t="str">
        <f t="shared" ref="L449:L512" si="14">IF(A449="","",IF(ISNUMBER(--LEFT(A449,FIND(" - ",A449&amp;" - ")-1)),LEFT(A449,FIND(" - ",A449&amp;" - ")-1),TRIM(A449)))</f>
        <v/>
      </c>
      <c r="N449" t="str">
        <f t="shared" ref="N449:N512" si="15">IF(L449="","",IF(ISNUMBER(INDEX(A449:H449,$P$1)),INDEX(A449:H449,$P$1),IFERROR(_xlfn.NUMBERVALUE(INDEX(A449:H449,$P$1),".",","),0)))</f>
        <v/>
      </c>
    </row>
    <row r="450" spans="12:14" x14ac:dyDescent="0.3">
      <c r="L450" t="str">
        <f t="shared" si="14"/>
        <v/>
      </c>
      <c r="N450" t="str">
        <f t="shared" si="15"/>
        <v/>
      </c>
    </row>
    <row r="451" spans="12:14" x14ac:dyDescent="0.3">
      <c r="L451" t="str">
        <f t="shared" si="14"/>
        <v/>
      </c>
      <c r="N451" t="str">
        <f t="shared" si="15"/>
        <v/>
      </c>
    </row>
    <row r="452" spans="12:14" x14ac:dyDescent="0.3">
      <c r="L452" t="str">
        <f t="shared" si="14"/>
        <v/>
      </c>
      <c r="N452" t="str">
        <f t="shared" si="15"/>
        <v/>
      </c>
    </row>
    <row r="453" spans="12:14" x14ac:dyDescent="0.3">
      <c r="L453" t="str">
        <f t="shared" si="14"/>
        <v/>
      </c>
      <c r="N453" t="str">
        <f t="shared" si="15"/>
        <v/>
      </c>
    </row>
    <row r="454" spans="12:14" x14ac:dyDescent="0.3">
      <c r="L454" t="str">
        <f t="shared" si="14"/>
        <v/>
      </c>
      <c r="N454" t="str">
        <f t="shared" si="15"/>
        <v/>
      </c>
    </row>
    <row r="455" spans="12:14" x14ac:dyDescent="0.3">
      <c r="L455" t="str">
        <f t="shared" si="14"/>
        <v/>
      </c>
      <c r="N455" t="str">
        <f t="shared" si="15"/>
        <v/>
      </c>
    </row>
    <row r="456" spans="12:14" x14ac:dyDescent="0.3">
      <c r="L456" t="str">
        <f t="shared" si="14"/>
        <v/>
      </c>
      <c r="N456" t="str">
        <f t="shared" si="15"/>
        <v/>
      </c>
    </row>
    <row r="457" spans="12:14" x14ac:dyDescent="0.3">
      <c r="L457" t="str">
        <f t="shared" si="14"/>
        <v/>
      </c>
      <c r="N457" t="str">
        <f t="shared" si="15"/>
        <v/>
      </c>
    </row>
    <row r="458" spans="12:14" x14ac:dyDescent="0.3">
      <c r="L458" t="str">
        <f t="shared" si="14"/>
        <v/>
      </c>
      <c r="N458" t="str">
        <f t="shared" si="15"/>
        <v/>
      </c>
    </row>
    <row r="459" spans="12:14" x14ac:dyDescent="0.3">
      <c r="L459" t="str">
        <f t="shared" si="14"/>
        <v/>
      </c>
      <c r="N459" t="str">
        <f t="shared" si="15"/>
        <v/>
      </c>
    </row>
    <row r="460" spans="12:14" x14ac:dyDescent="0.3">
      <c r="L460" t="str">
        <f t="shared" si="14"/>
        <v/>
      </c>
      <c r="N460" t="str">
        <f t="shared" si="15"/>
        <v/>
      </c>
    </row>
    <row r="461" spans="12:14" x14ac:dyDescent="0.3">
      <c r="L461" t="str">
        <f t="shared" si="14"/>
        <v/>
      </c>
      <c r="N461" t="str">
        <f t="shared" si="15"/>
        <v/>
      </c>
    </row>
    <row r="462" spans="12:14" x14ac:dyDescent="0.3">
      <c r="L462" t="str">
        <f t="shared" si="14"/>
        <v/>
      </c>
      <c r="N462" t="str">
        <f t="shared" si="15"/>
        <v/>
      </c>
    </row>
    <row r="463" spans="12:14" x14ac:dyDescent="0.3">
      <c r="L463" t="str">
        <f t="shared" si="14"/>
        <v/>
      </c>
      <c r="N463" t="str">
        <f t="shared" si="15"/>
        <v/>
      </c>
    </row>
    <row r="464" spans="12:14" x14ac:dyDescent="0.3">
      <c r="L464" t="str">
        <f t="shared" si="14"/>
        <v/>
      </c>
      <c r="N464" t="str">
        <f t="shared" si="15"/>
        <v/>
      </c>
    </row>
    <row r="465" spans="12:14" x14ac:dyDescent="0.3">
      <c r="L465" t="str">
        <f t="shared" si="14"/>
        <v/>
      </c>
      <c r="N465" t="str">
        <f t="shared" si="15"/>
        <v/>
      </c>
    </row>
    <row r="466" spans="12:14" x14ac:dyDescent="0.3">
      <c r="L466" t="str">
        <f t="shared" si="14"/>
        <v/>
      </c>
      <c r="N466" t="str">
        <f t="shared" si="15"/>
        <v/>
      </c>
    </row>
    <row r="467" spans="12:14" x14ac:dyDescent="0.3">
      <c r="L467" t="str">
        <f t="shared" si="14"/>
        <v/>
      </c>
      <c r="N467" t="str">
        <f t="shared" si="15"/>
        <v/>
      </c>
    </row>
    <row r="468" spans="12:14" x14ac:dyDescent="0.3">
      <c r="L468" t="str">
        <f t="shared" si="14"/>
        <v/>
      </c>
      <c r="N468" t="str">
        <f t="shared" si="15"/>
        <v/>
      </c>
    </row>
    <row r="469" spans="12:14" x14ac:dyDescent="0.3">
      <c r="L469" t="str">
        <f t="shared" si="14"/>
        <v/>
      </c>
      <c r="N469" t="str">
        <f t="shared" si="15"/>
        <v/>
      </c>
    </row>
    <row r="470" spans="12:14" x14ac:dyDescent="0.3">
      <c r="L470" t="str">
        <f t="shared" si="14"/>
        <v/>
      </c>
      <c r="N470" t="str">
        <f t="shared" si="15"/>
        <v/>
      </c>
    </row>
    <row r="471" spans="12:14" x14ac:dyDescent="0.3">
      <c r="L471" t="str">
        <f t="shared" si="14"/>
        <v/>
      </c>
      <c r="N471" t="str">
        <f t="shared" si="15"/>
        <v/>
      </c>
    </row>
    <row r="472" spans="12:14" x14ac:dyDescent="0.3">
      <c r="L472" t="str">
        <f t="shared" si="14"/>
        <v/>
      </c>
      <c r="N472" t="str">
        <f t="shared" si="15"/>
        <v/>
      </c>
    </row>
    <row r="473" spans="12:14" x14ac:dyDescent="0.3">
      <c r="L473" t="str">
        <f t="shared" si="14"/>
        <v/>
      </c>
      <c r="N473" t="str">
        <f t="shared" si="15"/>
        <v/>
      </c>
    </row>
    <row r="474" spans="12:14" x14ac:dyDescent="0.3">
      <c r="L474" t="str">
        <f t="shared" si="14"/>
        <v/>
      </c>
      <c r="N474" t="str">
        <f t="shared" si="15"/>
        <v/>
      </c>
    </row>
    <row r="475" spans="12:14" x14ac:dyDescent="0.3">
      <c r="L475" t="str">
        <f t="shared" si="14"/>
        <v/>
      </c>
      <c r="N475" t="str">
        <f t="shared" si="15"/>
        <v/>
      </c>
    </row>
    <row r="476" spans="12:14" x14ac:dyDescent="0.3">
      <c r="L476" t="str">
        <f t="shared" si="14"/>
        <v/>
      </c>
      <c r="N476" t="str">
        <f t="shared" si="15"/>
        <v/>
      </c>
    </row>
    <row r="477" spans="12:14" x14ac:dyDescent="0.3">
      <c r="L477" t="str">
        <f t="shared" si="14"/>
        <v/>
      </c>
      <c r="N477" t="str">
        <f t="shared" si="15"/>
        <v/>
      </c>
    </row>
    <row r="478" spans="12:14" x14ac:dyDescent="0.3">
      <c r="L478" t="str">
        <f t="shared" si="14"/>
        <v/>
      </c>
      <c r="N478" t="str">
        <f t="shared" si="15"/>
        <v/>
      </c>
    </row>
    <row r="479" spans="12:14" x14ac:dyDescent="0.3">
      <c r="L479" t="str">
        <f t="shared" si="14"/>
        <v/>
      </c>
      <c r="N479" t="str">
        <f t="shared" si="15"/>
        <v/>
      </c>
    </row>
    <row r="480" spans="12:14" x14ac:dyDescent="0.3">
      <c r="L480" t="str">
        <f t="shared" si="14"/>
        <v/>
      </c>
      <c r="N480" t="str">
        <f t="shared" si="15"/>
        <v/>
      </c>
    </row>
    <row r="481" spans="12:14" x14ac:dyDescent="0.3">
      <c r="L481" t="str">
        <f t="shared" si="14"/>
        <v/>
      </c>
      <c r="N481" t="str">
        <f t="shared" si="15"/>
        <v/>
      </c>
    </row>
    <row r="482" spans="12:14" x14ac:dyDescent="0.3">
      <c r="L482" t="str">
        <f t="shared" si="14"/>
        <v/>
      </c>
      <c r="N482" t="str">
        <f t="shared" si="15"/>
        <v/>
      </c>
    </row>
    <row r="483" spans="12:14" x14ac:dyDescent="0.3">
      <c r="L483" t="str">
        <f t="shared" si="14"/>
        <v/>
      </c>
      <c r="N483" t="str">
        <f t="shared" si="15"/>
        <v/>
      </c>
    </row>
    <row r="484" spans="12:14" x14ac:dyDescent="0.3">
      <c r="L484" t="str">
        <f t="shared" si="14"/>
        <v/>
      </c>
      <c r="N484" t="str">
        <f t="shared" si="15"/>
        <v/>
      </c>
    </row>
    <row r="485" spans="12:14" x14ac:dyDescent="0.3">
      <c r="L485" t="str">
        <f t="shared" si="14"/>
        <v/>
      </c>
      <c r="N485" t="str">
        <f t="shared" si="15"/>
        <v/>
      </c>
    </row>
    <row r="486" spans="12:14" x14ac:dyDescent="0.3">
      <c r="L486" t="str">
        <f t="shared" si="14"/>
        <v/>
      </c>
      <c r="N486" t="str">
        <f t="shared" si="15"/>
        <v/>
      </c>
    </row>
    <row r="487" spans="12:14" x14ac:dyDescent="0.3">
      <c r="L487" t="str">
        <f t="shared" si="14"/>
        <v/>
      </c>
      <c r="N487" t="str">
        <f t="shared" si="15"/>
        <v/>
      </c>
    </row>
    <row r="488" spans="12:14" x14ac:dyDescent="0.3">
      <c r="L488" t="str">
        <f t="shared" si="14"/>
        <v/>
      </c>
      <c r="N488" t="str">
        <f t="shared" si="15"/>
        <v/>
      </c>
    </row>
    <row r="489" spans="12:14" x14ac:dyDescent="0.3">
      <c r="L489" t="str">
        <f t="shared" si="14"/>
        <v/>
      </c>
      <c r="N489" t="str">
        <f t="shared" si="15"/>
        <v/>
      </c>
    </row>
    <row r="490" spans="12:14" x14ac:dyDescent="0.3">
      <c r="L490" t="str">
        <f t="shared" si="14"/>
        <v/>
      </c>
      <c r="N490" t="str">
        <f t="shared" si="15"/>
        <v/>
      </c>
    </row>
    <row r="491" spans="12:14" x14ac:dyDescent="0.3">
      <c r="L491" t="str">
        <f t="shared" si="14"/>
        <v/>
      </c>
      <c r="N491" t="str">
        <f t="shared" si="15"/>
        <v/>
      </c>
    </row>
    <row r="492" spans="12:14" x14ac:dyDescent="0.3">
      <c r="L492" t="str">
        <f t="shared" si="14"/>
        <v/>
      </c>
      <c r="N492" t="str">
        <f t="shared" si="15"/>
        <v/>
      </c>
    </row>
    <row r="493" spans="12:14" x14ac:dyDescent="0.3">
      <c r="L493" t="str">
        <f t="shared" si="14"/>
        <v/>
      </c>
      <c r="N493" t="str">
        <f t="shared" si="15"/>
        <v/>
      </c>
    </row>
    <row r="494" spans="12:14" x14ac:dyDescent="0.3">
      <c r="L494" t="str">
        <f t="shared" si="14"/>
        <v/>
      </c>
      <c r="N494" t="str">
        <f t="shared" si="15"/>
        <v/>
      </c>
    </row>
    <row r="495" spans="12:14" x14ac:dyDescent="0.3">
      <c r="L495" t="str">
        <f t="shared" si="14"/>
        <v/>
      </c>
      <c r="N495" t="str">
        <f t="shared" si="15"/>
        <v/>
      </c>
    </row>
    <row r="496" spans="12:14" x14ac:dyDescent="0.3">
      <c r="L496" t="str">
        <f t="shared" si="14"/>
        <v/>
      </c>
      <c r="N496" t="str">
        <f t="shared" si="15"/>
        <v/>
      </c>
    </row>
    <row r="497" spans="12:14" x14ac:dyDescent="0.3">
      <c r="L497" t="str">
        <f t="shared" si="14"/>
        <v/>
      </c>
      <c r="N497" t="str">
        <f t="shared" si="15"/>
        <v/>
      </c>
    </row>
    <row r="498" spans="12:14" x14ac:dyDescent="0.3">
      <c r="L498" t="str">
        <f t="shared" si="14"/>
        <v/>
      </c>
      <c r="N498" t="str">
        <f t="shared" si="15"/>
        <v/>
      </c>
    </row>
    <row r="499" spans="12:14" x14ac:dyDescent="0.3">
      <c r="L499" t="str">
        <f t="shared" si="14"/>
        <v/>
      </c>
      <c r="N499" t="str">
        <f t="shared" si="15"/>
        <v/>
      </c>
    </row>
    <row r="500" spans="12:14" x14ac:dyDescent="0.3">
      <c r="L500" t="str">
        <f t="shared" si="14"/>
        <v/>
      </c>
      <c r="N500" t="str">
        <f t="shared" si="15"/>
        <v/>
      </c>
    </row>
    <row r="501" spans="12:14" x14ac:dyDescent="0.3">
      <c r="L501" t="str">
        <f t="shared" si="14"/>
        <v/>
      </c>
      <c r="N501" t="str">
        <f t="shared" si="15"/>
        <v/>
      </c>
    </row>
    <row r="502" spans="12:14" x14ac:dyDescent="0.3">
      <c r="L502" t="str">
        <f t="shared" si="14"/>
        <v/>
      </c>
      <c r="N502" t="str">
        <f t="shared" si="15"/>
        <v/>
      </c>
    </row>
    <row r="503" spans="12:14" x14ac:dyDescent="0.3">
      <c r="L503" t="str">
        <f t="shared" si="14"/>
        <v/>
      </c>
      <c r="N503" t="str">
        <f t="shared" si="15"/>
        <v/>
      </c>
    </row>
    <row r="504" spans="12:14" x14ac:dyDescent="0.3">
      <c r="L504" t="str">
        <f t="shared" si="14"/>
        <v/>
      </c>
      <c r="N504" t="str">
        <f t="shared" si="15"/>
        <v/>
      </c>
    </row>
    <row r="505" spans="12:14" x14ac:dyDescent="0.3">
      <c r="L505" t="str">
        <f t="shared" si="14"/>
        <v/>
      </c>
      <c r="N505" t="str">
        <f t="shared" si="15"/>
        <v/>
      </c>
    </row>
    <row r="506" spans="12:14" x14ac:dyDescent="0.3">
      <c r="L506" t="str">
        <f t="shared" si="14"/>
        <v/>
      </c>
      <c r="N506" t="str">
        <f t="shared" si="15"/>
        <v/>
      </c>
    </row>
    <row r="507" spans="12:14" x14ac:dyDescent="0.3">
      <c r="L507" t="str">
        <f t="shared" si="14"/>
        <v/>
      </c>
      <c r="N507" t="str">
        <f t="shared" si="15"/>
        <v/>
      </c>
    </row>
    <row r="508" spans="12:14" x14ac:dyDescent="0.3">
      <c r="L508" t="str">
        <f t="shared" si="14"/>
        <v/>
      </c>
      <c r="N508" t="str">
        <f t="shared" si="15"/>
        <v/>
      </c>
    </row>
    <row r="509" spans="12:14" x14ac:dyDescent="0.3">
      <c r="L509" t="str">
        <f t="shared" si="14"/>
        <v/>
      </c>
      <c r="N509" t="str">
        <f t="shared" si="15"/>
        <v/>
      </c>
    </row>
    <row r="510" spans="12:14" x14ac:dyDescent="0.3">
      <c r="L510" t="str">
        <f t="shared" si="14"/>
        <v/>
      </c>
      <c r="N510" t="str">
        <f t="shared" si="15"/>
        <v/>
      </c>
    </row>
    <row r="511" spans="12:14" x14ac:dyDescent="0.3">
      <c r="L511" t="str">
        <f t="shared" si="14"/>
        <v/>
      </c>
      <c r="N511" t="str">
        <f t="shared" si="15"/>
        <v/>
      </c>
    </row>
    <row r="512" spans="12:14" x14ac:dyDescent="0.3">
      <c r="L512" t="str">
        <f t="shared" si="14"/>
        <v/>
      </c>
      <c r="N512" t="str">
        <f t="shared" si="15"/>
        <v/>
      </c>
    </row>
    <row r="513" spans="12:14" x14ac:dyDescent="0.3">
      <c r="L513" t="str">
        <f t="shared" ref="L513:L576" si="16">IF(A513="","",IF(ISNUMBER(--LEFT(A513,FIND(" - ",A513&amp;" - ")-1)),LEFT(A513,FIND(" - ",A513&amp;" - ")-1),TRIM(A513)))</f>
        <v/>
      </c>
      <c r="N513" t="str">
        <f t="shared" ref="N513:N576" si="17">IF(L513="","",IF(ISNUMBER(INDEX(A513:H513,$P$1)),INDEX(A513:H513,$P$1),IFERROR(_xlfn.NUMBERVALUE(INDEX(A513:H513,$P$1),".",","),0)))</f>
        <v/>
      </c>
    </row>
    <row r="514" spans="12:14" x14ac:dyDescent="0.3">
      <c r="L514" t="str">
        <f t="shared" si="16"/>
        <v/>
      </c>
      <c r="N514" t="str">
        <f t="shared" si="17"/>
        <v/>
      </c>
    </row>
    <row r="515" spans="12:14" x14ac:dyDescent="0.3">
      <c r="L515" t="str">
        <f t="shared" si="16"/>
        <v/>
      </c>
      <c r="N515" t="str">
        <f t="shared" si="17"/>
        <v/>
      </c>
    </row>
    <row r="516" spans="12:14" x14ac:dyDescent="0.3">
      <c r="L516" t="str">
        <f t="shared" si="16"/>
        <v/>
      </c>
      <c r="N516" t="str">
        <f t="shared" si="17"/>
        <v/>
      </c>
    </row>
    <row r="517" spans="12:14" x14ac:dyDescent="0.3">
      <c r="L517" t="str">
        <f t="shared" si="16"/>
        <v/>
      </c>
      <c r="N517" t="str">
        <f t="shared" si="17"/>
        <v/>
      </c>
    </row>
    <row r="518" spans="12:14" x14ac:dyDescent="0.3">
      <c r="L518" t="str">
        <f t="shared" si="16"/>
        <v/>
      </c>
      <c r="N518" t="str">
        <f t="shared" si="17"/>
        <v/>
      </c>
    </row>
    <row r="519" spans="12:14" x14ac:dyDescent="0.3">
      <c r="L519" t="str">
        <f t="shared" si="16"/>
        <v/>
      </c>
      <c r="N519" t="str">
        <f t="shared" si="17"/>
        <v/>
      </c>
    </row>
    <row r="520" spans="12:14" x14ac:dyDescent="0.3">
      <c r="L520" t="str">
        <f t="shared" si="16"/>
        <v/>
      </c>
      <c r="N520" t="str">
        <f t="shared" si="17"/>
        <v/>
      </c>
    </row>
    <row r="521" spans="12:14" x14ac:dyDescent="0.3">
      <c r="L521" t="str">
        <f t="shared" si="16"/>
        <v/>
      </c>
      <c r="N521" t="str">
        <f t="shared" si="17"/>
        <v/>
      </c>
    </row>
    <row r="522" spans="12:14" x14ac:dyDescent="0.3">
      <c r="L522" t="str">
        <f t="shared" si="16"/>
        <v/>
      </c>
      <c r="N522" t="str">
        <f t="shared" si="17"/>
        <v/>
      </c>
    </row>
    <row r="523" spans="12:14" x14ac:dyDescent="0.3">
      <c r="L523" t="str">
        <f t="shared" si="16"/>
        <v/>
      </c>
      <c r="N523" t="str">
        <f t="shared" si="17"/>
        <v/>
      </c>
    </row>
    <row r="524" spans="12:14" x14ac:dyDescent="0.3">
      <c r="L524" t="str">
        <f t="shared" si="16"/>
        <v/>
      </c>
      <c r="N524" t="str">
        <f t="shared" si="17"/>
        <v/>
      </c>
    </row>
    <row r="525" spans="12:14" x14ac:dyDescent="0.3">
      <c r="L525" t="str">
        <f t="shared" si="16"/>
        <v/>
      </c>
      <c r="N525" t="str">
        <f t="shared" si="17"/>
        <v/>
      </c>
    </row>
    <row r="526" spans="12:14" x14ac:dyDescent="0.3">
      <c r="L526" t="str">
        <f t="shared" si="16"/>
        <v/>
      </c>
      <c r="N526" t="str">
        <f t="shared" si="17"/>
        <v/>
      </c>
    </row>
    <row r="527" spans="12:14" x14ac:dyDescent="0.3">
      <c r="L527" t="str">
        <f t="shared" si="16"/>
        <v/>
      </c>
      <c r="N527" t="str">
        <f t="shared" si="17"/>
        <v/>
      </c>
    </row>
    <row r="528" spans="12:14" x14ac:dyDescent="0.3">
      <c r="L528" t="str">
        <f t="shared" si="16"/>
        <v/>
      </c>
      <c r="N528" t="str">
        <f t="shared" si="17"/>
        <v/>
      </c>
    </row>
    <row r="529" spans="12:14" x14ac:dyDescent="0.3">
      <c r="L529" t="str">
        <f t="shared" si="16"/>
        <v/>
      </c>
      <c r="N529" t="str">
        <f t="shared" si="17"/>
        <v/>
      </c>
    </row>
    <row r="530" spans="12:14" x14ac:dyDescent="0.3">
      <c r="L530" t="str">
        <f t="shared" si="16"/>
        <v/>
      </c>
      <c r="N530" t="str">
        <f t="shared" si="17"/>
        <v/>
      </c>
    </row>
    <row r="531" spans="12:14" x14ac:dyDescent="0.3">
      <c r="L531" t="str">
        <f t="shared" si="16"/>
        <v/>
      </c>
      <c r="N531" t="str">
        <f t="shared" si="17"/>
        <v/>
      </c>
    </row>
    <row r="532" spans="12:14" x14ac:dyDescent="0.3">
      <c r="L532" t="str">
        <f t="shared" si="16"/>
        <v/>
      </c>
      <c r="N532" t="str">
        <f t="shared" si="17"/>
        <v/>
      </c>
    </row>
    <row r="533" spans="12:14" x14ac:dyDescent="0.3">
      <c r="L533" t="str">
        <f t="shared" si="16"/>
        <v/>
      </c>
      <c r="N533" t="str">
        <f t="shared" si="17"/>
        <v/>
      </c>
    </row>
    <row r="534" spans="12:14" x14ac:dyDescent="0.3">
      <c r="L534" t="str">
        <f t="shared" si="16"/>
        <v/>
      </c>
      <c r="N534" t="str">
        <f t="shared" si="17"/>
        <v/>
      </c>
    </row>
    <row r="535" spans="12:14" x14ac:dyDescent="0.3">
      <c r="L535" t="str">
        <f t="shared" si="16"/>
        <v/>
      </c>
      <c r="N535" t="str">
        <f t="shared" si="17"/>
        <v/>
      </c>
    </row>
    <row r="536" spans="12:14" x14ac:dyDescent="0.3">
      <c r="L536" t="str">
        <f t="shared" si="16"/>
        <v/>
      </c>
      <c r="N536" t="str">
        <f t="shared" si="17"/>
        <v/>
      </c>
    </row>
    <row r="537" spans="12:14" x14ac:dyDescent="0.3">
      <c r="L537" t="str">
        <f t="shared" si="16"/>
        <v/>
      </c>
      <c r="N537" t="str">
        <f t="shared" si="17"/>
        <v/>
      </c>
    </row>
    <row r="538" spans="12:14" x14ac:dyDescent="0.3">
      <c r="L538" t="str">
        <f t="shared" si="16"/>
        <v/>
      </c>
      <c r="N538" t="str">
        <f t="shared" si="17"/>
        <v/>
      </c>
    </row>
    <row r="539" spans="12:14" x14ac:dyDescent="0.3">
      <c r="L539" t="str">
        <f t="shared" si="16"/>
        <v/>
      </c>
      <c r="N539" t="str">
        <f t="shared" si="17"/>
        <v/>
      </c>
    </row>
    <row r="540" spans="12:14" x14ac:dyDescent="0.3">
      <c r="L540" t="str">
        <f t="shared" si="16"/>
        <v/>
      </c>
      <c r="N540" t="str">
        <f t="shared" si="17"/>
        <v/>
      </c>
    </row>
    <row r="541" spans="12:14" x14ac:dyDescent="0.3">
      <c r="L541" t="str">
        <f t="shared" si="16"/>
        <v/>
      </c>
      <c r="N541" t="str">
        <f t="shared" si="17"/>
        <v/>
      </c>
    </row>
    <row r="542" spans="12:14" x14ac:dyDescent="0.3">
      <c r="L542" t="str">
        <f t="shared" si="16"/>
        <v/>
      </c>
      <c r="N542" t="str">
        <f t="shared" si="17"/>
        <v/>
      </c>
    </row>
    <row r="543" spans="12:14" x14ac:dyDescent="0.3">
      <c r="L543" t="str">
        <f t="shared" si="16"/>
        <v/>
      </c>
      <c r="N543" t="str">
        <f t="shared" si="17"/>
        <v/>
      </c>
    </row>
    <row r="544" spans="12:14" x14ac:dyDescent="0.3">
      <c r="L544" t="str">
        <f t="shared" si="16"/>
        <v/>
      </c>
      <c r="N544" t="str">
        <f t="shared" si="17"/>
        <v/>
      </c>
    </row>
    <row r="545" spans="12:14" x14ac:dyDescent="0.3">
      <c r="L545" t="str">
        <f t="shared" si="16"/>
        <v/>
      </c>
      <c r="N545" t="str">
        <f t="shared" si="17"/>
        <v/>
      </c>
    </row>
    <row r="546" spans="12:14" x14ac:dyDescent="0.3">
      <c r="L546" t="str">
        <f t="shared" si="16"/>
        <v/>
      </c>
      <c r="N546" t="str">
        <f t="shared" si="17"/>
        <v/>
      </c>
    </row>
    <row r="547" spans="12:14" x14ac:dyDescent="0.3">
      <c r="L547" t="str">
        <f t="shared" si="16"/>
        <v/>
      </c>
      <c r="N547" t="str">
        <f t="shared" si="17"/>
        <v/>
      </c>
    </row>
    <row r="548" spans="12:14" x14ac:dyDescent="0.3">
      <c r="L548" t="str">
        <f t="shared" si="16"/>
        <v/>
      </c>
      <c r="N548" t="str">
        <f t="shared" si="17"/>
        <v/>
      </c>
    </row>
    <row r="549" spans="12:14" x14ac:dyDescent="0.3">
      <c r="L549" t="str">
        <f t="shared" si="16"/>
        <v/>
      </c>
      <c r="N549" t="str">
        <f t="shared" si="17"/>
        <v/>
      </c>
    </row>
    <row r="550" spans="12:14" x14ac:dyDescent="0.3">
      <c r="L550" t="str">
        <f t="shared" si="16"/>
        <v/>
      </c>
      <c r="N550" t="str">
        <f t="shared" si="17"/>
        <v/>
      </c>
    </row>
    <row r="551" spans="12:14" x14ac:dyDescent="0.3">
      <c r="L551" t="str">
        <f t="shared" si="16"/>
        <v/>
      </c>
      <c r="N551" t="str">
        <f t="shared" si="17"/>
        <v/>
      </c>
    </row>
    <row r="552" spans="12:14" x14ac:dyDescent="0.3">
      <c r="L552" t="str">
        <f t="shared" si="16"/>
        <v/>
      </c>
      <c r="N552" t="str">
        <f t="shared" si="17"/>
        <v/>
      </c>
    </row>
    <row r="553" spans="12:14" x14ac:dyDescent="0.3">
      <c r="L553" t="str">
        <f t="shared" si="16"/>
        <v/>
      </c>
      <c r="N553" t="str">
        <f t="shared" si="17"/>
        <v/>
      </c>
    </row>
    <row r="554" spans="12:14" x14ac:dyDescent="0.3">
      <c r="L554" t="str">
        <f t="shared" si="16"/>
        <v/>
      </c>
      <c r="N554" t="str">
        <f t="shared" si="17"/>
        <v/>
      </c>
    </row>
    <row r="555" spans="12:14" x14ac:dyDescent="0.3">
      <c r="L555" t="str">
        <f t="shared" si="16"/>
        <v/>
      </c>
      <c r="N555" t="str">
        <f t="shared" si="17"/>
        <v/>
      </c>
    </row>
    <row r="556" spans="12:14" x14ac:dyDescent="0.3">
      <c r="L556" t="str">
        <f t="shared" si="16"/>
        <v/>
      </c>
      <c r="N556" t="str">
        <f t="shared" si="17"/>
        <v/>
      </c>
    </row>
    <row r="557" spans="12:14" x14ac:dyDescent="0.3">
      <c r="L557" t="str">
        <f t="shared" si="16"/>
        <v/>
      </c>
      <c r="N557" t="str">
        <f t="shared" si="17"/>
        <v/>
      </c>
    </row>
    <row r="558" spans="12:14" x14ac:dyDescent="0.3">
      <c r="L558" t="str">
        <f t="shared" si="16"/>
        <v/>
      </c>
      <c r="N558" t="str">
        <f t="shared" si="17"/>
        <v/>
      </c>
    </row>
    <row r="559" spans="12:14" x14ac:dyDescent="0.3">
      <c r="L559" t="str">
        <f t="shared" si="16"/>
        <v/>
      </c>
      <c r="N559" t="str">
        <f t="shared" si="17"/>
        <v/>
      </c>
    </row>
    <row r="560" spans="12:14" x14ac:dyDescent="0.3">
      <c r="L560" t="str">
        <f t="shared" si="16"/>
        <v/>
      </c>
      <c r="N560" t="str">
        <f t="shared" si="17"/>
        <v/>
      </c>
    </row>
    <row r="561" spans="12:14" x14ac:dyDescent="0.3">
      <c r="L561" t="str">
        <f t="shared" si="16"/>
        <v/>
      </c>
      <c r="N561" t="str">
        <f t="shared" si="17"/>
        <v/>
      </c>
    </row>
    <row r="562" spans="12:14" x14ac:dyDescent="0.3">
      <c r="L562" t="str">
        <f t="shared" si="16"/>
        <v/>
      </c>
      <c r="N562" t="str">
        <f t="shared" si="17"/>
        <v/>
      </c>
    </row>
    <row r="563" spans="12:14" x14ac:dyDescent="0.3">
      <c r="L563" t="str">
        <f t="shared" si="16"/>
        <v/>
      </c>
      <c r="N563" t="str">
        <f t="shared" si="17"/>
        <v/>
      </c>
    </row>
    <row r="564" spans="12:14" x14ac:dyDescent="0.3">
      <c r="L564" t="str">
        <f t="shared" si="16"/>
        <v/>
      </c>
      <c r="N564" t="str">
        <f t="shared" si="17"/>
        <v/>
      </c>
    </row>
    <row r="565" spans="12:14" x14ac:dyDescent="0.3">
      <c r="L565" t="str">
        <f t="shared" si="16"/>
        <v/>
      </c>
      <c r="N565" t="str">
        <f t="shared" si="17"/>
        <v/>
      </c>
    </row>
    <row r="566" spans="12:14" x14ac:dyDescent="0.3">
      <c r="L566" t="str">
        <f t="shared" si="16"/>
        <v/>
      </c>
      <c r="N566" t="str">
        <f t="shared" si="17"/>
        <v/>
      </c>
    </row>
    <row r="567" spans="12:14" x14ac:dyDescent="0.3">
      <c r="L567" t="str">
        <f t="shared" si="16"/>
        <v/>
      </c>
      <c r="N567" t="str">
        <f t="shared" si="17"/>
        <v/>
      </c>
    </row>
    <row r="568" spans="12:14" x14ac:dyDescent="0.3">
      <c r="L568" t="str">
        <f t="shared" si="16"/>
        <v/>
      </c>
      <c r="N568" t="str">
        <f t="shared" si="17"/>
        <v/>
      </c>
    </row>
    <row r="569" spans="12:14" x14ac:dyDescent="0.3">
      <c r="L569" t="str">
        <f t="shared" si="16"/>
        <v/>
      </c>
      <c r="N569" t="str">
        <f t="shared" si="17"/>
        <v/>
      </c>
    </row>
    <row r="570" spans="12:14" x14ac:dyDescent="0.3">
      <c r="L570" t="str">
        <f t="shared" si="16"/>
        <v/>
      </c>
      <c r="N570" t="str">
        <f t="shared" si="17"/>
        <v/>
      </c>
    </row>
    <row r="571" spans="12:14" x14ac:dyDescent="0.3">
      <c r="L571" t="str">
        <f t="shared" si="16"/>
        <v/>
      </c>
      <c r="N571" t="str">
        <f t="shared" si="17"/>
        <v/>
      </c>
    </row>
    <row r="572" spans="12:14" x14ac:dyDescent="0.3">
      <c r="L572" t="str">
        <f t="shared" si="16"/>
        <v/>
      </c>
      <c r="N572" t="str">
        <f t="shared" si="17"/>
        <v/>
      </c>
    </row>
    <row r="573" spans="12:14" x14ac:dyDescent="0.3">
      <c r="L573" t="str">
        <f t="shared" si="16"/>
        <v/>
      </c>
      <c r="N573" t="str">
        <f t="shared" si="17"/>
        <v/>
      </c>
    </row>
    <row r="574" spans="12:14" x14ac:dyDescent="0.3">
      <c r="L574" t="str">
        <f t="shared" si="16"/>
        <v/>
      </c>
      <c r="N574" t="str">
        <f t="shared" si="17"/>
        <v/>
      </c>
    </row>
    <row r="575" spans="12:14" x14ac:dyDescent="0.3">
      <c r="L575" t="str">
        <f t="shared" si="16"/>
        <v/>
      </c>
      <c r="N575" t="str">
        <f t="shared" si="17"/>
        <v/>
      </c>
    </row>
    <row r="576" spans="12:14" x14ac:dyDescent="0.3">
      <c r="L576" t="str">
        <f t="shared" si="16"/>
        <v/>
      </c>
      <c r="N576" t="str">
        <f t="shared" si="17"/>
        <v/>
      </c>
    </row>
    <row r="577" spans="12:14" x14ac:dyDescent="0.3">
      <c r="L577" t="str">
        <f t="shared" ref="L577:L640" si="18">IF(A577="","",IF(ISNUMBER(--LEFT(A577,FIND(" - ",A577&amp;" - ")-1)),LEFT(A577,FIND(" - ",A577&amp;" - ")-1),TRIM(A577)))</f>
        <v/>
      </c>
      <c r="N577" t="str">
        <f t="shared" ref="N577:N640" si="19">IF(L577="","",IF(ISNUMBER(INDEX(A577:H577,$P$1)),INDEX(A577:H577,$P$1),IFERROR(_xlfn.NUMBERVALUE(INDEX(A577:H577,$P$1),".",","),0)))</f>
        <v/>
      </c>
    </row>
    <row r="578" spans="12:14" x14ac:dyDescent="0.3">
      <c r="L578" t="str">
        <f t="shared" si="18"/>
        <v/>
      </c>
      <c r="N578" t="str">
        <f t="shared" si="19"/>
        <v/>
      </c>
    </row>
    <row r="579" spans="12:14" x14ac:dyDescent="0.3">
      <c r="L579" t="str">
        <f t="shared" si="18"/>
        <v/>
      </c>
      <c r="N579" t="str">
        <f t="shared" si="19"/>
        <v/>
      </c>
    </row>
    <row r="580" spans="12:14" x14ac:dyDescent="0.3">
      <c r="L580" t="str">
        <f t="shared" si="18"/>
        <v/>
      </c>
      <c r="N580" t="str">
        <f t="shared" si="19"/>
        <v/>
      </c>
    </row>
    <row r="581" spans="12:14" x14ac:dyDescent="0.3">
      <c r="L581" t="str">
        <f t="shared" si="18"/>
        <v/>
      </c>
      <c r="N581" t="str">
        <f t="shared" si="19"/>
        <v/>
      </c>
    </row>
    <row r="582" spans="12:14" x14ac:dyDescent="0.3">
      <c r="L582" t="str">
        <f t="shared" si="18"/>
        <v/>
      </c>
      <c r="N582" t="str">
        <f t="shared" si="19"/>
        <v/>
      </c>
    </row>
    <row r="583" spans="12:14" x14ac:dyDescent="0.3">
      <c r="L583" t="str">
        <f t="shared" si="18"/>
        <v/>
      </c>
      <c r="N583" t="str">
        <f t="shared" si="19"/>
        <v/>
      </c>
    </row>
    <row r="584" spans="12:14" x14ac:dyDescent="0.3">
      <c r="L584" t="str">
        <f t="shared" si="18"/>
        <v/>
      </c>
      <c r="N584" t="str">
        <f t="shared" si="19"/>
        <v/>
      </c>
    </row>
    <row r="585" spans="12:14" x14ac:dyDescent="0.3">
      <c r="L585" t="str">
        <f t="shared" si="18"/>
        <v/>
      </c>
      <c r="N585" t="str">
        <f t="shared" si="19"/>
        <v/>
      </c>
    </row>
    <row r="586" spans="12:14" x14ac:dyDescent="0.3">
      <c r="L586" t="str">
        <f t="shared" si="18"/>
        <v/>
      </c>
      <c r="N586" t="str">
        <f t="shared" si="19"/>
        <v/>
      </c>
    </row>
    <row r="587" spans="12:14" x14ac:dyDescent="0.3">
      <c r="L587" t="str">
        <f t="shared" si="18"/>
        <v/>
      </c>
      <c r="N587" t="str">
        <f t="shared" si="19"/>
        <v/>
      </c>
    </row>
    <row r="588" spans="12:14" x14ac:dyDescent="0.3">
      <c r="L588" t="str">
        <f t="shared" si="18"/>
        <v/>
      </c>
      <c r="N588" t="str">
        <f t="shared" si="19"/>
        <v/>
      </c>
    </row>
    <row r="589" spans="12:14" x14ac:dyDescent="0.3">
      <c r="L589" t="str">
        <f t="shared" si="18"/>
        <v/>
      </c>
      <c r="N589" t="str">
        <f t="shared" si="19"/>
        <v/>
      </c>
    </row>
    <row r="590" spans="12:14" x14ac:dyDescent="0.3">
      <c r="L590" t="str">
        <f t="shared" si="18"/>
        <v/>
      </c>
      <c r="N590" t="str">
        <f t="shared" si="19"/>
        <v/>
      </c>
    </row>
    <row r="591" spans="12:14" x14ac:dyDescent="0.3">
      <c r="L591" t="str">
        <f t="shared" si="18"/>
        <v/>
      </c>
      <c r="N591" t="str">
        <f t="shared" si="19"/>
        <v/>
      </c>
    </row>
    <row r="592" spans="12:14" x14ac:dyDescent="0.3">
      <c r="L592" t="str">
        <f t="shared" si="18"/>
        <v/>
      </c>
      <c r="N592" t="str">
        <f t="shared" si="19"/>
        <v/>
      </c>
    </row>
    <row r="593" spans="12:14" x14ac:dyDescent="0.3">
      <c r="L593" t="str">
        <f t="shared" si="18"/>
        <v/>
      </c>
      <c r="N593" t="str">
        <f t="shared" si="19"/>
        <v/>
      </c>
    </row>
    <row r="594" spans="12:14" x14ac:dyDescent="0.3">
      <c r="L594" t="str">
        <f t="shared" si="18"/>
        <v/>
      </c>
      <c r="N594" t="str">
        <f t="shared" si="19"/>
        <v/>
      </c>
    </row>
    <row r="595" spans="12:14" x14ac:dyDescent="0.3">
      <c r="L595" t="str">
        <f t="shared" si="18"/>
        <v/>
      </c>
      <c r="N595" t="str">
        <f t="shared" si="19"/>
        <v/>
      </c>
    </row>
    <row r="596" spans="12:14" x14ac:dyDescent="0.3">
      <c r="L596" t="str">
        <f t="shared" si="18"/>
        <v/>
      </c>
      <c r="N596" t="str">
        <f t="shared" si="19"/>
        <v/>
      </c>
    </row>
    <row r="597" spans="12:14" x14ac:dyDescent="0.3">
      <c r="L597" t="str">
        <f t="shared" si="18"/>
        <v/>
      </c>
      <c r="N597" t="str">
        <f t="shared" si="19"/>
        <v/>
      </c>
    </row>
    <row r="598" spans="12:14" x14ac:dyDescent="0.3">
      <c r="L598" t="str">
        <f t="shared" si="18"/>
        <v/>
      </c>
      <c r="N598" t="str">
        <f t="shared" si="19"/>
        <v/>
      </c>
    </row>
    <row r="599" spans="12:14" x14ac:dyDescent="0.3">
      <c r="L599" t="str">
        <f t="shared" si="18"/>
        <v/>
      </c>
      <c r="N599" t="str">
        <f t="shared" si="19"/>
        <v/>
      </c>
    </row>
    <row r="600" spans="12:14" x14ac:dyDescent="0.3">
      <c r="L600" t="str">
        <f t="shared" si="18"/>
        <v/>
      </c>
      <c r="N600" t="str">
        <f t="shared" si="19"/>
        <v/>
      </c>
    </row>
    <row r="601" spans="12:14" x14ac:dyDescent="0.3">
      <c r="L601" t="str">
        <f t="shared" si="18"/>
        <v/>
      </c>
      <c r="N601" t="str">
        <f t="shared" si="19"/>
        <v/>
      </c>
    </row>
    <row r="602" spans="12:14" x14ac:dyDescent="0.3">
      <c r="L602" t="str">
        <f t="shared" si="18"/>
        <v/>
      </c>
      <c r="N602" t="str">
        <f t="shared" si="19"/>
        <v/>
      </c>
    </row>
    <row r="603" spans="12:14" x14ac:dyDescent="0.3">
      <c r="L603" t="str">
        <f t="shared" si="18"/>
        <v/>
      </c>
      <c r="N603" t="str">
        <f t="shared" si="19"/>
        <v/>
      </c>
    </row>
    <row r="604" spans="12:14" x14ac:dyDescent="0.3">
      <c r="L604" t="str">
        <f t="shared" si="18"/>
        <v/>
      </c>
      <c r="N604" t="str">
        <f t="shared" si="19"/>
        <v/>
      </c>
    </row>
    <row r="605" spans="12:14" x14ac:dyDescent="0.3">
      <c r="L605" t="str">
        <f t="shared" si="18"/>
        <v/>
      </c>
      <c r="N605" t="str">
        <f t="shared" si="19"/>
        <v/>
      </c>
    </row>
    <row r="606" spans="12:14" x14ac:dyDescent="0.3">
      <c r="L606" t="str">
        <f t="shared" si="18"/>
        <v/>
      </c>
      <c r="N606" t="str">
        <f t="shared" si="19"/>
        <v/>
      </c>
    </row>
    <row r="607" spans="12:14" x14ac:dyDescent="0.3">
      <c r="L607" t="str">
        <f t="shared" si="18"/>
        <v/>
      </c>
      <c r="N607" t="str">
        <f t="shared" si="19"/>
        <v/>
      </c>
    </row>
    <row r="608" spans="12:14" x14ac:dyDescent="0.3">
      <c r="L608" t="str">
        <f t="shared" si="18"/>
        <v/>
      </c>
      <c r="N608" t="str">
        <f t="shared" si="19"/>
        <v/>
      </c>
    </row>
    <row r="609" spans="12:14" x14ac:dyDescent="0.3">
      <c r="L609" t="str">
        <f t="shared" si="18"/>
        <v/>
      </c>
      <c r="N609" t="str">
        <f t="shared" si="19"/>
        <v/>
      </c>
    </row>
    <row r="610" spans="12:14" x14ac:dyDescent="0.3">
      <c r="L610" t="str">
        <f t="shared" si="18"/>
        <v/>
      </c>
      <c r="N610" t="str">
        <f t="shared" si="19"/>
        <v/>
      </c>
    </row>
    <row r="611" spans="12:14" x14ac:dyDescent="0.3">
      <c r="L611" t="str">
        <f t="shared" si="18"/>
        <v/>
      </c>
      <c r="N611" t="str">
        <f t="shared" si="19"/>
        <v/>
      </c>
    </row>
    <row r="612" spans="12:14" x14ac:dyDescent="0.3">
      <c r="L612" t="str">
        <f t="shared" si="18"/>
        <v/>
      </c>
      <c r="N612" t="str">
        <f t="shared" si="19"/>
        <v/>
      </c>
    </row>
    <row r="613" spans="12:14" x14ac:dyDescent="0.3">
      <c r="L613" t="str">
        <f t="shared" si="18"/>
        <v/>
      </c>
      <c r="N613" t="str">
        <f t="shared" si="19"/>
        <v/>
      </c>
    </row>
    <row r="614" spans="12:14" x14ac:dyDescent="0.3">
      <c r="L614" t="str">
        <f t="shared" si="18"/>
        <v/>
      </c>
      <c r="N614" t="str">
        <f t="shared" si="19"/>
        <v/>
      </c>
    </row>
    <row r="615" spans="12:14" x14ac:dyDescent="0.3">
      <c r="L615" t="str">
        <f t="shared" si="18"/>
        <v/>
      </c>
      <c r="N615" t="str">
        <f t="shared" si="19"/>
        <v/>
      </c>
    </row>
    <row r="616" spans="12:14" x14ac:dyDescent="0.3">
      <c r="L616" t="str">
        <f t="shared" si="18"/>
        <v/>
      </c>
      <c r="N616" t="str">
        <f t="shared" si="19"/>
        <v/>
      </c>
    </row>
    <row r="617" spans="12:14" x14ac:dyDescent="0.3">
      <c r="L617" t="str">
        <f t="shared" si="18"/>
        <v/>
      </c>
      <c r="N617" t="str">
        <f t="shared" si="19"/>
        <v/>
      </c>
    </row>
    <row r="618" spans="12:14" x14ac:dyDescent="0.3">
      <c r="L618" t="str">
        <f t="shared" si="18"/>
        <v/>
      </c>
      <c r="N618" t="str">
        <f t="shared" si="19"/>
        <v/>
      </c>
    </row>
    <row r="619" spans="12:14" x14ac:dyDescent="0.3">
      <c r="L619" t="str">
        <f t="shared" si="18"/>
        <v/>
      </c>
      <c r="N619" t="str">
        <f t="shared" si="19"/>
        <v/>
      </c>
    </row>
    <row r="620" spans="12:14" x14ac:dyDescent="0.3">
      <c r="L620" t="str">
        <f t="shared" si="18"/>
        <v/>
      </c>
      <c r="N620" t="str">
        <f t="shared" si="19"/>
        <v/>
      </c>
    </row>
    <row r="621" spans="12:14" x14ac:dyDescent="0.3">
      <c r="L621" t="str">
        <f t="shared" si="18"/>
        <v/>
      </c>
      <c r="N621" t="str">
        <f t="shared" si="19"/>
        <v/>
      </c>
    </row>
    <row r="622" spans="12:14" x14ac:dyDescent="0.3">
      <c r="L622" t="str">
        <f t="shared" si="18"/>
        <v/>
      </c>
      <c r="N622" t="str">
        <f t="shared" si="19"/>
        <v/>
      </c>
    </row>
    <row r="623" spans="12:14" x14ac:dyDescent="0.3">
      <c r="L623" t="str">
        <f t="shared" si="18"/>
        <v/>
      </c>
      <c r="N623" t="str">
        <f t="shared" si="19"/>
        <v/>
      </c>
    </row>
    <row r="624" spans="12:14" x14ac:dyDescent="0.3">
      <c r="L624" t="str">
        <f t="shared" si="18"/>
        <v/>
      </c>
      <c r="N624" t="str">
        <f t="shared" si="19"/>
        <v/>
      </c>
    </row>
    <row r="625" spans="12:14" x14ac:dyDescent="0.3">
      <c r="L625" t="str">
        <f t="shared" si="18"/>
        <v/>
      </c>
      <c r="N625" t="str">
        <f t="shared" si="19"/>
        <v/>
      </c>
    </row>
    <row r="626" spans="12:14" x14ac:dyDescent="0.3">
      <c r="L626" t="str">
        <f t="shared" si="18"/>
        <v/>
      </c>
      <c r="N626" t="str">
        <f t="shared" si="19"/>
        <v/>
      </c>
    </row>
    <row r="627" spans="12:14" x14ac:dyDescent="0.3">
      <c r="L627" t="str">
        <f t="shared" si="18"/>
        <v/>
      </c>
      <c r="N627" t="str">
        <f t="shared" si="19"/>
        <v/>
      </c>
    </row>
    <row r="628" spans="12:14" x14ac:dyDescent="0.3">
      <c r="L628" t="str">
        <f t="shared" si="18"/>
        <v/>
      </c>
      <c r="N628" t="str">
        <f t="shared" si="19"/>
        <v/>
      </c>
    </row>
    <row r="629" spans="12:14" x14ac:dyDescent="0.3">
      <c r="L629" t="str">
        <f t="shared" si="18"/>
        <v/>
      </c>
      <c r="N629" t="str">
        <f t="shared" si="19"/>
        <v/>
      </c>
    </row>
    <row r="630" spans="12:14" x14ac:dyDescent="0.3">
      <c r="L630" t="str">
        <f t="shared" si="18"/>
        <v/>
      </c>
      <c r="N630" t="str">
        <f t="shared" si="19"/>
        <v/>
      </c>
    </row>
    <row r="631" spans="12:14" x14ac:dyDescent="0.3">
      <c r="L631" t="str">
        <f t="shared" si="18"/>
        <v/>
      </c>
      <c r="N631" t="str">
        <f t="shared" si="19"/>
        <v/>
      </c>
    </row>
    <row r="632" spans="12:14" x14ac:dyDescent="0.3">
      <c r="L632" t="str">
        <f t="shared" si="18"/>
        <v/>
      </c>
      <c r="N632" t="str">
        <f t="shared" si="19"/>
        <v/>
      </c>
    </row>
    <row r="633" spans="12:14" x14ac:dyDescent="0.3">
      <c r="L633" t="str">
        <f t="shared" si="18"/>
        <v/>
      </c>
      <c r="N633" t="str">
        <f t="shared" si="19"/>
        <v/>
      </c>
    </row>
    <row r="634" spans="12:14" x14ac:dyDescent="0.3">
      <c r="L634" t="str">
        <f t="shared" si="18"/>
        <v/>
      </c>
      <c r="N634" t="str">
        <f t="shared" si="19"/>
        <v/>
      </c>
    </row>
    <row r="635" spans="12:14" x14ac:dyDescent="0.3">
      <c r="L635" t="str">
        <f t="shared" si="18"/>
        <v/>
      </c>
      <c r="N635" t="str">
        <f t="shared" si="19"/>
        <v/>
      </c>
    </row>
    <row r="636" spans="12:14" x14ac:dyDescent="0.3">
      <c r="L636" t="str">
        <f t="shared" si="18"/>
        <v/>
      </c>
      <c r="N636" t="str">
        <f t="shared" si="19"/>
        <v/>
      </c>
    </row>
    <row r="637" spans="12:14" x14ac:dyDescent="0.3">
      <c r="L637" t="str">
        <f t="shared" si="18"/>
        <v/>
      </c>
      <c r="N637" t="str">
        <f t="shared" si="19"/>
        <v/>
      </c>
    </row>
    <row r="638" spans="12:14" x14ac:dyDescent="0.3">
      <c r="L638" t="str">
        <f t="shared" si="18"/>
        <v/>
      </c>
      <c r="N638" t="str">
        <f t="shared" si="19"/>
        <v/>
      </c>
    </row>
    <row r="639" spans="12:14" x14ac:dyDescent="0.3">
      <c r="L639" t="str">
        <f t="shared" si="18"/>
        <v/>
      </c>
      <c r="N639" t="str">
        <f t="shared" si="19"/>
        <v/>
      </c>
    </row>
    <row r="640" spans="12:14" x14ac:dyDescent="0.3">
      <c r="L640" t="str">
        <f t="shared" si="18"/>
        <v/>
      </c>
      <c r="N640" t="str">
        <f t="shared" si="19"/>
        <v/>
      </c>
    </row>
    <row r="641" spans="12:14" x14ac:dyDescent="0.3">
      <c r="L641" t="str">
        <f t="shared" ref="L641:L704" si="20">IF(A641="","",IF(ISNUMBER(--LEFT(A641,FIND(" - ",A641&amp;" - ")-1)),LEFT(A641,FIND(" - ",A641&amp;" - ")-1),TRIM(A641)))</f>
        <v/>
      </c>
      <c r="N641" t="str">
        <f t="shared" ref="N641:N704" si="21">IF(L641="","",IF(ISNUMBER(INDEX(A641:H641,$P$1)),INDEX(A641:H641,$P$1),IFERROR(_xlfn.NUMBERVALUE(INDEX(A641:H641,$P$1),".",","),0)))</f>
        <v/>
      </c>
    </row>
    <row r="642" spans="12:14" x14ac:dyDescent="0.3">
      <c r="L642" t="str">
        <f t="shared" si="20"/>
        <v/>
      </c>
      <c r="N642" t="str">
        <f t="shared" si="21"/>
        <v/>
      </c>
    </row>
    <row r="643" spans="12:14" x14ac:dyDescent="0.3">
      <c r="L643" t="str">
        <f t="shared" si="20"/>
        <v/>
      </c>
      <c r="N643" t="str">
        <f t="shared" si="21"/>
        <v/>
      </c>
    </row>
    <row r="644" spans="12:14" x14ac:dyDescent="0.3">
      <c r="L644" t="str">
        <f t="shared" si="20"/>
        <v/>
      </c>
      <c r="N644" t="str">
        <f t="shared" si="21"/>
        <v/>
      </c>
    </row>
    <row r="645" spans="12:14" x14ac:dyDescent="0.3">
      <c r="L645" t="str">
        <f t="shared" si="20"/>
        <v/>
      </c>
      <c r="N645" t="str">
        <f t="shared" si="21"/>
        <v/>
      </c>
    </row>
    <row r="646" spans="12:14" x14ac:dyDescent="0.3">
      <c r="L646" t="str">
        <f t="shared" si="20"/>
        <v/>
      </c>
      <c r="N646" t="str">
        <f t="shared" si="21"/>
        <v/>
      </c>
    </row>
    <row r="647" spans="12:14" x14ac:dyDescent="0.3">
      <c r="L647" t="str">
        <f t="shared" si="20"/>
        <v/>
      </c>
      <c r="N647" t="str">
        <f t="shared" si="21"/>
        <v/>
      </c>
    </row>
    <row r="648" spans="12:14" x14ac:dyDescent="0.3">
      <c r="L648" t="str">
        <f t="shared" si="20"/>
        <v/>
      </c>
      <c r="N648" t="str">
        <f t="shared" si="21"/>
        <v/>
      </c>
    </row>
    <row r="649" spans="12:14" x14ac:dyDescent="0.3">
      <c r="L649" t="str">
        <f t="shared" si="20"/>
        <v/>
      </c>
      <c r="N649" t="str">
        <f t="shared" si="21"/>
        <v/>
      </c>
    </row>
    <row r="650" spans="12:14" x14ac:dyDescent="0.3">
      <c r="L650" t="str">
        <f t="shared" si="20"/>
        <v/>
      </c>
      <c r="N650" t="str">
        <f t="shared" si="21"/>
        <v/>
      </c>
    </row>
    <row r="651" spans="12:14" x14ac:dyDescent="0.3">
      <c r="L651" t="str">
        <f t="shared" si="20"/>
        <v/>
      </c>
      <c r="N651" t="str">
        <f t="shared" si="21"/>
        <v/>
      </c>
    </row>
    <row r="652" spans="12:14" x14ac:dyDescent="0.3">
      <c r="L652" t="str">
        <f t="shared" si="20"/>
        <v/>
      </c>
      <c r="N652" t="str">
        <f t="shared" si="21"/>
        <v/>
      </c>
    </row>
    <row r="653" spans="12:14" x14ac:dyDescent="0.3">
      <c r="L653" t="str">
        <f t="shared" si="20"/>
        <v/>
      </c>
      <c r="N653" t="str">
        <f t="shared" si="21"/>
        <v/>
      </c>
    </row>
    <row r="654" spans="12:14" x14ac:dyDescent="0.3">
      <c r="L654" t="str">
        <f t="shared" si="20"/>
        <v/>
      </c>
      <c r="N654" t="str">
        <f t="shared" si="21"/>
        <v/>
      </c>
    </row>
    <row r="655" spans="12:14" x14ac:dyDescent="0.3">
      <c r="L655" t="str">
        <f t="shared" si="20"/>
        <v/>
      </c>
      <c r="N655" t="str">
        <f t="shared" si="21"/>
        <v/>
      </c>
    </row>
    <row r="656" spans="12:14" x14ac:dyDescent="0.3">
      <c r="L656" t="str">
        <f t="shared" si="20"/>
        <v/>
      </c>
      <c r="N656" t="str">
        <f t="shared" si="21"/>
        <v/>
      </c>
    </row>
    <row r="657" spans="12:14" x14ac:dyDescent="0.3">
      <c r="L657" t="str">
        <f t="shared" si="20"/>
        <v/>
      </c>
      <c r="N657" t="str">
        <f t="shared" si="21"/>
        <v/>
      </c>
    </row>
    <row r="658" spans="12:14" x14ac:dyDescent="0.3">
      <c r="L658" t="str">
        <f t="shared" si="20"/>
        <v/>
      </c>
      <c r="N658" t="str">
        <f t="shared" si="21"/>
        <v/>
      </c>
    </row>
    <row r="659" spans="12:14" x14ac:dyDescent="0.3">
      <c r="L659" t="str">
        <f t="shared" si="20"/>
        <v/>
      </c>
      <c r="N659" t="str">
        <f t="shared" si="21"/>
        <v/>
      </c>
    </row>
    <row r="660" spans="12:14" x14ac:dyDescent="0.3">
      <c r="L660" t="str">
        <f t="shared" si="20"/>
        <v/>
      </c>
      <c r="N660" t="str">
        <f t="shared" si="21"/>
        <v/>
      </c>
    </row>
    <row r="661" spans="12:14" x14ac:dyDescent="0.3">
      <c r="L661" t="str">
        <f t="shared" si="20"/>
        <v/>
      </c>
      <c r="N661" t="str">
        <f t="shared" si="21"/>
        <v/>
      </c>
    </row>
    <row r="662" spans="12:14" x14ac:dyDescent="0.3">
      <c r="L662" t="str">
        <f t="shared" si="20"/>
        <v/>
      </c>
      <c r="N662" t="str">
        <f t="shared" si="21"/>
        <v/>
      </c>
    </row>
    <row r="663" spans="12:14" x14ac:dyDescent="0.3">
      <c r="L663" t="str">
        <f t="shared" si="20"/>
        <v/>
      </c>
      <c r="N663" t="str">
        <f t="shared" si="21"/>
        <v/>
      </c>
    </row>
    <row r="664" spans="12:14" x14ac:dyDescent="0.3">
      <c r="L664" t="str">
        <f t="shared" si="20"/>
        <v/>
      </c>
      <c r="N664" t="str">
        <f t="shared" si="21"/>
        <v/>
      </c>
    </row>
    <row r="665" spans="12:14" x14ac:dyDescent="0.3">
      <c r="L665" t="str">
        <f t="shared" si="20"/>
        <v/>
      </c>
      <c r="N665" t="str">
        <f t="shared" si="21"/>
        <v/>
      </c>
    </row>
    <row r="666" spans="12:14" x14ac:dyDescent="0.3">
      <c r="L666" t="str">
        <f t="shared" si="20"/>
        <v/>
      </c>
      <c r="N666" t="str">
        <f t="shared" si="21"/>
        <v/>
      </c>
    </row>
    <row r="667" spans="12:14" x14ac:dyDescent="0.3">
      <c r="L667" t="str">
        <f t="shared" si="20"/>
        <v/>
      </c>
      <c r="N667" t="str">
        <f t="shared" si="21"/>
        <v/>
      </c>
    </row>
    <row r="668" spans="12:14" x14ac:dyDescent="0.3">
      <c r="L668" t="str">
        <f t="shared" si="20"/>
        <v/>
      </c>
      <c r="N668" t="str">
        <f t="shared" si="21"/>
        <v/>
      </c>
    </row>
    <row r="669" spans="12:14" x14ac:dyDescent="0.3">
      <c r="L669" t="str">
        <f t="shared" si="20"/>
        <v/>
      </c>
      <c r="N669" t="str">
        <f t="shared" si="21"/>
        <v/>
      </c>
    </row>
    <row r="670" spans="12:14" x14ac:dyDescent="0.3">
      <c r="L670" t="str">
        <f t="shared" si="20"/>
        <v/>
      </c>
      <c r="N670" t="str">
        <f t="shared" si="21"/>
        <v/>
      </c>
    </row>
    <row r="671" spans="12:14" x14ac:dyDescent="0.3">
      <c r="L671" t="str">
        <f t="shared" si="20"/>
        <v/>
      </c>
      <c r="N671" t="str">
        <f t="shared" si="21"/>
        <v/>
      </c>
    </row>
    <row r="672" spans="12:14" x14ac:dyDescent="0.3">
      <c r="L672" t="str">
        <f t="shared" si="20"/>
        <v/>
      </c>
      <c r="N672" t="str">
        <f t="shared" si="21"/>
        <v/>
      </c>
    </row>
    <row r="673" spans="12:14" x14ac:dyDescent="0.3">
      <c r="L673" t="str">
        <f t="shared" si="20"/>
        <v/>
      </c>
      <c r="N673" t="str">
        <f t="shared" si="21"/>
        <v/>
      </c>
    </row>
    <row r="674" spans="12:14" x14ac:dyDescent="0.3">
      <c r="L674" t="str">
        <f t="shared" si="20"/>
        <v/>
      </c>
      <c r="N674" t="str">
        <f t="shared" si="21"/>
        <v/>
      </c>
    </row>
    <row r="675" spans="12:14" x14ac:dyDescent="0.3">
      <c r="L675" t="str">
        <f t="shared" si="20"/>
        <v/>
      </c>
      <c r="N675" t="str">
        <f t="shared" si="21"/>
        <v/>
      </c>
    </row>
    <row r="676" spans="12:14" x14ac:dyDescent="0.3">
      <c r="L676" t="str">
        <f t="shared" si="20"/>
        <v/>
      </c>
      <c r="N676" t="str">
        <f t="shared" si="21"/>
        <v/>
      </c>
    </row>
    <row r="677" spans="12:14" x14ac:dyDescent="0.3">
      <c r="L677" t="str">
        <f t="shared" si="20"/>
        <v/>
      </c>
      <c r="N677" t="str">
        <f t="shared" si="21"/>
        <v/>
      </c>
    </row>
    <row r="678" spans="12:14" x14ac:dyDescent="0.3">
      <c r="L678" t="str">
        <f t="shared" si="20"/>
        <v/>
      </c>
      <c r="N678" t="str">
        <f t="shared" si="21"/>
        <v/>
      </c>
    </row>
    <row r="679" spans="12:14" x14ac:dyDescent="0.3">
      <c r="L679" t="str">
        <f t="shared" si="20"/>
        <v/>
      </c>
      <c r="N679" t="str">
        <f t="shared" si="21"/>
        <v/>
      </c>
    </row>
    <row r="680" spans="12:14" x14ac:dyDescent="0.3">
      <c r="L680" t="str">
        <f t="shared" si="20"/>
        <v/>
      </c>
      <c r="N680" t="str">
        <f t="shared" si="21"/>
        <v/>
      </c>
    </row>
    <row r="681" spans="12:14" x14ac:dyDescent="0.3">
      <c r="L681" t="str">
        <f t="shared" si="20"/>
        <v/>
      </c>
      <c r="N681" t="str">
        <f t="shared" si="21"/>
        <v/>
      </c>
    </row>
    <row r="682" spans="12:14" x14ac:dyDescent="0.3">
      <c r="L682" t="str">
        <f t="shared" si="20"/>
        <v/>
      </c>
      <c r="N682" t="str">
        <f t="shared" si="21"/>
        <v/>
      </c>
    </row>
    <row r="683" spans="12:14" x14ac:dyDescent="0.3">
      <c r="L683" t="str">
        <f t="shared" si="20"/>
        <v/>
      </c>
      <c r="N683" t="str">
        <f t="shared" si="21"/>
        <v/>
      </c>
    </row>
    <row r="684" spans="12:14" x14ac:dyDescent="0.3">
      <c r="L684" t="str">
        <f t="shared" si="20"/>
        <v/>
      </c>
      <c r="N684" t="str">
        <f t="shared" si="21"/>
        <v/>
      </c>
    </row>
    <row r="685" spans="12:14" x14ac:dyDescent="0.3">
      <c r="L685" t="str">
        <f t="shared" si="20"/>
        <v/>
      </c>
      <c r="N685" t="str">
        <f t="shared" si="21"/>
        <v/>
      </c>
    </row>
    <row r="686" spans="12:14" x14ac:dyDescent="0.3">
      <c r="L686" t="str">
        <f t="shared" si="20"/>
        <v/>
      </c>
      <c r="N686" t="str">
        <f t="shared" si="21"/>
        <v/>
      </c>
    </row>
    <row r="687" spans="12:14" x14ac:dyDescent="0.3">
      <c r="L687" t="str">
        <f t="shared" si="20"/>
        <v/>
      </c>
      <c r="N687" t="str">
        <f t="shared" si="21"/>
        <v/>
      </c>
    </row>
    <row r="688" spans="12:14" x14ac:dyDescent="0.3">
      <c r="L688" t="str">
        <f t="shared" si="20"/>
        <v/>
      </c>
      <c r="N688" t="str">
        <f t="shared" si="21"/>
        <v/>
      </c>
    </row>
    <row r="689" spans="12:14" x14ac:dyDescent="0.3">
      <c r="L689" t="str">
        <f t="shared" si="20"/>
        <v/>
      </c>
      <c r="N689" t="str">
        <f t="shared" si="21"/>
        <v/>
      </c>
    </row>
    <row r="690" spans="12:14" x14ac:dyDescent="0.3">
      <c r="L690" t="str">
        <f t="shared" si="20"/>
        <v/>
      </c>
      <c r="N690" t="str">
        <f t="shared" si="21"/>
        <v/>
      </c>
    </row>
    <row r="691" spans="12:14" x14ac:dyDescent="0.3">
      <c r="L691" t="str">
        <f t="shared" si="20"/>
        <v/>
      </c>
      <c r="N691" t="str">
        <f t="shared" si="21"/>
        <v/>
      </c>
    </row>
    <row r="692" spans="12:14" x14ac:dyDescent="0.3">
      <c r="L692" t="str">
        <f t="shared" si="20"/>
        <v/>
      </c>
      <c r="N692" t="str">
        <f t="shared" si="21"/>
        <v/>
      </c>
    </row>
    <row r="693" spans="12:14" x14ac:dyDescent="0.3">
      <c r="L693" t="str">
        <f t="shared" si="20"/>
        <v/>
      </c>
      <c r="N693" t="str">
        <f t="shared" si="21"/>
        <v/>
      </c>
    </row>
    <row r="694" spans="12:14" x14ac:dyDescent="0.3">
      <c r="L694" t="str">
        <f t="shared" si="20"/>
        <v/>
      </c>
      <c r="N694" t="str">
        <f t="shared" si="21"/>
        <v/>
      </c>
    </row>
    <row r="695" spans="12:14" x14ac:dyDescent="0.3">
      <c r="L695" t="str">
        <f t="shared" si="20"/>
        <v/>
      </c>
      <c r="N695" t="str">
        <f t="shared" si="21"/>
        <v/>
      </c>
    </row>
    <row r="696" spans="12:14" x14ac:dyDescent="0.3">
      <c r="L696" t="str">
        <f t="shared" si="20"/>
        <v/>
      </c>
      <c r="N696" t="str">
        <f t="shared" si="21"/>
        <v/>
      </c>
    </row>
    <row r="697" spans="12:14" x14ac:dyDescent="0.3">
      <c r="L697" t="str">
        <f t="shared" si="20"/>
        <v/>
      </c>
      <c r="N697" t="str">
        <f t="shared" si="21"/>
        <v/>
      </c>
    </row>
    <row r="698" spans="12:14" x14ac:dyDescent="0.3">
      <c r="L698" t="str">
        <f t="shared" si="20"/>
        <v/>
      </c>
      <c r="N698" t="str">
        <f t="shared" si="21"/>
        <v/>
      </c>
    </row>
    <row r="699" spans="12:14" x14ac:dyDescent="0.3">
      <c r="L699" t="str">
        <f t="shared" si="20"/>
        <v/>
      </c>
      <c r="N699" t="str">
        <f t="shared" si="21"/>
        <v/>
      </c>
    </row>
    <row r="700" spans="12:14" x14ac:dyDescent="0.3">
      <c r="L700" t="str">
        <f t="shared" si="20"/>
        <v/>
      </c>
      <c r="N700" t="str">
        <f t="shared" si="21"/>
        <v/>
      </c>
    </row>
    <row r="701" spans="12:14" x14ac:dyDescent="0.3">
      <c r="L701" t="str">
        <f t="shared" si="20"/>
        <v/>
      </c>
      <c r="N701" t="str">
        <f t="shared" si="21"/>
        <v/>
      </c>
    </row>
    <row r="702" spans="12:14" x14ac:dyDescent="0.3">
      <c r="L702" t="str">
        <f t="shared" si="20"/>
        <v/>
      </c>
      <c r="N702" t="str">
        <f t="shared" si="21"/>
        <v/>
      </c>
    </row>
    <row r="703" spans="12:14" x14ac:dyDescent="0.3">
      <c r="L703" t="str">
        <f t="shared" si="20"/>
        <v/>
      </c>
      <c r="N703" t="str">
        <f t="shared" si="21"/>
        <v/>
      </c>
    </row>
    <row r="704" spans="12:14" x14ac:dyDescent="0.3">
      <c r="L704" t="str">
        <f t="shared" si="20"/>
        <v/>
      </c>
      <c r="N704" t="str">
        <f t="shared" si="21"/>
        <v/>
      </c>
    </row>
    <row r="705" spans="12:14" x14ac:dyDescent="0.3">
      <c r="L705" t="str">
        <f t="shared" ref="L705:L768" si="22">IF(A705="","",IF(ISNUMBER(--LEFT(A705,FIND(" - ",A705&amp;" - ")-1)),LEFT(A705,FIND(" - ",A705&amp;" - ")-1),TRIM(A705)))</f>
        <v/>
      </c>
      <c r="N705" t="str">
        <f t="shared" ref="N705:N768" si="23">IF(L705="","",IF(ISNUMBER(INDEX(A705:H705,$P$1)),INDEX(A705:H705,$P$1),IFERROR(_xlfn.NUMBERVALUE(INDEX(A705:H705,$P$1),".",","),0)))</f>
        <v/>
      </c>
    </row>
    <row r="706" spans="12:14" x14ac:dyDescent="0.3">
      <c r="L706" t="str">
        <f t="shared" si="22"/>
        <v/>
      </c>
      <c r="N706" t="str">
        <f t="shared" si="23"/>
        <v/>
      </c>
    </row>
    <row r="707" spans="12:14" x14ac:dyDescent="0.3">
      <c r="L707" t="str">
        <f t="shared" si="22"/>
        <v/>
      </c>
      <c r="N707" t="str">
        <f t="shared" si="23"/>
        <v/>
      </c>
    </row>
    <row r="708" spans="12:14" x14ac:dyDescent="0.3">
      <c r="L708" t="str">
        <f t="shared" si="22"/>
        <v/>
      </c>
      <c r="N708" t="str">
        <f t="shared" si="23"/>
        <v/>
      </c>
    </row>
    <row r="709" spans="12:14" x14ac:dyDescent="0.3">
      <c r="L709" t="str">
        <f t="shared" si="22"/>
        <v/>
      </c>
      <c r="N709" t="str">
        <f t="shared" si="23"/>
        <v/>
      </c>
    </row>
    <row r="710" spans="12:14" x14ac:dyDescent="0.3">
      <c r="L710" t="str">
        <f t="shared" si="22"/>
        <v/>
      </c>
      <c r="N710" t="str">
        <f t="shared" si="23"/>
        <v/>
      </c>
    </row>
    <row r="711" spans="12:14" x14ac:dyDescent="0.3">
      <c r="L711" t="str">
        <f t="shared" si="22"/>
        <v/>
      </c>
      <c r="N711" t="str">
        <f t="shared" si="23"/>
        <v/>
      </c>
    </row>
    <row r="712" spans="12:14" x14ac:dyDescent="0.3">
      <c r="L712" t="str">
        <f t="shared" si="22"/>
        <v/>
      </c>
      <c r="N712" t="str">
        <f t="shared" si="23"/>
        <v/>
      </c>
    </row>
    <row r="713" spans="12:14" x14ac:dyDescent="0.3">
      <c r="L713" t="str">
        <f t="shared" si="22"/>
        <v/>
      </c>
      <c r="N713" t="str">
        <f t="shared" si="23"/>
        <v/>
      </c>
    </row>
    <row r="714" spans="12:14" x14ac:dyDescent="0.3">
      <c r="L714" t="str">
        <f t="shared" si="22"/>
        <v/>
      </c>
      <c r="N714" t="str">
        <f t="shared" si="23"/>
        <v/>
      </c>
    </row>
    <row r="715" spans="12:14" x14ac:dyDescent="0.3">
      <c r="L715" t="str">
        <f t="shared" si="22"/>
        <v/>
      </c>
      <c r="N715" t="str">
        <f t="shared" si="23"/>
        <v/>
      </c>
    </row>
    <row r="716" spans="12:14" x14ac:dyDescent="0.3">
      <c r="L716" t="str">
        <f t="shared" si="22"/>
        <v/>
      </c>
      <c r="N716" t="str">
        <f t="shared" si="23"/>
        <v/>
      </c>
    </row>
    <row r="717" spans="12:14" x14ac:dyDescent="0.3">
      <c r="L717" t="str">
        <f t="shared" si="22"/>
        <v/>
      </c>
      <c r="N717" t="str">
        <f t="shared" si="23"/>
        <v/>
      </c>
    </row>
    <row r="718" spans="12:14" x14ac:dyDescent="0.3">
      <c r="L718" t="str">
        <f t="shared" si="22"/>
        <v/>
      </c>
      <c r="N718" t="str">
        <f t="shared" si="23"/>
        <v/>
      </c>
    </row>
    <row r="719" spans="12:14" x14ac:dyDescent="0.3">
      <c r="L719" t="str">
        <f t="shared" si="22"/>
        <v/>
      </c>
      <c r="N719" t="str">
        <f t="shared" si="23"/>
        <v/>
      </c>
    </row>
    <row r="720" spans="12:14" x14ac:dyDescent="0.3">
      <c r="L720" t="str">
        <f t="shared" si="22"/>
        <v/>
      </c>
      <c r="N720" t="str">
        <f t="shared" si="23"/>
        <v/>
      </c>
    </row>
    <row r="721" spans="12:14" x14ac:dyDescent="0.3">
      <c r="L721" t="str">
        <f t="shared" si="22"/>
        <v/>
      </c>
      <c r="N721" t="str">
        <f t="shared" si="23"/>
        <v/>
      </c>
    </row>
    <row r="722" spans="12:14" x14ac:dyDescent="0.3">
      <c r="L722" t="str">
        <f t="shared" si="22"/>
        <v/>
      </c>
      <c r="N722" t="str">
        <f t="shared" si="23"/>
        <v/>
      </c>
    </row>
    <row r="723" spans="12:14" x14ac:dyDescent="0.3">
      <c r="L723" t="str">
        <f t="shared" si="22"/>
        <v/>
      </c>
      <c r="N723" t="str">
        <f t="shared" si="23"/>
        <v/>
      </c>
    </row>
    <row r="724" spans="12:14" x14ac:dyDescent="0.3">
      <c r="L724" t="str">
        <f t="shared" si="22"/>
        <v/>
      </c>
      <c r="N724" t="str">
        <f t="shared" si="23"/>
        <v/>
      </c>
    </row>
    <row r="725" spans="12:14" x14ac:dyDescent="0.3">
      <c r="L725" t="str">
        <f t="shared" si="22"/>
        <v/>
      </c>
      <c r="N725" t="str">
        <f t="shared" si="23"/>
        <v/>
      </c>
    </row>
    <row r="726" spans="12:14" x14ac:dyDescent="0.3">
      <c r="L726" t="str">
        <f t="shared" si="22"/>
        <v/>
      </c>
      <c r="N726" t="str">
        <f t="shared" si="23"/>
        <v/>
      </c>
    </row>
    <row r="727" spans="12:14" x14ac:dyDescent="0.3">
      <c r="L727" t="str">
        <f t="shared" si="22"/>
        <v/>
      </c>
      <c r="N727" t="str">
        <f t="shared" si="23"/>
        <v/>
      </c>
    </row>
    <row r="728" spans="12:14" x14ac:dyDescent="0.3">
      <c r="L728" t="str">
        <f t="shared" si="22"/>
        <v/>
      </c>
      <c r="N728" t="str">
        <f t="shared" si="23"/>
        <v/>
      </c>
    </row>
    <row r="729" spans="12:14" x14ac:dyDescent="0.3">
      <c r="L729" t="str">
        <f t="shared" si="22"/>
        <v/>
      </c>
      <c r="N729" t="str">
        <f t="shared" si="23"/>
        <v/>
      </c>
    </row>
    <row r="730" spans="12:14" x14ac:dyDescent="0.3">
      <c r="L730" t="str">
        <f t="shared" si="22"/>
        <v/>
      </c>
      <c r="N730" t="str">
        <f t="shared" si="23"/>
        <v/>
      </c>
    </row>
    <row r="731" spans="12:14" x14ac:dyDescent="0.3">
      <c r="L731" t="str">
        <f t="shared" si="22"/>
        <v/>
      </c>
      <c r="N731" t="str">
        <f t="shared" si="23"/>
        <v/>
      </c>
    </row>
    <row r="732" spans="12:14" x14ac:dyDescent="0.3">
      <c r="L732" t="str">
        <f t="shared" si="22"/>
        <v/>
      </c>
      <c r="N732" t="str">
        <f t="shared" si="23"/>
        <v/>
      </c>
    </row>
    <row r="733" spans="12:14" x14ac:dyDescent="0.3">
      <c r="L733" t="str">
        <f t="shared" si="22"/>
        <v/>
      </c>
      <c r="N733" t="str">
        <f t="shared" si="23"/>
        <v/>
      </c>
    </row>
    <row r="734" spans="12:14" x14ac:dyDescent="0.3">
      <c r="L734" t="str">
        <f t="shared" si="22"/>
        <v/>
      </c>
      <c r="N734" t="str">
        <f t="shared" si="23"/>
        <v/>
      </c>
    </row>
    <row r="735" spans="12:14" x14ac:dyDescent="0.3">
      <c r="L735" t="str">
        <f t="shared" si="22"/>
        <v/>
      </c>
      <c r="N735" t="str">
        <f t="shared" si="23"/>
        <v/>
      </c>
    </row>
    <row r="736" spans="12:14" x14ac:dyDescent="0.3">
      <c r="L736" t="str">
        <f t="shared" si="22"/>
        <v/>
      </c>
      <c r="N736" t="str">
        <f t="shared" si="23"/>
        <v/>
      </c>
    </row>
    <row r="737" spans="12:14" x14ac:dyDescent="0.3">
      <c r="L737" t="str">
        <f t="shared" si="22"/>
        <v/>
      </c>
      <c r="N737" t="str">
        <f t="shared" si="23"/>
        <v/>
      </c>
    </row>
    <row r="738" spans="12:14" x14ac:dyDescent="0.3">
      <c r="L738" t="str">
        <f t="shared" si="22"/>
        <v/>
      </c>
      <c r="N738" t="str">
        <f t="shared" si="23"/>
        <v/>
      </c>
    </row>
    <row r="739" spans="12:14" x14ac:dyDescent="0.3">
      <c r="L739" t="str">
        <f t="shared" si="22"/>
        <v/>
      </c>
      <c r="N739" t="str">
        <f t="shared" si="23"/>
        <v/>
      </c>
    </row>
    <row r="740" spans="12:14" x14ac:dyDescent="0.3">
      <c r="L740" t="str">
        <f t="shared" si="22"/>
        <v/>
      </c>
      <c r="N740" t="str">
        <f t="shared" si="23"/>
        <v/>
      </c>
    </row>
    <row r="741" spans="12:14" x14ac:dyDescent="0.3">
      <c r="L741" t="str">
        <f t="shared" si="22"/>
        <v/>
      </c>
      <c r="N741" t="str">
        <f t="shared" si="23"/>
        <v/>
      </c>
    </row>
    <row r="742" spans="12:14" x14ac:dyDescent="0.3">
      <c r="L742" t="str">
        <f t="shared" si="22"/>
        <v/>
      </c>
      <c r="N742" t="str">
        <f t="shared" si="23"/>
        <v/>
      </c>
    </row>
    <row r="743" spans="12:14" x14ac:dyDescent="0.3">
      <c r="L743" t="str">
        <f t="shared" si="22"/>
        <v/>
      </c>
      <c r="N743" t="str">
        <f t="shared" si="23"/>
        <v/>
      </c>
    </row>
    <row r="744" spans="12:14" x14ac:dyDescent="0.3">
      <c r="L744" t="str">
        <f t="shared" si="22"/>
        <v/>
      </c>
      <c r="N744" t="str">
        <f t="shared" si="23"/>
        <v/>
      </c>
    </row>
    <row r="745" spans="12:14" x14ac:dyDescent="0.3">
      <c r="L745" t="str">
        <f t="shared" si="22"/>
        <v/>
      </c>
      <c r="N745" t="str">
        <f t="shared" si="23"/>
        <v/>
      </c>
    </row>
    <row r="746" spans="12:14" x14ac:dyDescent="0.3">
      <c r="L746" t="str">
        <f t="shared" si="22"/>
        <v/>
      </c>
      <c r="N746" t="str">
        <f t="shared" si="23"/>
        <v/>
      </c>
    </row>
    <row r="747" spans="12:14" x14ac:dyDescent="0.3">
      <c r="L747" t="str">
        <f t="shared" si="22"/>
        <v/>
      </c>
      <c r="N747" t="str">
        <f t="shared" si="23"/>
        <v/>
      </c>
    </row>
    <row r="748" spans="12:14" x14ac:dyDescent="0.3">
      <c r="L748" t="str">
        <f t="shared" si="22"/>
        <v/>
      </c>
      <c r="N748" t="str">
        <f t="shared" si="23"/>
        <v/>
      </c>
    </row>
    <row r="749" spans="12:14" x14ac:dyDescent="0.3">
      <c r="L749" t="str">
        <f t="shared" si="22"/>
        <v/>
      </c>
      <c r="N749" t="str">
        <f t="shared" si="23"/>
        <v/>
      </c>
    </row>
    <row r="750" spans="12:14" x14ac:dyDescent="0.3">
      <c r="L750" t="str">
        <f t="shared" si="22"/>
        <v/>
      </c>
      <c r="N750" t="str">
        <f t="shared" si="23"/>
        <v/>
      </c>
    </row>
    <row r="751" spans="12:14" x14ac:dyDescent="0.3">
      <c r="L751" t="str">
        <f t="shared" si="22"/>
        <v/>
      </c>
      <c r="N751" t="str">
        <f t="shared" si="23"/>
        <v/>
      </c>
    </row>
    <row r="752" spans="12:14" x14ac:dyDescent="0.3">
      <c r="L752" t="str">
        <f t="shared" si="22"/>
        <v/>
      </c>
      <c r="N752" t="str">
        <f t="shared" si="23"/>
        <v/>
      </c>
    </row>
    <row r="753" spans="12:14" x14ac:dyDescent="0.3">
      <c r="L753" t="str">
        <f t="shared" si="22"/>
        <v/>
      </c>
      <c r="N753" t="str">
        <f t="shared" si="23"/>
        <v/>
      </c>
    </row>
    <row r="754" spans="12:14" x14ac:dyDescent="0.3">
      <c r="L754" t="str">
        <f t="shared" si="22"/>
        <v/>
      </c>
      <c r="N754" t="str">
        <f t="shared" si="23"/>
        <v/>
      </c>
    </row>
    <row r="755" spans="12:14" x14ac:dyDescent="0.3">
      <c r="L755" t="str">
        <f t="shared" si="22"/>
        <v/>
      </c>
      <c r="N755" t="str">
        <f t="shared" si="23"/>
        <v/>
      </c>
    </row>
    <row r="756" spans="12:14" x14ac:dyDescent="0.3">
      <c r="L756" t="str">
        <f t="shared" si="22"/>
        <v/>
      </c>
      <c r="N756" t="str">
        <f t="shared" si="23"/>
        <v/>
      </c>
    </row>
    <row r="757" spans="12:14" x14ac:dyDescent="0.3">
      <c r="L757" t="str">
        <f t="shared" si="22"/>
        <v/>
      </c>
      <c r="N757" t="str">
        <f t="shared" si="23"/>
        <v/>
      </c>
    </row>
    <row r="758" spans="12:14" x14ac:dyDescent="0.3">
      <c r="L758" t="str">
        <f t="shared" si="22"/>
        <v/>
      </c>
      <c r="N758" t="str">
        <f t="shared" si="23"/>
        <v/>
      </c>
    </row>
    <row r="759" spans="12:14" x14ac:dyDescent="0.3">
      <c r="L759" t="str">
        <f t="shared" si="22"/>
        <v/>
      </c>
      <c r="N759" t="str">
        <f t="shared" si="23"/>
        <v/>
      </c>
    </row>
    <row r="760" spans="12:14" x14ac:dyDescent="0.3">
      <c r="L760" t="str">
        <f t="shared" si="22"/>
        <v/>
      </c>
      <c r="N760" t="str">
        <f t="shared" si="23"/>
        <v/>
      </c>
    </row>
    <row r="761" spans="12:14" x14ac:dyDescent="0.3">
      <c r="L761" t="str">
        <f t="shared" si="22"/>
        <v/>
      </c>
      <c r="N761" t="str">
        <f t="shared" si="23"/>
        <v/>
      </c>
    </row>
    <row r="762" spans="12:14" x14ac:dyDescent="0.3">
      <c r="L762" t="str">
        <f t="shared" si="22"/>
        <v/>
      </c>
      <c r="N762" t="str">
        <f t="shared" si="23"/>
        <v/>
      </c>
    </row>
    <row r="763" spans="12:14" x14ac:dyDescent="0.3">
      <c r="L763" t="str">
        <f t="shared" si="22"/>
        <v/>
      </c>
      <c r="N763" t="str">
        <f t="shared" si="23"/>
        <v/>
      </c>
    </row>
    <row r="764" spans="12:14" x14ac:dyDescent="0.3">
      <c r="L764" t="str">
        <f t="shared" si="22"/>
        <v/>
      </c>
      <c r="N764" t="str">
        <f t="shared" si="23"/>
        <v/>
      </c>
    </row>
    <row r="765" spans="12:14" x14ac:dyDescent="0.3">
      <c r="L765" t="str">
        <f t="shared" si="22"/>
        <v/>
      </c>
      <c r="N765" t="str">
        <f t="shared" si="23"/>
        <v/>
      </c>
    </row>
    <row r="766" spans="12:14" x14ac:dyDescent="0.3">
      <c r="L766" t="str">
        <f t="shared" si="22"/>
        <v/>
      </c>
      <c r="N766" t="str">
        <f t="shared" si="23"/>
        <v/>
      </c>
    </row>
    <row r="767" spans="12:14" x14ac:dyDescent="0.3">
      <c r="L767" t="str">
        <f t="shared" si="22"/>
        <v/>
      </c>
      <c r="N767" t="str">
        <f t="shared" si="23"/>
        <v/>
      </c>
    </row>
    <row r="768" spans="12:14" x14ac:dyDescent="0.3">
      <c r="L768" t="str">
        <f t="shared" si="22"/>
        <v/>
      </c>
      <c r="N768" t="str">
        <f t="shared" si="23"/>
        <v/>
      </c>
    </row>
    <row r="769" spans="12:14" x14ac:dyDescent="0.3">
      <c r="L769" t="str">
        <f t="shared" ref="L769:L832" si="24">IF(A769="","",IF(ISNUMBER(--LEFT(A769,FIND(" - ",A769&amp;" - ")-1)),LEFT(A769,FIND(" - ",A769&amp;" - ")-1),TRIM(A769)))</f>
        <v/>
      </c>
      <c r="N769" t="str">
        <f t="shared" ref="N769:N832" si="25">IF(L769="","",IF(ISNUMBER(INDEX(A769:H769,$P$1)),INDEX(A769:H769,$P$1),IFERROR(_xlfn.NUMBERVALUE(INDEX(A769:H769,$P$1),".",","),0)))</f>
        <v/>
      </c>
    </row>
    <row r="770" spans="12:14" x14ac:dyDescent="0.3">
      <c r="L770" t="str">
        <f t="shared" si="24"/>
        <v/>
      </c>
      <c r="N770" t="str">
        <f t="shared" si="25"/>
        <v/>
      </c>
    </row>
    <row r="771" spans="12:14" x14ac:dyDescent="0.3">
      <c r="L771" t="str">
        <f t="shared" si="24"/>
        <v/>
      </c>
      <c r="N771" t="str">
        <f t="shared" si="25"/>
        <v/>
      </c>
    </row>
    <row r="772" spans="12:14" x14ac:dyDescent="0.3">
      <c r="L772" t="str">
        <f t="shared" si="24"/>
        <v/>
      </c>
      <c r="N772" t="str">
        <f t="shared" si="25"/>
        <v/>
      </c>
    </row>
    <row r="773" spans="12:14" x14ac:dyDescent="0.3">
      <c r="L773" t="str">
        <f t="shared" si="24"/>
        <v/>
      </c>
      <c r="N773" t="str">
        <f t="shared" si="25"/>
        <v/>
      </c>
    </row>
    <row r="774" spans="12:14" x14ac:dyDescent="0.3">
      <c r="L774" t="str">
        <f t="shared" si="24"/>
        <v/>
      </c>
      <c r="N774" t="str">
        <f t="shared" si="25"/>
        <v/>
      </c>
    </row>
    <row r="775" spans="12:14" x14ac:dyDescent="0.3">
      <c r="L775" t="str">
        <f t="shared" si="24"/>
        <v/>
      </c>
      <c r="N775" t="str">
        <f t="shared" si="25"/>
        <v/>
      </c>
    </row>
    <row r="776" spans="12:14" x14ac:dyDescent="0.3">
      <c r="L776" t="str">
        <f t="shared" si="24"/>
        <v/>
      </c>
      <c r="N776" t="str">
        <f t="shared" si="25"/>
        <v/>
      </c>
    </row>
    <row r="777" spans="12:14" x14ac:dyDescent="0.3">
      <c r="L777" t="str">
        <f t="shared" si="24"/>
        <v/>
      </c>
      <c r="N777" t="str">
        <f t="shared" si="25"/>
        <v/>
      </c>
    </row>
    <row r="778" spans="12:14" x14ac:dyDescent="0.3">
      <c r="L778" t="str">
        <f t="shared" si="24"/>
        <v/>
      </c>
      <c r="N778" t="str">
        <f t="shared" si="25"/>
        <v/>
      </c>
    </row>
    <row r="779" spans="12:14" x14ac:dyDescent="0.3">
      <c r="L779" t="str">
        <f t="shared" si="24"/>
        <v/>
      </c>
      <c r="N779" t="str">
        <f t="shared" si="25"/>
        <v/>
      </c>
    </row>
    <row r="780" spans="12:14" x14ac:dyDescent="0.3">
      <c r="L780" t="str">
        <f t="shared" si="24"/>
        <v/>
      </c>
      <c r="N780" t="str">
        <f t="shared" si="25"/>
        <v/>
      </c>
    </row>
    <row r="781" spans="12:14" x14ac:dyDescent="0.3">
      <c r="L781" t="str">
        <f t="shared" si="24"/>
        <v/>
      </c>
      <c r="N781" t="str">
        <f t="shared" si="25"/>
        <v/>
      </c>
    </row>
    <row r="782" spans="12:14" x14ac:dyDescent="0.3">
      <c r="L782" t="str">
        <f t="shared" si="24"/>
        <v/>
      </c>
      <c r="N782" t="str">
        <f t="shared" si="25"/>
        <v/>
      </c>
    </row>
    <row r="783" spans="12:14" x14ac:dyDescent="0.3">
      <c r="L783" t="str">
        <f t="shared" si="24"/>
        <v/>
      </c>
      <c r="N783" t="str">
        <f t="shared" si="25"/>
        <v/>
      </c>
    </row>
    <row r="784" spans="12:14" x14ac:dyDescent="0.3">
      <c r="L784" t="str">
        <f t="shared" si="24"/>
        <v/>
      </c>
      <c r="N784" t="str">
        <f t="shared" si="25"/>
        <v/>
      </c>
    </row>
    <row r="785" spans="12:14" x14ac:dyDescent="0.3">
      <c r="L785" t="str">
        <f t="shared" si="24"/>
        <v/>
      </c>
      <c r="N785" t="str">
        <f t="shared" si="25"/>
        <v/>
      </c>
    </row>
    <row r="786" spans="12:14" x14ac:dyDescent="0.3">
      <c r="L786" t="str">
        <f t="shared" si="24"/>
        <v/>
      </c>
      <c r="N786" t="str">
        <f t="shared" si="25"/>
        <v/>
      </c>
    </row>
    <row r="787" spans="12:14" x14ac:dyDescent="0.3">
      <c r="L787" t="str">
        <f t="shared" si="24"/>
        <v/>
      </c>
      <c r="N787" t="str">
        <f t="shared" si="25"/>
        <v/>
      </c>
    </row>
    <row r="788" spans="12:14" x14ac:dyDescent="0.3">
      <c r="L788" t="str">
        <f t="shared" si="24"/>
        <v/>
      </c>
      <c r="N788" t="str">
        <f t="shared" si="25"/>
        <v/>
      </c>
    </row>
    <row r="789" spans="12:14" x14ac:dyDescent="0.3">
      <c r="L789" t="str">
        <f t="shared" si="24"/>
        <v/>
      </c>
      <c r="N789" t="str">
        <f t="shared" si="25"/>
        <v/>
      </c>
    </row>
    <row r="790" spans="12:14" x14ac:dyDescent="0.3">
      <c r="L790" t="str">
        <f t="shared" si="24"/>
        <v/>
      </c>
      <c r="N790" t="str">
        <f t="shared" si="25"/>
        <v/>
      </c>
    </row>
    <row r="791" spans="12:14" x14ac:dyDescent="0.3">
      <c r="L791" t="str">
        <f t="shared" si="24"/>
        <v/>
      </c>
      <c r="N791" t="str">
        <f t="shared" si="25"/>
        <v/>
      </c>
    </row>
    <row r="792" spans="12:14" x14ac:dyDescent="0.3">
      <c r="L792" t="str">
        <f t="shared" si="24"/>
        <v/>
      </c>
      <c r="N792" t="str">
        <f t="shared" si="25"/>
        <v/>
      </c>
    </row>
    <row r="793" spans="12:14" x14ac:dyDescent="0.3">
      <c r="L793" t="str">
        <f t="shared" si="24"/>
        <v/>
      </c>
      <c r="N793" t="str">
        <f t="shared" si="25"/>
        <v/>
      </c>
    </row>
    <row r="794" spans="12:14" x14ac:dyDescent="0.3">
      <c r="L794" t="str">
        <f t="shared" si="24"/>
        <v/>
      </c>
      <c r="N794" t="str">
        <f t="shared" si="25"/>
        <v/>
      </c>
    </row>
    <row r="795" spans="12:14" x14ac:dyDescent="0.3">
      <c r="L795" t="str">
        <f t="shared" si="24"/>
        <v/>
      </c>
      <c r="N795" t="str">
        <f t="shared" si="25"/>
        <v/>
      </c>
    </row>
    <row r="796" spans="12:14" x14ac:dyDescent="0.3">
      <c r="L796" t="str">
        <f t="shared" si="24"/>
        <v/>
      </c>
      <c r="N796" t="str">
        <f t="shared" si="25"/>
        <v/>
      </c>
    </row>
    <row r="797" spans="12:14" x14ac:dyDescent="0.3">
      <c r="L797" t="str">
        <f t="shared" si="24"/>
        <v/>
      </c>
      <c r="N797" t="str">
        <f t="shared" si="25"/>
        <v/>
      </c>
    </row>
    <row r="798" spans="12:14" x14ac:dyDescent="0.3">
      <c r="L798" t="str">
        <f t="shared" si="24"/>
        <v/>
      </c>
      <c r="N798" t="str">
        <f t="shared" si="25"/>
        <v/>
      </c>
    </row>
    <row r="799" spans="12:14" x14ac:dyDescent="0.3">
      <c r="L799" t="str">
        <f t="shared" si="24"/>
        <v/>
      </c>
      <c r="N799" t="str">
        <f t="shared" si="25"/>
        <v/>
      </c>
    </row>
    <row r="800" spans="12:14" x14ac:dyDescent="0.3">
      <c r="L800" t="str">
        <f t="shared" si="24"/>
        <v/>
      </c>
      <c r="N800" t="str">
        <f t="shared" si="25"/>
        <v/>
      </c>
    </row>
    <row r="801" spans="12:14" x14ac:dyDescent="0.3">
      <c r="L801" t="str">
        <f t="shared" si="24"/>
        <v/>
      </c>
      <c r="N801" t="str">
        <f t="shared" si="25"/>
        <v/>
      </c>
    </row>
    <row r="802" spans="12:14" x14ac:dyDescent="0.3">
      <c r="L802" t="str">
        <f t="shared" si="24"/>
        <v/>
      </c>
      <c r="N802" t="str">
        <f t="shared" si="25"/>
        <v/>
      </c>
    </row>
    <row r="803" spans="12:14" x14ac:dyDescent="0.3">
      <c r="L803" t="str">
        <f t="shared" si="24"/>
        <v/>
      </c>
      <c r="N803" t="str">
        <f t="shared" si="25"/>
        <v/>
      </c>
    </row>
    <row r="804" spans="12:14" x14ac:dyDescent="0.3">
      <c r="L804" t="str">
        <f t="shared" si="24"/>
        <v/>
      </c>
      <c r="N804" t="str">
        <f t="shared" si="25"/>
        <v/>
      </c>
    </row>
    <row r="805" spans="12:14" x14ac:dyDescent="0.3">
      <c r="L805" t="str">
        <f t="shared" si="24"/>
        <v/>
      </c>
      <c r="N805" t="str">
        <f t="shared" si="25"/>
        <v/>
      </c>
    </row>
    <row r="806" spans="12:14" x14ac:dyDescent="0.3">
      <c r="L806" t="str">
        <f t="shared" si="24"/>
        <v/>
      </c>
      <c r="N806" t="str">
        <f t="shared" si="25"/>
        <v/>
      </c>
    </row>
    <row r="807" spans="12:14" x14ac:dyDescent="0.3">
      <c r="L807" t="str">
        <f t="shared" si="24"/>
        <v/>
      </c>
      <c r="N807" t="str">
        <f t="shared" si="25"/>
        <v/>
      </c>
    </row>
    <row r="808" spans="12:14" x14ac:dyDescent="0.3">
      <c r="L808" t="str">
        <f t="shared" si="24"/>
        <v/>
      </c>
      <c r="N808" t="str">
        <f t="shared" si="25"/>
        <v/>
      </c>
    </row>
    <row r="809" spans="12:14" x14ac:dyDescent="0.3">
      <c r="L809" t="str">
        <f t="shared" si="24"/>
        <v/>
      </c>
      <c r="N809" t="str">
        <f t="shared" si="25"/>
        <v/>
      </c>
    </row>
    <row r="810" spans="12:14" x14ac:dyDescent="0.3">
      <c r="L810" t="str">
        <f t="shared" si="24"/>
        <v/>
      </c>
      <c r="N810" t="str">
        <f t="shared" si="25"/>
        <v/>
      </c>
    </row>
    <row r="811" spans="12:14" x14ac:dyDescent="0.3">
      <c r="L811" t="str">
        <f t="shared" si="24"/>
        <v/>
      </c>
      <c r="N811" t="str">
        <f t="shared" si="25"/>
        <v/>
      </c>
    </row>
    <row r="812" spans="12:14" x14ac:dyDescent="0.3">
      <c r="L812" t="str">
        <f t="shared" si="24"/>
        <v/>
      </c>
      <c r="N812" t="str">
        <f t="shared" si="25"/>
        <v/>
      </c>
    </row>
    <row r="813" spans="12:14" x14ac:dyDescent="0.3">
      <c r="L813" t="str">
        <f t="shared" si="24"/>
        <v/>
      </c>
      <c r="N813" t="str">
        <f t="shared" si="25"/>
        <v/>
      </c>
    </row>
    <row r="814" spans="12:14" x14ac:dyDescent="0.3">
      <c r="L814" t="str">
        <f t="shared" si="24"/>
        <v/>
      </c>
      <c r="N814" t="str">
        <f t="shared" si="25"/>
        <v/>
      </c>
    </row>
    <row r="815" spans="12:14" x14ac:dyDescent="0.3">
      <c r="L815" t="str">
        <f t="shared" si="24"/>
        <v/>
      </c>
      <c r="N815" t="str">
        <f t="shared" si="25"/>
        <v/>
      </c>
    </row>
    <row r="816" spans="12:14" x14ac:dyDescent="0.3">
      <c r="L816" t="str">
        <f t="shared" si="24"/>
        <v/>
      </c>
      <c r="N816" t="str">
        <f t="shared" si="25"/>
        <v/>
      </c>
    </row>
    <row r="817" spans="12:14" x14ac:dyDescent="0.3">
      <c r="L817" t="str">
        <f t="shared" si="24"/>
        <v/>
      </c>
      <c r="N817" t="str">
        <f t="shared" si="25"/>
        <v/>
      </c>
    </row>
    <row r="818" spans="12:14" x14ac:dyDescent="0.3">
      <c r="L818" t="str">
        <f t="shared" si="24"/>
        <v/>
      </c>
      <c r="N818" t="str">
        <f t="shared" si="25"/>
        <v/>
      </c>
    </row>
    <row r="819" spans="12:14" x14ac:dyDescent="0.3">
      <c r="L819" t="str">
        <f t="shared" si="24"/>
        <v/>
      </c>
      <c r="N819" t="str">
        <f t="shared" si="25"/>
        <v/>
      </c>
    </row>
    <row r="820" spans="12:14" x14ac:dyDescent="0.3">
      <c r="L820" t="str">
        <f t="shared" si="24"/>
        <v/>
      </c>
      <c r="N820" t="str">
        <f t="shared" si="25"/>
        <v/>
      </c>
    </row>
    <row r="821" spans="12:14" x14ac:dyDescent="0.3">
      <c r="L821" t="str">
        <f t="shared" si="24"/>
        <v/>
      </c>
      <c r="N821" t="str">
        <f t="shared" si="25"/>
        <v/>
      </c>
    </row>
    <row r="822" spans="12:14" x14ac:dyDescent="0.3">
      <c r="L822" t="str">
        <f t="shared" si="24"/>
        <v/>
      </c>
      <c r="N822" t="str">
        <f t="shared" si="25"/>
        <v/>
      </c>
    </row>
    <row r="823" spans="12:14" x14ac:dyDescent="0.3">
      <c r="L823" t="str">
        <f t="shared" si="24"/>
        <v/>
      </c>
      <c r="N823" t="str">
        <f t="shared" si="25"/>
        <v/>
      </c>
    </row>
    <row r="824" spans="12:14" x14ac:dyDescent="0.3">
      <c r="L824" t="str">
        <f t="shared" si="24"/>
        <v/>
      </c>
      <c r="N824" t="str">
        <f t="shared" si="25"/>
        <v/>
      </c>
    </row>
    <row r="825" spans="12:14" x14ac:dyDescent="0.3">
      <c r="L825" t="str">
        <f t="shared" si="24"/>
        <v/>
      </c>
      <c r="N825" t="str">
        <f t="shared" si="25"/>
        <v/>
      </c>
    </row>
    <row r="826" spans="12:14" x14ac:dyDescent="0.3">
      <c r="L826" t="str">
        <f t="shared" si="24"/>
        <v/>
      </c>
      <c r="N826" t="str">
        <f t="shared" si="25"/>
        <v/>
      </c>
    </row>
    <row r="827" spans="12:14" x14ac:dyDescent="0.3">
      <c r="L827" t="str">
        <f t="shared" si="24"/>
        <v/>
      </c>
      <c r="N827" t="str">
        <f t="shared" si="25"/>
        <v/>
      </c>
    </row>
    <row r="828" spans="12:14" x14ac:dyDescent="0.3">
      <c r="L828" t="str">
        <f t="shared" si="24"/>
        <v/>
      </c>
      <c r="N828" t="str">
        <f t="shared" si="25"/>
        <v/>
      </c>
    </row>
    <row r="829" spans="12:14" x14ac:dyDescent="0.3">
      <c r="L829" t="str">
        <f t="shared" si="24"/>
        <v/>
      </c>
      <c r="N829" t="str">
        <f t="shared" si="25"/>
        <v/>
      </c>
    </row>
    <row r="830" spans="12:14" x14ac:dyDescent="0.3">
      <c r="L830" t="str">
        <f t="shared" si="24"/>
        <v/>
      </c>
      <c r="N830" t="str">
        <f t="shared" si="25"/>
        <v/>
      </c>
    </row>
    <row r="831" spans="12:14" x14ac:dyDescent="0.3">
      <c r="L831" t="str">
        <f t="shared" si="24"/>
        <v/>
      </c>
      <c r="N831" t="str">
        <f t="shared" si="25"/>
        <v/>
      </c>
    </row>
    <row r="832" spans="12:14" x14ac:dyDescent="0.3">
      <c r="L832" t="str">
        <f t="shared" si="24"/>
        <v/>
      </c>
      <c r="N832" t="str">
        <f t="shared" si="25"/>
        <v/>
      </c>
    </row>
    <row r="833" spans="12:14" x14ac:dyDescent="0.3">
      <c r="L833" t="str">
        <f t="shared" ref="L833:L896" si="26">IF(A833="","",IF(ISNUMBER(--LEFT(A833,FIND(" - ",A833&amp;" - ")-1)),LEFT(A833,FIND(" - ",A833&amp;" - ")-1),TRIM(A833)))</f>
        <v/>
      </c>
      <c r="N833" t="str">
        <f t="shared" ref="N833:N896" si="27">IF(L833="","",IF(ISNUMBER(INDEX(A833:H833,$P$1)),INDEX(A833:H833,$P$1),IFERROR(_xlfn.NUMBERVALUE(INDEX(A833:H833,$P$1),".",","),0)))</f>
        <v/>
      </c>
    </row>
    <row r="834" spans="12:14" x14ac:dyDescent="0.3">
      <c r="L834" t="str">
        <f t="shared" si="26"/>
        <v/>
      </c>
      <c r="N834" t="str">
        <f t="shared" si="27"/>
        <v/>
      </c>
    </row>
    <row r="835" spans="12:14" x14ac:dyDescent="0.3">
      <c r="L835" t="str">
        <f t="shared" si="26"/>
        <v/>
      </c>
      <c r="N835" t="str">
        <f t="shared" si="27"/>
        <v/>
      </c>
    </row>
    <row r="836" spans="12:14" x14ac:dyDescent="0.3">
      <c r="L836" t="str">
        <f t="shared" si="26"/>
        <v/>
      </c>
      <c r="N836" t="str">
        <f t="shared" si="27"/>
        <v/>
      </c>
    </row>
    <row r="837" spans="12:14" x14ac:dyDescent="0.3">
      <c r="L837" t="str">
        <f t="shared" si="26"/>
        <v/>
      </c>
      <c r="N837" t="str">
        <f t="shared" si="27"/>
        <v/>
      </c>
    </row>
    <row r="838" spans="12:14" x14ac:dyDescent="0.3">
      <c r="L838" t="str">
        <f t="shared" si="26"/>
        <v/>
      </c>
      <c r="N838" t="str">
        <f t="shared" si="27"/>
        <v/>
      </c>
    </row>
    <row r="839" spans="12:14" x14ac:dyDescent="0.3">
      <c r="L839" t="str">
        <f t="shared" si="26"/>
        <v/>
      </c>
      <c r="N839" t="str">
        <f t="shared" si="27"/>
        <v/>
      </c>
    </row>
    <row r="840" spans="12:14" x14ac:dyDescent="0.3">
      <c r="L840" t="str">
        <f t="shared" si="26"/>
        <v/>
      </c>
      <c r="N840" t="str">
        <f t="shared" si="27"/>
        <v/>
      </c>
    </row>
    <row r="841" spans="12:14" x14ac:dyDescent="0.3">
      <c r="L841" t="str">
        <f t="shared" si="26"/>
        <v/>
      </c>
      <c r="N841" t="str">
        <f t="shared" si="27"/>
        <v/>
      </c>
    </row>
    <row r="842" spans="12:14" x14ac:dyDescent="0.3">
      <c r="L842" t="str">
        <f t="shared" si="26"/>
        <v/>
      </c>
      <c r="N842" t="str">
        <f t="shared" si="27"/>
        <v/>
      </c>
    </row>
    <row r="843" spans="12:14" x14ac:dyDescent="0.3">
      <c r="L843" t="str">
        <f t="shared" si="26"/>
        <v/>
      </c>
      <c r="N843" t="str">
        <f t="shared" si="27"/>
        <v/>
      </c>
    </row>
    <row r="844" spans="12:14" x14ac:dyDescent="0.3">
      <c r="L844" t="str">
        <f t="shared" si="26"/>
        <v/>
      </c>
      <c r="N844" t="str">
        <f t="shared" si="27"/>
        <v/>
      </c>
    </row>
    <row r="845" spans="12:14" x14ac:dyDescent="0.3">
      <c r="L845" t="str">
        <f t="shared" si="26"/>
        <v/>
      </c>
      <c r="N845" t="str">
        <f t="shared" si="27"/>
        <v/>
      </c>
    </row>
    <row r="846" spans="12:14" x14ac:dyDescent="0.3">
      <c r="L846" t="str">
        <f t="shared" si="26"/>
        <v/>
      </c>
      <c r="N846" t="str">
        <f t="shared" si="27"/>
        <v/>
      </c>
    </row>
    <row r="847" spans="12:14" x14ac:dyDescent="0.3">
      <c r="L847" t="str">
        <f t="shared" si="26"/>
        <v/>
      </c>
      <c r="N847" t="str">
        <f t="shared" si="27"/>
        <v/>
      </c>
    </row>
    <row r="848" spans="12:14" x14ac:dyDescent="0.3">
      <c r="L848" t="str">
        <f t="shared" si="26"/>
        <v/>
      </c>
      <c r="N848" t="str">
        <f t="shared" si="27"/>
        <v/>
      </c>
    </row>
    <row r="849" spans="12:14" x14ac:dyDescent="0.3">
      <c r="L849" t="str">
        <f t="shared" si="26"/>
        <v/>
      </c>
      <c r="N849" t="str">
        <f t="shared" si="27"/>
        <v/>
      </c>
    </row>
    <row r="850" spans="12:14" x14ac:dyDescent="0.3">
      <c r="L850" t="str">
        <f t="shared" si="26"/>
        <v/>
      </c>
      <c r="N850" t="str">
        <f t="shared" si="27"/>
        <v/>
      </c>
    </row>
    <row r="851" spans="12:14" x14ac:dyDescent="0.3">
      <c r="L851" t="str">
        <f t="shared" si="26"/>
        <v/>
      </c>
      <c r="N851" t="str">
        <f t="shared" si="27"/>
        <v/>
      </c>
    </row>
    <row r="852" spans="12:14" x14ac:dyDescent="0.3">
      <c r="L852" t="str">
        <f t="shared" si="26"/>
        <v/>
      </c>
      <c r="N852" t="str">
        <f t="shared" si="27"/>
        <v/>
      </c>
    </row>
    <row r="853" spans="12:14" x14ac:dyDescent="0.3">
      <c r="L853" t="str">
        <f t="shared" si="26"/>
        <v/>
      </c>
      <c r="N853" t="str">
        <f t="shared" si="27"/>
        <v/>
      </c>
    </row>
    <row r="854" spans="12:14" x14ac:dyDescent="0.3">
      <c r="L854" t="str">
        <f t="shared" si="26"/>
        <v/>
      </c>
      <c r="N854" t="str">
        <f t="shared" si="27"/>
        <v/>
      </c>
    </row>
    <row r="855" spans="12:14" x14ac:dyDescent="0.3">
      <c r="L855" t="str">
        <f t="shared" si="26"/>
        <v/>
      </c>
      <c r="N855" t="str">
        <f t="shared" si="27"/>
        <v/>
      </c>
    </row>
    <row r="856" spans="12:14" x14ac:dyDescent="0.3">
      <c r="L856" t="str">
        <f t="shared" si="26"/>
        <v/>
      </c>
      <c r="N856" t="str">
        <f t="shared" si="27"/>
        <v/>
      </c>
    </row>
    <row r="857" spans="12:14" x14ac:dyDescent="0.3">
      <c r="L857" t="str">
        <f t="shared" si="26"/>
        <v/>
      </c>
      <c r="N857" t="str">
        <f t="shared" si="27"/>
        <v/>
      </c>
    </row>
    <row r="858" spans="12:14" x14ac:dyDescent="0.3">
      <c r="L858" t="str">
        <f t="shared" si="26"/>
        <v/>
      </c>
      <c r="N858" t="str">
        <f t="shared" si="27"/>
        <v/>
      </c>
    </row>
    <row r="859" spans="12:14" x14ac:dyDescent="0.3">
      <c r="L859" t="str">
        <f t="shared" si="26"/>
        <v/>
      </c>
      <c r="N859" t="str">
        <f t="shared" si="27"/>
        <v/>
      </c>
    </row>
    <row r="860" spans="12:14" x14ac:dyDescent="0.3">
      <c r="L860" t="str">
        <f t="shared" si="26"/>
        <v/>
      </c>
      <c r="N860" t="str">
        <f t="shared" si="27"/>
        <v/>
      </c>
    </row>
    <row r="861" spans="12:14" x14ac:dyDescent="0.3">
      <c r="L861" t="str">
        <f t="shared" si="26"/>
        <v/>
      </c>
      <c r="N861" t="str">
        <f t="shared" si="27"/>
        <v/>
      </c>
    </row>
    <row r="862" spans="12:14" x14ac:dyDescent="0.3">
      <c r="L862" t="str">
        <f t="shared" si="26"/>
        <v/>
      </c>
      <c r="N862" t="str">
        <f t="shared" si="27"/>
        <v/>
      </c>
    </row>
    <row r="863" spans="12:14" x14ac:dyDescent="0.3">
      <c r="L863" t="str">
        <f t="shared" si="26"/>
        <v/>
      </c>
      <c r="N863" t="str">
        <f t="shared" si="27"/>
        <v/>
      </c>
    </row>
    <row r="864" spans="12:14" x14ac:dyDescent="0.3">
      <c r="L864" t="str">
        <f t="shared" si="26"/>
        <v/>
      </c>
      <c r="N864" t="str">
        <f t="shared" si="27"/>
        <v/>
      </c>
    </row>
    <row r="865" spans="12:14" x14ac:dyDescent="0.3">
      <c r="L865" t="str">
        <f t="shared" si="26"/>
        <v/>
      </c>
      <c r="N865" t="str">
        <f t="shared" si="27"/>
        <v/>
      </c>
    </row>
    <row r="866" spans="12:14" x14ac:dyDescent="0.3">
      <c r="L866" t="str">
        <f t="shared" si="26"/>
        <v/>
      </c>
      <c r="N866" t="str">
        <f t="shared" si="27"/>
        <v/>
      </c>
    </row>
    <row r="867" spans="12:14" x14ac:dyDescent="0.3">
      <c r="L867" t="str">
        <f t="shared" si="26"/>
        <v/>
      </c>
      <c r="N867" t="str">
        <f t="shared" si="27"/>
        <v/>
      </c>
    </row>
    <row r="868" spans="12:14" x14ac:dyDescent="0.3">
      <c r="L868" t="str">
        <f t="shared" si="26"/>
        <v/>
      </c>
      <c r="N868" t="str">
        <f t="shared" si="27"/>
        <v/>
      </c>
    </row>
    <row r="869" spans="12:14" x14ac:dyDescent="0.3">
      <c r="L869" t="str">
        <f t="shared" si="26"/>
        <v/>
      </c>
      <c r="N869" t="str">
        <f t="shared" si="27"/>
        <v/>
      </c>
    </row>
    <row r="870" spans="12:14" x14ac:dyDescent="0.3">
      <c r="L870" t="str">
        <f t="shared" si="26"/>
        <v/>
      </c>
      <c r="N870" t="str">
        <f t="shared" si="27"/>
        <v/>
      </c>
    </row>
    <row r="871" spans="12:14" x14ac:dyDescent="0.3">
      <c r="L871" t="str">
        <f t="shared" si="26"/>
        <v/>
      </c>
      <c r="N871" t="str">
        <f t="shared" si="27"/>
        <v/>
      </c>
    </row>
    <row r="872" spans="12:14" x14ac:dyDescent="0.3">
      <c r="L872" t="str">
        <f t="shared" si="26"/>
        <v/>
      </c>
      <c r="N872" t="str">
        <f t="shared" si="27"/>
        <v/>
      </c>
    </row>
    <row r="873" spans="12:14" x14ac:dyDescent="0.3">
      <c r="L873" t="str">
        <f t="shared" si="26"/>
        <v/>
      </c>
      <c r="N873" t="str">
        <f t="shared" si="27"/>
        <v/>
      </c>
    </row>
    <row r="874" spans="12:14" x14ac:dyDescent="0.3">
      <c r="L874" t="str">
        <f t="shared" si="26"/>
        <v/>
      </c>
      <c r="N874" t="str">
        <f t="shared" si="27"/>
        <v/>
      </c>
    </row>
    <row r="875" spans="12:14" x14ac:dyDescent="0.3">
      <c r="L875" t="str">
        <f t="shared" si="26"/>
        <v/>
      </c>
      <c r="N875" t="str">
        <f t="shared" si="27"/>
        <v/>
      </c>
    </row>
    <row r="876" spans="12:14" x14ac:dyDescent="0.3">
      <c r="L876" t="str">
        <f t="shared" si="26"/>
        <v/>
      </c>
      <c r="N876" t="str">
        <f t="shared" si="27"/>
        <v/>
      </c>
    </row>
    <row r="877" spans="12:14" x14ac:dyDescent="0.3">
      <c r="L877" t="str">
        <f t="shared" si="26"/>
        <v/>
      </c>
      <c r="N877" t="str">
        <f t="shared" si="27"/>
        <v/>
      </c>
    </row>
    <row r="878" spans="12:14" x14ac:dyDescent="0.3">
      <c r="L878" t="str">
        <f t="shared" si="26"/>
        <v/>
      </c>
      <c r="N878" t="str">
        <f t="shared" si="27"/>
        <v/>
      </c>
    </row>
    <row r="879" spans="12:14" x14ac:dyDescent="0.3">
      <c r="L879" t="str">
        <f t="shared" si="26"/>
        <v/>
      </c>
      <c r="N879" t="str">
        <f t="shared" si="27"/>
        <v/>
      </c>
    </row>
    <row r="880" spans="12:14" x14ac:dyDescent="0.3">
      <c r="L880" t="str">
        <f t="shared" si="26"/>
        <v/>
      </c>
      <c r="N880" t="str">
        <f t="shared" si="27"/>
        <v/>
      </c>
    </row>
    <row r="881" spans="12:14" x14ac:dyDescent="0.3">
      <c r="L881" t="str">
        <f t="shared" si="26"/>
        <v/>
      </c>
      <c r="N881" t="str">
        <f t="shared" si="27"/>
        <v/>
      </c>
    </row>
    <row r="882" spans="12:14" x14ac:dyDescent="0.3">
      <c r="L882" t="str">
        <f t="shared" si="26"/>
        <v/>
      </c>
      <c r="N882" t="str">
        <f t="shared" si="27"/>
        <v/>
      </c>
    </row>
    <row r="883" spans="12:14" x14ac:dyDescent="0.3">
      <c r="L883" t="str">
        <f t="shared" si="26"/>
        <v/>
      </c>
      <c r="N883" t="str">
        <f t="shared" si="27"/>
        <v/>
      </c>
    </row>
    <row r="884" spans="12:14" x14ac:dyDescent="0.3">
      <c r="L884" t="str">
        <f t="shared" si="26"/>
        <v/>
      </c>
      <c r="N884" t="str">
        <f t="shared" si="27"/>
        <v/>
      </c>
    </row>
    <row r="885" spans="12:14" x14ac:dyDescent="0.3">
      <c r="L885" t="str">
        <f t="shared" si="26"/>
        <v/>
      </c>
      <c r="N885" t="str">
        <f t="shared" si="27"/>
        <v/>
      </c>
    </row>
    <row r="886" spans="12:14" x14ac:dyDescent="0.3">
      <c r="L886" t="str">
        <f t="shared" si="26"/>
        <v/>
      </c>
      <c r="N886" t="str">
        <f t="shared" si="27"/>
        <v/>
      </c>
    </row>
    <row r="887" spans="12:14" x14ac:dyDescent="0.3">
      <c r="L887" t="str">
        <f t="shared" si="26"/>
        <v/>
      </c>
      <c r="N887" t="str">
        <f t="shared" si="27"/>
        <v/>
      </c>
    </row>
    <row r="888" spans="12:14" x14ac:dyDescent="0.3">
      <c r="L888" t="str">
        <f t="shared" si="26"/>
        <v/>
      </c>
      <c r="N888" t="str">
        <f t="shared" si="27"/>
        <v/>
      </c>
    </row>
    <row r="889" spans="12:14" x14ac:dyDescent="0.3">
      <c r="L889" t="str">
        <f t="shared" si="26"/>
        <v/>
      </c>
      <c r="N889" t="str">
        <f t="shared" si="27"/>
        <v/>
      </c>
    </row>
    <row r="890" spans="12:14" x14ac:dyDescent="0.3">
      <c r="L890" t="str">
        <f t="shared" si="26"/>
        <v/>
      </c>
      <c r="N890" t="str">
        <f t="shared" si="27"/>
        <v/>
      </c>
    </row>
    <row r="891" spans="12:14" x14ac:dyDescent="0.3">
      <c r="L891" t="str">
        <f t="shared" si="26"/>
        <v/>
      </c>
      <c r="N891" t="str">
        <f t="shared" si="27"/>
        <v/>
      </c>
    </row>
    <row r="892" spans="12:14" x14ac:dyDescent="0.3">
      <c r="L892" t="str">
        <f t="shared" si="26"/>
        <v/>
      </c>
      <c r="N892" t="str">
        <f t="shared" si="27"/>
        <v/>
      </c>
    </row>
    <row r="893" spans="12:14" x14ac:dyDescent="0.3">
      <c r="L893" t="str">
        <f t="shared" si="26"/>
        <v/>
      </c>
      <c r="N893" t="str">
        <f t="shared" si="27"/>
        <v/>
      </c>
    </row>
    <row r="894" spans="12:14" x14ac:dyDescent="0.3">
      <c r="L894" t="str">
        <f t="shared" si="26"/>
        <v/>
      </c>
      <c r="N894" t="str">
        <f t="shared" si="27"/>
        <v/>
      </c>
    </row>
    <row r="895" spans="12:14" x14ac:dyDescent="0.3">
      <c r="L895" t="str">
        <f t="shared" si="26"/>
        <v/>
      </c>
      <c r="N895" t="str">
        <f t="shared" si="27"/>
        <v/>
      </c>
    </row>
    <row r="896" spans="12:14" x14ac:dyDescent="0.3">
      <c r="L896" t="str">
        <f t="shared" si="26"/>
        <v/>
      </c>
      <c r="N896" t="str">
        <f t="shared" si="27"/>
        <v/>
      </c>
    </row>
    <row r="897" spans="12:14" x14ac:dyDescent="0.3">
      <c r="L897" t="str">
        <f t="shared" ref="L897:L960" si="28">IF(A897="","",IF(ISNUMBER(--LEFT(A897,FIND(" - ",A897&amp;" - ")-1)),LEFT(A897,FIND(" - ",A897&amp;" - ")-1),TRIM(A897)))</f>
        <v/>
      </c>
      <c r="N897" t="str">
        <f t="shared" ref="N897:N960" si="29">IF(L897="","",IF(ISNUMBER(INDEX(A897:H897,$P$1)),INDEX(A897:H897,$P$1),IFERROR(_xlfn.NUMBERVALUE(INDEX(A897:H897,$P$1),".",","),0)))</f>
        <v/>
      </c>
    </row>
    <row r="898" spans="12:14" x14ac:dyDescent="0.3">
      <c r="L898" t="str">
        <f t="shared" si="28"/>
        <v/>
      </c>
      <c r="N898" t="str">
        <f t="shared" si="29"/>
        <v/>
      </c>
    </row>
    <row r="899" spans="12:14" x14ac:dyDescent="0.3">
      <c r="L899" t="str">
        <f t="shared" si="28"/>
        <v/>
      </c>
      <c r="N899" t="str">
        <f t="shared" si="29"/>
        <v/>
      </c>
    </row>
    <row r="900" spans="12:14" x14ac:dyDescent="0.3">
      <c r="L900" t="str">
        <f t="shared" si="28"/>
        <v/>
      </c>
      <c r="N900" t="str">
        <f t="shared" si="29"/>
        <v/>
      </c>
    </row>
    <row r="901" spans="12:14" x14ac:dyDescent="0.3">
      <c r="L901" t="str">
        <f t="shared" si="28"/>
        <v/>
      </c>
      <c r="N901" t="str">
        <f t="shared" si="29"/>
        <v/>
      </c>
    </row>
    <row r="902" spans="12:14" x14ac:dyDescent="0.3">
      <c r="L902" t="str">
        <f t="shared" si="28"/>
        <v/>
      </c>
      <c r="N902" t="str">
        <f t="shared" si="29"/>
        <v/>
      </c>
    </row>
    <row r="903" spans="12:14" x14ac:dyDescent="0.3">
      <c r="L903" t="str">
        <f t="shared" si="28"/>
        <v/>
      </c>
      <c r="N903" t="str">
        <f t="shared" si="29"/>
        <v/>
      </c>
    </row>
    <row r="904" spans="12:14" x14ac:dyDescent="0.3">
      <c r="L904" t="str">
        <f t="shared" si="28"/>
        <v/>
      </c>
      <c r="N904" t="str">
        <f t="shared" si="29"/>
        <v/>
      </c>
    </row>
    <row r="905" spans="12:14" x14ac:dyDescent="0.3">
      <c r="L905" t="str">
        <f t="shared" si="28"/>
        <v/>
      </c>
      <c r="N905" t="str">
        <f t="shared" si="29"/>
        <v/>
      </c>
    </row>
    <row r="906" spans="12:14" x14ac:dyDescent="0.3">
      <c r="L906" t="str">
        <f t="shared" si="28"/>
        <v/>
      </c>
      <c r="N906" t="str">
        <f t="shared" si="29"/>
        <v/>
      </c>
    </row>
    <row r="907" spans="12:14" x14ac:dyDescent="0.3">
      <c r="L907" t="str">
        <f t="shared" si="28"/>
        <v/>
      </c>
      <c r="N907" t="str">
        <f t="shared" si="29"/>
        <v/>
      </c>
    </row>
    <row r="908" spans="12:14" x14ac:dyDescent="0.3">
      <c r="L908" t="str">
        <f t="shared" si="28"/>
        <v/>
      </c>
      <c r="N908" t="str">
        <f t="shared" si="29"/>
        <v/>
      </c>
    </row>
    <row r="909" spans="12:14" x14ac:dyDescent="0.3">
      <c r="L909" t="str">
        <f t="shared" si="28"/>
        <v/>
      </c>
      <c r="N909" t="str">
        <f t="shared" si="29"/>
        <v/>
      </c>
    </row>
    <row r="910" spans="12:14" x14ac:dyDescent="0.3">
      <c r="L910" t="str">
        <f t="shared" si="28"/>
        <v/>
      </c>
      <c r="N910" t="str">
        <f t="shared" si="29"/>
        <v/>
      </c>
    </row>
    <row r="911" spans="12:14" x14ac:dyDescent="0.3">
      <c r="L911" t="str">
        <f t="shared" si="28"/>
        <v/>
      </c>
      <c r="N911" t="str">
        <f t="shared" si="29"/>
        <v/>
      </c>
    </row>
    <row r="912" spans="12:14" x14ac:dyDescent="0.3">
      <c r="L912" t="str">
        <f t="shared" si="28"/>
        <v/>
      </c>
      <c r="N912" t="str">
        <f t="shared" si="29"/>
        <v/>
      </c>
    </row>
    <row r="913" spans="12:14" x14ac:dyDescent="0.3">
      <c r="L913" t="str">
        <f t="shared" si="28"/>
        <v/>
      </c>
      <c r="N913" t="str">
        <f t="shared" si="29"/>
        <v/>
      </c>
    </row>
    <row r="914" spans="12:14" x14ac:dyDescent="0.3">
      <c r="L914" t="str">
        <f t="shared" si="28"/>
        <v/>
      </c>
      <c r="N914" t="str">
        <f t="shared" si="29"/>
        <v/>
      </c>
    </row>
    <row r="915" spans="12:14" x14ac:dyDescent="0.3">
      <c r="L915" t="str">
        <f t="shared" si="28"/>
        <v/>
      </c>
      <c r="N915" t="str">
        <f t="shared" si="29"/>
        <v/>
      </c>
    </row>
    <row r="916" spans="12:14" x14ac:dyDescent="0.3">
      <c r="L916" t="str">
        <f t="shared" si="28"/>
        <v/>
      </c>
      <c r="N916" t="str">
        <f t="shared" si="29"/>
        <v/>
      </c>
    </row>
    <row r="917" spans="12:14" x14ac:dyDescent="0.3">
      <c r="L917" t="str">
        <f t="shared" si="28"/>
        <v/>
      </c>
      <c r="N917" t="str">
        <f t="shared" si="29"/>
        <v/>
      </c>
    </row>
    <row r="918" spans="12:14" x14ac:dyDescent="0.3">
      <c r="L918" t="str">
        <f t="shared" si="28"/>
        <v/>
      </c>
      <c r="N918" t="str">
        <f t="shared" si="29"/>
        <v/>
      </c>
    </row>
    <row r="919" spans="12:14" x14ac:dyDescent="0.3">
      <c r="L919" t="str">
        <f t="shared" si="28"/>
        <v/>
      </c>
      <c r="N919" t="str">
        <f t="shared" si="29"/>
        <v/>
      </c>
    </row>
    <row r="920" spans="12:14" x14ac:dyDescent="0.3">
      <c r="L920" t="str">
        <f t="shared" si="28"/>
        <v/>
      </c>
      <c r="N920" t="str">
        <f t="shared" si="29"/>
        <v/>
      </c>
    </row>
    <row r="921" spans="12:14" x14ac:dyDescent="0.3">
      <c r="L921" t="str">
        <f t="shared" si="28"/>
        <v/>
      </c>
      <c r="N921" t="str">
        <f t="shared" si="29"/>
        <v/>
      </c>
    </row>
    <row r="922" spans="12:14" x14ac:dyDescent="0.3">
      <c r="L922" t="str">
        <f t="shared" si="28"/>
        <v/>
      </c>
      <c r="N922" t="str">
        <f t="shared" si="29"/>
        <v/>
      </c>
    </row>
    <row r="923" spans="12:14" x14ac:dyDescent="0.3">
      <c r="L923" t="str">
        <f t="shared" si="28"/>
        <v/>
      </c>
      <c r="N923" t="str">
        <f t="shared" si="29"/>
        <v/>
      </c>
    </row>
    <row r="924" spans="12:14" x14ac:dyDescent="0.3">
      <c r="L924" t="str">
        <f t="shared" si="28"/>
        <v/>
      </c>
      <c r="N924" t="str">
        <f t="shared" si="29"/>
        <v/>
      </c>
    </row>
    <row r="925" spans="12:14" x14ac:dyDescent="0.3">
      <c r="L925" t="str">
        <f t="shared" si="28"/>
        <v/>
      </c>
      <c r="N925" t="str">
        <f t="shared" si="29"/>
        <v/>
      </c>
    </row>
    <row r="926" spans="12:14" x14ac:dyDescent="0.3">
      <c r="L926" t="str">
        <f t="shared" si="28"/>
        <v/>
      </c>
      <c r="N926" t="str">
        <f t="shared" si="29"/>
        <v/>
      </c>
    </row>
    <row r="927" spans="12:14" x14ac:dyDescent="0.3">
      <c r="L927" t="str">
        <f t="shared" si="28"/>
        <v/>
      </c>
      <c r="N927" t="str">
        <f t="shared" si="29"/>
        <v/>
      </c>
    </row>
    <row r="928" spans="12:14" x14ac:dyDescent="0.3">
      <c r="L928" t="str">
        <f t="shared" si="28"/>
        <v/>
      </c>
      <c r="N928" t="str">
        <f t="shared" si="29"/>
        <v/>
      </c>
    </row>
    <row r="929" spans="12:14" x14ac:dyDescent="0.3">
      <c r="L929" t="str">
        <f t="shared" si="28"/>
        <v/>
      </c>
      <c r="N929" t="str">
        <f t="shared" si="29"/>
        <v/>
      </c>
    </row>
    <row r="930" spans="12:14" x14ac:dyDescent="0.3">
      <c r="L930" t="str">
        <f t="shared" si="28"/>
        <v/>
      </c>
      <c r="N930" t="str">
        <f t="shared" si="29"/>
        <v/>
      </c>
    </row>
    <row r="931" spans="12:14" x14ac:dyDescent="0.3">
      <c r="L931" t="str">
        <f t="shared" si="28"/>
        <v/>
      </c>
      <c r="N931" t="str">
        <f t="shared" si="29"/>
        <v/>
      </c>
    </row>
    <row r="932" spans="12:14" x14ac:dyDescent="0.3">
      <c r="L932" t="str">
        <f t="shared" si="28"/>
        <v/>
      </c>
      <c r="N932" t="str">
        <f t="shared" si="29"/>
        <v/>
      </c>
    </row>
    <row r="933" spans="12:14" x14ac:dyDescent="0.3">
      <c r="L933" t="str">
        <f t="shared" si="28"/>
        <v/>
      </c>
      <c r="N933" t="str">
        <f t="shared" si="29"/>
        <v/>
      </c>
    </row>
    <row r="934" spans="12:14" x14ac:dyDescent="0.3">
      <c r="L934" t="str">
        <f t="shared" si="28"/>
        <v/>
      </c>
      <c r="N934" t="str">
        <f t="shared" si="29"/>
        <v/>
      </c>
    </row>
    <row r="935" spans="12:14" x14ac:dyDescent="0.3">
      <c r="L935" t="str">
        <f t="shared" si="28"/>
        <v/>
      </c>
      <c r="N935" t="str">
        <f t="shared" si="29"/>
        <v/>
      </c>
    </row>
    <row r="936" spans="12:14" x14ac:dyDescent="0.3">
      <c r="L936" t="str">
        <f t="shared" si="28"/>
        <v/>
      </c>
      <c r="N936" t="str">
        <f t="shared" si="29"/>
        <v/>
      </c>
    </row>
    <row r="937" spans="12:14" x14ac:dyDescent="0.3">
      <c r="L937" t="str">
        <f t="shared" si="28"/>
        <v/>
      </c>
      <c r="N937" t="str">
        <f t="shared" si="29"/>
        <v/>
      </c>
    </row>
    <row r="938" spans="12:14" x14ac:dyDescent="0.3">
      <c r="L938" t="str">
        <f t="shared" si="28"/>
        <v/>
      </c>
      <c r="N938" t="str">
        <f t="shared" si="29"/>
        <v/>
      </c>
    </row>
    <row r="939" spans="12:14" x14ac:dyDescent="0.3">
      <c r="L939" t="str">
        <f t="shared" si="28"/>
        <v/>
      </c>
      <c r="N939" t="str">
        <f t="shared" si="29"/>
        <v/>
      </c>
    </row>
    <row r="940" spans="12:14" x14ac:dyDescent="0.3">
      <c r="L940" t="str">
        <f t="shared" si="28"/>
        <v/>
      </c>
      <c r="N940" t="str">
        <f t="shared" si="29"/>
        <v/>
      </c>
    </row>
    <row r="941" spans="12:14" x14ac:dyDescent="0.3">
      <c r="L941" t="str">
        <f t="shared" si="28"/>
        <v/>
      </c>
      <c r="N941" t="str">
        <f t="shared" si="29"/>
        <v/>
      </c>
    </row>
    <row r="942" spans="12:14" x14ac:dyDescent="0.3">
      <c r="L942" t="str">
        <f t="shared" si="28"/>
        <v/>
      </c>
      <c r="N942" t="str">
        <f t="shared" si="29"/>
        <v/>
      </c>
    </row>
    <row r="943" spans="12:14" x14ac:dyDescent="0.3">
      <c r="L943" t="str">
        <f t="shared" si="28"/>
        <v/>
      </c>
      <c r="N943" t="str">
        <f t="shared" si="29"/>
        <v/>
      </c>
    </row>
    <row r="944" spans="12:14" x14ac:dyDescent="0.3">
      <c r="L944" t="str">
        <f t="shared" si="28"/>
        <v/>
      </c>
      <c r="N944" t="str">
        <f t="shared" si="29"/>
        <v/>
      </c>
    </row>
    <row r="945" spans="12:14" x14ac:dyDescent="0.3">
      <c r="L945" t="str">
        <f t="shared" si="28"/>
        <v/>
      </c>
      <c r="N945" t="str">
        <f t="shared" si="29"/>
        <v/>
      </c>
    </row>
    <row r="946" spans="12:14" x14ac:dyDescent="0.3">
      <c r="L946" t="str">
        <f t="shared" si="28"/>
        <v/>
      </c>
      <c r="N946" t="str">
        <f t="shared" si="29"/>
        <v/>
      </c>
    </row>
    <row r="947" spans="12:14" x14ac:dyDescent="0.3">
      <c r="L947" t="str">
        <f t="shared" si="28"/>
        <v/>
      </c>
      <c r="N947" t="str">
        <f t="shared" si="29"/>
        <v/>
      </c>
    </row>
    <row r="948" spans="12:14" x14ac:dyDescent="0.3">
      <c r="L948" t="str">
        <f t="shared" si="28"/>
        <v/>
      </c>
      <c r="N948" t="str">
        <f t="shared" si="29"/>
        <v/>
      </c>
    </row>
    <row r="949" spans="12:14" x14ac:dyDescent="0.3">
      <c r="L949" t="str">
        <f t="shared" si="28"/>
        <v/>
      </c>
      <c r="N949" t="str">
        <f t="shared" si="29"/>
        <v/>
      </c>
    </row>
    <row r="950" spans="12:14" x14ac:dyDescent="0.3">
      <c r="L950" t="str">
        <f t="shared" si="28"/>
        <v/>
      </c>
      <c r="N950" t="str">
        <f t="shared" si="29"/>
        <v/>
      </c>
    </row>
    <row r="951" spans="12:14" x14ac:dyDescent="0.3">
      <c r="L951" t="str">
        <f t="shared" si="28"/>
        <v/>
      </c>
      <c r="N951" t="str">
        <f t="shared" si="29"/>
        <v/>
      </c>
    </row>
    <row r="952" spans="12:14" x14ac:dyDescent="0.3">
      <c r="L952" t="str">
        <f t="shared" si="28"/>
        <v/>
      </c>
      <c r="N952" t="str">
        <f t="shared" si="29"/>
        <v/>
      </c>
    </row>
    <row r="953" spans="12:14" x14ac:dyDescent="0.3">
      <c r="L953" t="str">
        <f t="shared" si="28"/>
        <v/>
      </c>
      <c r="N953" t="str">
        <f t="shared" si="29"/>
        <v/>
      </c>
    </row>
    <row r="954" spans="12:14" x14ac:dyDescent="0.3">
      <c r="L954" t="str">
        <f t="shared" si="28"/>
        <v/>
      </c>
      <c r="N954" t="str">
        <f t="shared" si="29"/>
        <v/>
      </c>
    </row>
    <row r="955" spans="12:14" x14ac:dyDescent="0.3">
      <c r="L955" t="str">
        <f t="shared" si="28"/>
        <v/>
      </c>
      <c r="N955" t="str">
        <f t="shared" si="29"/>
        <v/>
      </c>
    </row>
    <row r="956" spans="12:14" x14ac:dyDescent="0.3">
      <c r="L956" t="str">
        <f t="shared" si="28"/>
        <v/>
      </c>
      <c r="N956" t="str">
        <f t="shared" si="29"/>
        <v/>
      </c>
    </row>
    <row r="957" spans="12:14" x14ac:dyDescent="0.3">
      <c r="L957" t="str">
        <f t="shared" si="28"/>
        <v/>
      </c>
      <c r="N957" t="str">
        <f t="shared" si="29"/>
        <v/>
      </c>
    </row>
    <row r="958" spans="12:14" x14ac:dyDescent="0.3">
      <c r="L958" t="str">
        <f t="shared" si="28"/>
        <v/>
      </c>
      <c r="N958" t="str">
        <f t="shared" si="29"/>
        <v/>
      </c>
    </row>
    <row r="959" spans="12:14" x14ac:dyDescent="0.3">
      <c r="L959" t="str">
        <f t="shared" si="28"/>
        <v/>
      </c>
      <c r="N959" t="str">
        <f t="shared" si="29"/>
        <v/>
      </c>
    </row>
    <row r="960" spans="12:14" x14ac:dyDescent="0.3">
      <c r="L960" t="str">
        <f t="shared" si="28"/>
        <v/>
      </c>
      <c r="N960" t="str">
        <f t="shared" si="29"/>
        <v/>
      </c>
    </row>
    <row r="961" spans="12:14" x14ac:dyDescent="0.3">
      <c r="L961" t="str">
        <f t="shared" ref="L961:L1024" si="30">IF(A961="","",IF(ISNUMBER(--LEFT(A961,FIND(" - ",A961&amp;" - ")-1)),LEFT(A961,FIND(" - ",A961&amp;" - ")-1),TRIM(A961)))</f>
        <v/>
      </c>
      <c r="N961" t="str">
        <f t="shared" ref="N961:N1024" si="31">IF(L961="","",IF(ISNUMBER(INDEX(A961:H961,$P$1)),INDEX(A961:H961,$P$1),IFERROR(_xlfn.NUMBERVALUE(INDEX(A961:H961,$P$1),".",","),0)))</f>
        <v/>
      </c>
    </row>
    <row r="962" spans="12:14" x14ac:dyDescent="0.3">
      <c r="L962" t="str">
        <f t="shared" si="30"/>
        <v/>
      </c>
      <c r="N962" t="str">
        <f t="shared" si="31"/>
        <v/>
      </c>
    </row>
    <row r="963" spans="12:14" x14ac:dyDescent="0.3">
      <c r="L963" t="str">
        <f t="shared" si="30"/>
        <v/>
      </c>
      <c r="N963" t="str">
        <f t="shared" si="31"/>
        <v/>
      </c>
    </row>
    <row r="964" spans="12:14" x14ac:dyDescent="0.3">
      <c r="L964" t="str">
        <f t="shared" si="30"/>
        <v/>
      </c>
      <c r="N964" t="str">
        <f t="shared" si="31"/>
        <v/>
      </c>
    </row>
    <row r="965" spans="12:14" x14ac:dyDescent="0.3">
      <c r="L965" t="str">
        <f t="shared" si="30"/>
        <v/>
      </c>
      <c r="N965" t="str">
        <f t="shared" si="31"/>
        <v/>
      </c>
    </row>
    <row r="966" spans="12:14" x14ac:dyDescent="0.3">
      <c r="L966" t="str">
        <f t="shared" si="30"/>
        <v/>
      </c>
      <c r="N966" t="str">
        <f t="shared" si="31"/>
        <v/>
      </c>
    </row>
    <row r="967" spans="12:14" x14ac:dyDescent="0.3">
      <c r="L967" t="str">
        <f t="shared" si="30"/>
        <v/>
      </c>
      <c r="N967" t="str">
        <f t="shared" si="31"/>
        <v/>
      </c>
    </row>
    <row r="968" spans="12:14" x14ac:dyDescent="0.3">
      <c r="L968" t="str">
        <f t="shared" si="30"/>
        <v/>
      </c>
      <c r="N968" t="str">
        <f t="shared" si="31"/>
        <v/>
      </c>
    </row>
    <row r="969" spans="12:14" x14ac:dyDescent="0.3">
      <c r="L969" t="str">
        <f t="shared" si="30"/>
        <v/>
      </c>
      <c r="N969" t="str">
        <f t="shared" si="31"/>
        <v/>
      </c>
    </row>
    <row r="970" spans="12:14" x14ac:dyDescent="0.3">
      <c r="L970" t="str">
        <f t="shared" si="30"/>
        <v/>
      </c>
      <c r="N970" t="str">
        <f t="shared" si="31"/>
        <v/>
      </c>
    </row>
    <row r="971" spans="12:14" x14ac:dyDescent="0.3">
      <c r="L971" t="str">
        <f t="shared" si="30"/>
        <v/>
      </c>
      <c r="N971" t="str">
        <f t="shared" si="31"/>
        <v/>
      </c>
    </row>
    <row r="972" spans="12:14" x14ac:dyDescent="0.3">
      <c r="L972" t="str">
        <f t="shared" si="30"/>
        <v/>
      </c>
      <c r="N972" t="str">
        <f t="shared" si="31"/>
        <v/>
      </c>
    </row>
    <row r="973" spans="12:14" x14ac:dyDescent="0.3">
      <c r="L973" t="str">
        <f t="shared" si="30"/>
        <v/>
      </c>
      <c r="N973" t="str">
        <f t="shared" si="31"/>
        <v/>
      </c>
    </row>
    <row r="974" spans="12:14" x14ac:dyDescent="0.3">
      <c r="L974" t="str">
        <f t="shared" si="30"/>
        <v/>
      </c>
      <c r="N974" t="str">
        <f t="shared" si="31"/>
        <v/>
      </c>
    </row>
    <row r="975" spans="12:14" x14ac:dyDescent="0.3">
      <c r="L975" t="str">
        <f t="shared" si="30"/>
        <v/>
      </c>
      <c r="N975" t="str">
        <f t="shared" si="31"/>
        <v/>
      </c>
    </row>
    <row r="976" spans="12:14" x14ac:dyDescent="0.3">
      <c r="L976" t="str">
        <f t="shared" si="30"/>
        <v/>
      </c>
      <c r="N976" t="str">
        <f t="shared" si="31"/>
        <v/>
      </c>
    </row>
    <row r="977" spans="12:14" x14ac:dyDescent="0.3">
      <c r="L977" t="str">
        <f t="shared" si="30"/>
        <v/>
      </c>
      <c r="N977" t="str">
        <f t="shared" si="31"/>
        <v/>
      </c>
    </row>
    <row r="978" spans="12:14" x14ac:dyDescent="0.3">
      <c r="L978" t="str">
        <f t="shared" si="30"/>
        <v/>
      </c>
      <c r="N978" t="str">
        <f t="shared" si="31"/>
        <v/>
      </c>
    </row>
    <row r="979" spans="12:14" x14ac:dyDescent="0.3">
      <c r="L979" t="str">
        <f t="shared" si="30"/>
        <v/>
      </c>
      <c r="N979" t="str">
        <f t="shared" si="31"/>
        <v/>
      </c>
    </row>
    <row r="980" spans="12:14" x14ac:dyDescent="0.3">
      <c r="L980" t="str">
        <f t="shared" si="30"/>
        <v/>
      </c>
      <c r="N980" t="str">
        <f t="shared" si="31"/>
        <v/>
      </c>
    </row>
    <row r="981" spans="12:14" x14ac:dyDescent="0.3">
      <c r="L981" t="str">
        <f t="shared" si="30"/>
        <v/>
      </c>
      <c r="N981" t="str">
        <f t="shared" si="31"/>
        <v/>
      </c>
    </row>
    <row r="982" spans="12:14" x14ac:dyDescent="0.3">
      <c r="L982" t="str">
        <f t="shared" si="30"/>
        <v/>
      </c>
      <c r="N982" t="str">
        <f t="shared" si="31"/>
        <v/>
      </c>
    </row>
    <row r="983" spans="12:14" x14ac:dyDescent="0.3">
      <c r="L983" t="str">
        <f t="shared" si="30"/>
        <v/>
      </c>
      <c r="N983" t="str">
        <f t="shared" si="31"/>
        <v/>
      </c>
    </row>
    <row r="984" spans="12:14" x14ac:dyDescent="0.3">
      <c r="L984" t="str">
        <f t="shared" si="30"/>
        <v/>
      </c>
      <c r="N984" t="str">
        <f t="shared" si="31"/>
        <v/>
      </c>
    </row>
    <row r="985" spans="12:14" x14ac:dyDescent="0.3">
      <c r="L985" t="str">
        <f t="shared" si="30"/>
        <v/>
      </c>
      <c r="N985" t="str">
        <f t="shared" si="31"/>
        <v/>
      </c>
    </row>
    <row r="986" spans="12:14" x14ac:dyDescent="0.3">
      <c r="L986" t="str">
        <f t="shared" si="30"/>
        <v/>
      </c>
      <c r="N986" t="str">
        <f t="shared" si="31"/>
        <v/>
      </c>
    </row>
    <row r="987" spans="12:14" x14ac:dyDescent="0.3">
      <c r="L987" t="str">
        <f t="shared" si="30"/>
        <v/>
      </c>
      <c r="N987" t="str">
        <f t="shared" si="31"/>
        <v/>
      </c>
    </row>
    <row r="988" spans="12:14" x14ac:dyDescent="0.3">
      <c r="L988" t="str">
        <f t="shared" si="30"/>
        <v/>
      </c>
      <c r="N988" t="str">
        <f t="shared" si="31"/>
        <v/>
      </c>
    </row>
    <row r="989" spans="12:14" x14ac:dyDescent="0.3">
      <c r="L989" t="str">
        <f t="shared" si="30"/>
        <v/>
      </c>
      <c r="N989" t="str">
        <f t="shared" si="31"/>
        <v/>
      </c>
    </row>
    <row r="990" spans="12:14" x14ac:dyDescent="0.3">
      <c r="L990" t="str">
        <f t="shared" si="30"/>
        <v/>
      </c>
      <c r="N990" t="str">
        <f t="shared" si="31"/>
        <v/>
      </c>
    </row>
    <row r="991" spans="12:14" x14ac:dyDescent="0.3">
      <c r="L991" t="str">
        <f t="shared" si="30"/>
        <v/>
      </c>
      <c r="N991" t="str">
        <f t="shared" si="31"/>
        <v/>
      </c>
    </row>
    <row r="992" spans="12:14" x14ac:dyDescent="0.3">
      <c r="L992" t="str">
        <f t="shared" si="30"/>
        <v/>
      </c>
      <c r="N992" t="str">
        <f t="shared" si="31"/>
        <v/>
      </c>
    </row>
    <row r="993" spans="12:14" x14ac:dyDescent="0.3">
      <c r="L993" t="str">
        <f t="shared" si="30"/>
        <v/>
      </c>
      <c r="N993" t="str">
        <f t="shared" si="31"/>
        <v/>
      </c>
    </row>
    <row r="994" spans="12:14" x14ac:dyDescent="0.3">
      <c r="L994" t="str">
        <f t="shared" si="30"/>
        <v/>
      </c>
      <c r="N994" t="str">
        <f t="shared" si="31"/>
        <v/>
      </c>
    </row>
    <row r="995" spans="12:14" x14ac:dyDescent="0.3">
      <c r="L995" t="str">
        <f t="shared" si="30"/>
        <v/>
      </c>
      <c r="N995" t="str">
        <f t="shared" si="31"/>
        <v/>
      </c>
    </row>
    <row r="996" spans="12:14" x14ac:dyDescent="0.3">
      <c r="L996" t="str">
        <f t="shared" si="30"/>
        <v/>
      </c>
      <c r="N996" t="str">
        <f t="shared" si="31"/>
        <v/>
      </c>
    </row>
    <row r="997" spans="12:14" x14ac:dyDescent="0.3">
      <c r="L997" t="str">
        <f t="shared" si="30"/>
        <v/>
      </c>
      <c r="N997" t="str">
        <f t="shared" si="31"/>
        <v/>
      </c>
    </row>
    <row r="998" spans="12:14" x14ac:dyDescent="0.3">
      <c r="L998" t="str">
        <f t="shared" si="30"/>
        <v/>
      </c>
      <c r="N998" t="str">
        <f t="shared" si="31"/>
        <v/>
      </c>
    </row>
    <row r="999" spans="12:14" x14ac:dyDescent="0.3">
      <c r="L999" t="str">
        <f t="shared" si="30"/>
        <v/>
      </c>
      <c r="N999" t="str">
        <f t="shared" si="31"/>
        <v/>
      </c>
    </row>
    <row r="1000" spans="12:14" x14ac:dyDescent="0.3">
      <c r="L1000" t="str">
        <f t="shared" si="30"/>
        <v/>
      </c>
      <c r="N1000" t="str">
        <f t="shared" si="31"/>
        <v/>
      </c>
    </row>
    <row r="1001" spans="12:14" x14ac:dyDescent="0.3">
      <c r="L1001" t="str">
        <f t="shared" si="30"/>
        <v/>
      </c>
      <c r="N1001" t="str">
        <f t="shared" si="31"/>
        <v/>
      </c>
    </row>
    <row r="1002" spans="12:14" x14ac:dyDescent="0.3">
      <c r="L1002" t="str">
        <f t="shared" si="30"/>
        <v/>
      </c>
      <c r="N1002" t="str">
        <f t="shared" si="31"/>
        <v/>
      </c>
    </row>
    <row r="1003" spans="12:14" x14ac:dyDescent="0.3">
      <c r="L1003" t="str">
        <f t="shared" si="30"/>
        <v/>
      </c>
      <c r="N1003" t="str">
        <f t="shared" si="31"/>
        <v/>
      </c>
    </row>
    <row r="1004" spans="12:14" x14ac:dyDescent="0.3">
      <c r="L1004" t="str">
        <f t="shared" si="30"/>
        <v/>
      </c>
      <c r="N1004" t="str">
        <f t="shared" si="31"/>
        <v/>
      </c>
    </row>
    <row r="1005" spans="12:14" x14ac:dyDescent="0.3">
      <c r="L1005" t="str">
        <f t="shared" si="30"/>
        <v/>
      </c>
      <c r="N1005" t="str">
        <f t="shared" si="31"/>
        <v/>
      </c>
    </row>
    <row r="1006" spans="12:14" x14ac:dyDescent="0.3">
      <c r="L1006" t="str">
        <f t="shared" si="30"/>
        <v/>
      </c>
      <c r="N1006" t="str">
        <f t="shared" si="31"/>
        <v/>
      </c>
    </row>
    <row r="1007" spans="12:14" x14ac:dyDescent="0.3">
      <c r="L1007" t="str">
        <f t="shared" si="30"/>
        <v/>
      </c>
      <c r="N1007" t="str">
        <f t="shared" si="31"/>
        <v/>
      </c>
    </row>
    <row r="1008" spans="12:14" x14ac:dyDescent="0.3">
      <c r="L1008" t="str">
        <f t="shared" si="30"/>
        <v/>
      </c>
      <c r="N1008" t="str">
        <f t="shared" si="31"/>
        <v/>
      </c>
    </row>
    <row r="1009" spans="12:14" x14ac:dyDescent="0.3">
      <c r="L1009" t="str">
        <f t="shared" si="30"/>
        <v/>
      </c>
      <c r="N1009" t="str">
        <f t="shared" si="31"/>
        <v/>
      </c>
    </row>
    <row r="1010" spans="12:14" x14ac:dyDescent="0.3">
      <c r="L1010" t="str">
        <f t="shared" si="30"/>
        <v/>
      </c>
      <c r="N1010" t="str">
        <f t="shared" si="31"/>
        <v/>
      </c>
    </row>
    <row r="1011" spans="12:14" x14ac:dyDescent="0.3">
      <c r="L1011" t="str">
        <f t="shared" si="30"/>
        <v/>
      </c>
      <c r="N1011" t="str">
        <f t="shared" si="31"/>
        <v/>
      </c>
    </row>
    <row r="1012" spans="12:14" x14ac:dyDescent="0.3">
      <c r="L1012" t="str">
        <f t="shared" si="30"/>
        <v/>
      </c>
      <c r="N1012" t="str">
        <f t="shared" si="31"/>
        <v/>
      </c>
    </row>
    <row r="1013" spans="12:14" x14ac:dyDescent="0.3">
      <c r="L1013" t="str">
        <f t="shared" si="30"/>
        <v/>
      </c>
      <c r="N1013" t="str">
        <f t="shared" si="31"/>
        <v/>
      </c>
    </row>
    <row r="1014" spans="12:14" x14ac:dyDescent="0.3">
      <c r="L1014" t="str">
        <f t="shared" si="30"/>
        <v/>
      </c>
      <c r="N1014" t="str">
        <f t="shared" si="31"/>
        <v/>
      </c>
    </row>
    <row r="1015" spans="12:14" x14ac:dyDescent="0.3">
      <c r="L1015" t="str">
        <f t="shared" si="30"/>
        <v/>
      </c>
      <c r="N1015" t="str">
        <f t="shared" si="31"/>
        <v/>
      </c>
    </row>
    <row r="1016" spans="12:14" x14ac:dyDescent="0.3">
      <c r="L1016" t="str">
        <f t="shared" si="30"/>
        <v/>
      </c>
      <c r="N1016" t="str">
        <f t="shared" si="31"/>
        <v/>
      </c>
    </row>
    <row r="1017" spans="12:14" x14ac:dyDescent="0.3">
      <c r="L1017" t="str">
        <f t="shared" si="30"/>
        <v/>
      </c>
      <c r="N1017" t="str">
        <f t="shared" si="31"/>
        <v/>
      </c>
    </row>
    <row r="1018" spans="12:14" x14ac:dyDescent="0.3">
      <c r="L1018" t="str">
        <f t="shared" si="30"/>
        <v/>
      </c>
      <c r="N1018" t="str">
        <f t="shared" si="31"/>
        <v/>
      </c>
    </row>
    <row r="1019" spans="12:14" x14ac:dyDescent="0.3">
      <c r="L1019" t="str">
        <f t="shared" si="30"/>
        <v/>
      </c>
      <c r="N1019" t="str">
        <f t="shared" si="31"/>
        <v/>
      </c>
    </row>
    <row r="1020" spans="12:14" x14ac:dyDescent="0.3">
      <c r="L1020" t="str">
        <f t="shared" si="30"/>
        <v/>
      </c>
      <c r="N1020" t="str">
        <f t="shared" si="31"/>
        <v/>
      </c>
    </row>
    <row r="1021" spans="12:14" x14ac:dyDescent="0.3">
      <c r="L1021" t="str">
        <f t="shared" si="30"/>
        <v/>
      </c>
      <c r="N1021" t="str">
        <f t="shared" si="31"/>
        <v/>
      </c>
    </row>
    <row r="1022" spans="12:14" x14ac:dyDescent="0.3">
      <c r="L1022" t="str">
        <f t="shared" si="30"/>
        <v/>
      </c>
      <c r="N1022" t="str">
        <f t="shared" si="31"/>
        <v/>
      </c>
    </row>
    <row r="1023" spans="12:14" x14ac:dyDescent="0.3">
      <c r="L1023" t="str">
        <f t="shared" si="30"/>
        <v/>
      </c>
      <c r="N1023" t="str">
        <f t="shared" si="31"/>
        <v/>
      </c>
    </row>
    <row r="1024" spans="12:14" x14ac:dyDescent="0.3">
      <c r="L1024" t="str">
        <f t="shared" si="30"/>
        <v/>
      </c>
      <c r="N1024" t="str">
        <f t="shared" si="31"/>
        <v/>
      </c>
    </row>
    <row r="1025" spans="12:14" x14ac:dyDescent="0.3">
      <c r="L1025" t="str">
        <f t="shared" ref="L1025:L1088" si="32">IF(A1025="","",IF(ISNUMBER(--LEFT(A1025,FIND(" - ",A1025&amp;" - ")-1)),LEFT(A1025,FIND(" - ",A1025&amp;" - ")-1),TRIM(A1025)))</f>
        <v/>
      </c>
      <c r="N1025" t="str">
        <f t="shared" ref="N1025:N1088" si="33">IF(L1025="","",IF(ISNUMBER(INDEX(A1025:H1025,$P$1)),INDEX(A1025:H1025,$P$1),IFERROR(_xlfn.NUMBERVALUE(INDEX(A1025:H1025,$P$1),".",","),0)))</f>
        <v/>
      </c>
    </row>
    <row r="1026" spans="12:14" x14ac:dyDescent="0.3">
      <c r="L1026" t="str">
        <f t="shared" si="32"/>
        <v/>
      </c>
      <c r="N1026" t="str">
        <f t="shared" si="33"/>
        <v/>
      </c>
    </row>
    <row r="1027" spans="12:14" x14ac:dyDescent="0.3">
      <c r="L1027" t="str">
        <f t="shared" si="32"/>
        <v/>
      </c>
      <c r="N1027" t="str">
        <f t="shared" si="33"/>
        <v/>
      </c>
    </row>
    <row r="1028" spans="12:14" x14ac:dyDescent="0.3">
      <c r="L1028" t="str">
        <f t="shared" si="32"/>
        <v/>
      </c>
      <c r="N1028" t="str">
        <f t="shared" si="33"/>
        <v/>
      </c>
    </row>
    <row r="1029" spans="12:14" x14ac:dyDescent="0.3">
      <c r="L1029" t="str">
        <f t="shared" si="32"/>
        <v/>
      </c>
      <c r="N1029" t="str">
        <f t="shared" si="33"/>
        <v/>
      </c>
    </row>
    <row r="1030" spans="12:14" x14ac:dyDescent="0.3">
      <c r="L1030" t="str">
        <f t="shared" si="32"/>
        <v/>
      </c>
      <c r="N1030" t="str">
        <f t="shared" si="33"/>
        <v/>
      </c>
    </row>
    <row r="1031" spans="12:14" x14ac:dyDescent="0.3">
      <c r="L1031" t="str">
        <f t="shared" si="32"/>
        <v/>
      </c>
      <c r="N1031" t="str">
        <f t="shared" si="33"/>
        <v/>
      </c>
    </row>
    <row r="1032" spans="12:14" x14ac:dyDescent="0.3">
      <c r="L1032" t="str">
        <f t="shared" si="32"/>
        <v/>
      </c>
      <c r="N1032" t="str">
        <f t="shared" si="33"/>
        <v/>
      </c>
    </row>
    <row r="1033" spans="12:14" x14ac:dyDescent="0.3">
      <c r="L1033" t="str">
        <f t="shared" si="32"/>
        <v/>
      </c>
      <c r="N1033" t="str">
        <f t="shared" si="33"/>
        <v/>
      </c>
    </row>
    <row r="1034" spans="12:14" x14ac:dyDescent="0.3">
      <c r="L1034" t="str">
        <f t="shared" si="32"/>
        <v/>
      </c>
      <c r="N1034" t="str">
        <f t="shared" si="33"/>
        <v/>
      </c>
    </row>
    <row r="1035" spans="12:14" x14ac:dyDescent="0.3">
      <c r="L1035" t="str">
        <f t="shared" si="32"/>
        <v/>
      </c>
      <c r="N1035" t="str">
        <f t="shared" si="33"/>
        <v/>
      </c>
    </row>
    <row r="1036" spans="12:14" x14ac:dyDescent="0.3">
      <c r="L1036" t="str">
        <f t="shared" si="32"/>
        <v/>
      </c>
      <c r="N1036" t="str">
        <f t="shared" si="33"/>
        <v/>
      </c>
    </row>
    <row r="1037" spans="12:14" x14ac:dyDescent="0.3">
      <c r="L1037" t="str">
        <f t="shared" si="32"/>
        <v/>
      </c>
      <c r="N1037" t="str">
        <f t="shared" si="33"/>
        <v/>
      </c>
    </row>
    <row r="1038" spans="12:14" x14ac:dyDescent="0.3">
      <c r="L1038" t="str">
        <f t="shared" si="32"/>
        <v/>
      </c>
      <c r="N1038" t="str">
        <f t="shared" si="33"/>
        <v/>
      </c>
    </row>
    <row r="1039" spans="12:14" x14ac:dyDescent="0.3">
      <c r="L1039" t="str">
        <f t="shared" si="32"/>
        <v/>
      </c>
      <c r="N1039" t="str">
        <f t="shared" si="33"/>
        <v/>
      </c>
    </row>
    <row r="1040" spans="12:14" x14ac:dyDescent="0.3">
      <c r="L1040" t="str">
        <f t="shared" si="32"/>
        <v/>
      </c>
      <c r="N1040" t="str">
        <f t="shared" si="33"/>
        <v/>
      </c>
    </row>
    <row r="1041" spans="12:14" x14ac:dyDescent="0.3">
      <c r="L1041" t="str">
        <f t="shared" si="32"/>
        <v/>
      </c>
      <c r="N1041" t="str">
        <f t="shared" si="33"/>
        <v/>
      </c>
    </row>
    <row r="1042" spans="12:14" x14ac:dyDescent="0.3">
      <c r="L1042" t="str">
        <f t="shared" si="32"/>
        <v/>
      </c>
      <c r="N1042" t="str">
        <f t="shared" si="33"/>
        <v/>
      </c>
    </row>
    <row r="1043" spans="12:14" x14ac:dyDescent="0.3">
      <c r="L1043" t="str">
        <f t="shared" si="32"/>
        <v/>
      </c>
      <c r="N1043" t="str">
        <f t="shared" si="33"/>
        <v/>
      </c>
    </row>
    <row r="1044" spans="12:14" x14ac:dyDescent="0.3">
      <c r="L1044" t="str">
        <f t="shared" si="32"/>
        <v/>
      </c>
      <c r="N1044" t="str">
        <f t="shared" si="33"/>
        <v/>
      </c>
    </row>
    <row r="1045" spans="12:14" x14ac:dyDescent="0.3">
      <c r="L1045" t="str">
        <f t="shared" si="32"/>
        <v/>
      </c>
      <c r="N1045" t="str">
        <f t="shared" si="33"/>
        <v/>
      </c>
    </row>
    <row r="1046" spans="12:14" x14ac:dyDescent="0.3">
      <c r="L1046" t="str">
        <f t="shared" si="32"/>
        <v/>
      </c>
      <c r="N1046" t="str">
        <f t="shared" si="33"/>
        <v/>
      </c>
    </row>
    <row r="1047" spans="12:14" x14ac:dyDescent="0.3">
      <c r="L1047" t="str">
        <f t="shared" si="32"/>
        <v/>
      </c>
      <c r="N1047" t="str">
        <f t="shared" si="33"/>
        <v/>
      </c>
    </row>
    <row r="1048" spans="12:14" x14ac:dyDescent="0.3">
      <c r="L1048" t="str">
        <f t="shared" si="32"/>
        <v/>
      </c>
      <c r="N1048" t="str">
        <f t="shared" si="33"/>
        <v/>
      </c>
    </row>
    <row r="1049" spans="12:14" x14ac:dyDescent="0.3">
      <c r="L1049" t="str">
        <f t="shared" si="32"/>
        <v/>
      </c>
      <c r="N1049" t="str">
        <f t="shared" si="33"/>
        <v/>
      </c>
    </row>
    <row r="1050" spans="12:14" x14ac:dyDescent="0.3">
      <c r="L1050" t="str">
        <f t="shared" si="32"/>
        <v/>
      </c>
      <c r="N1050" t="str">
        <f t="shared" si="33"/>
        <v/>
      </c>
    </row>
    <row r="1051" spans="12:14" x14ac:dyDescent="0.3">
      <c r="L1051" t="str">
        <f t="shared" si="32"/>
        <v/>
      </c>
      <c r="N1051" t="str">
        <f t="shared" si="33"/>
        <v/>
      </c>
    </row>
    <row r="1052" spans="12:14" x14ac:dyDescent="0.3">
      <c r="L1052" t="str">
        <f t="shared" si="32"/>
        <v/>
      </c>
      <c r="N1052" t="str">
        <f t="shared" si="33"/>
        <v/>
      </c>
    </row>
    <row r="1053" spans="12:14" x14ac:dyDescent="0.3">
      <c r="L1053" t="str">
        <f t="shared" si="32"/>
        <v/>
      </c>
      <c r="N1053" t="str">
        <f t="shared" si="33"/>
        <v/>
      </c>
    </row>
    <row r="1054" spans="12:14" x14ac:dyDescent="0.3">
      <c r="L1054" t="str">
        <f t="shared" si="32"/>
        <v/>
      </c>
      <c r="N1054" t="str">
        <f t="shared" si="33"/>
        <v/>
      </c>
    </row>
    <row r="1055" spans="12:14" x14ac:dyDescent="0.3">
      <c r="L1055" t="str">
        <f t="shared" si="32"/>
        <v/>
      </c>
      <c r="N1055" t="str">
        <f t="shared" si="33"/>
        <v/>
      </c>
    </row>
    <row r="1056" spans="12:14" x14ac:dyDescent="0.3">
      <c r="L1056" t="str">
        <f t="shared" si="32"/>
        <v/>
      </c>
      <c r="N1056" t="str">
        <f t="shared" si="33"/>
        <v/>
      </c>
    </row>
    <row r="1057" spans="12:14" x14ac:dyDescent="0.3">
      <c r="L1057" t="str">
        <f t="shared" si="32"/>
        <v/>
      </c>
      <c r="N1057" t="str">
        <f t="shared" si="33"/>
        <v/>
      </c>
    </row>
    <row r="1058" spans="12:14" x14ac:dyDescent="0.3">
      <c r="L1058" t="str">
        <f t="shared" si="32"/>
        <v/>
      </c>
      <c r="N1058" t="str">
        <f t="shared" si="33"/>
        <v/>
      </c>
    </row>
    <row r="1059" spans="12:14" x14ac:dyDescent="0.3">
      <c r="L1059" t="str">
        <f t="shared" si="32"/>
        <v/>
      </c>
      <c r="N1059" t="str">
        <f t="shared" si="33"/>
        <v/>
      </c>
    </row>
    <row r="1060" spans="12:14" x14ac:dyDescent="0.3">
      <c r="L1060" t="str">
        <f t="shared" si="32"/>
        <v/>
      </c>
      <c r="N1060" t="str">
        <f t="shared" si="33"/>
        <v/>
      </c>
    </row>
    <row r="1061" spans="12:14" x14ac:dyDescent="0.3">
      <c r="L1061" t="str">
        <f t="shared" si="32"/>
        <v/>
      </c>
      <c r="N1061" t="str">
        <f t="shared" si="33"/>
        <v/>
      </c>
    </row>
    <row r="1062" spans="12:14" x14ac:dyDescent="0.3">
      <c r="L1062" t="str">
        <f t="shared" si="32"/>
        <v/>
      </c>
      <c r="N1062" t="str">
        <f t="shared" si="33"/>
        <v/>
      </c>
    </row>
    <row r="1063" spans="12:14" x14ac:dyDescent="0.3">
      <c r="L1063" t="str">
        <f t="shared" si="32"/>
        <v/>
      </c>
      <c r="N1063" t="str">
        <f t="shared" si="33"/>
        <v/>
      </c>
    </row>
    <row r="1064" spans="12:14" x14ac:dyDescent="0.3">
      <c r="L1064" t="str">
        <f t="shared" si="32"/>
        <v/>
      </c>
      <c r="N1064" t="str">
        <f t="shared" si="33"/>
        <v/>
      </c>
    </row>
    <row r="1065" spans="12:14" x14ac:dyDescent="0.3">
      <c r="L1065" t="str">
        <f t="shared" si="32"/>
        <v/>
      </c>
      <c r="N1065" t="str">
        <f t="shared" si="33"/>
        <v/>
      </c>
    </row>
    <row r="1066" spans="12:14" x14ac:dyDescent="0.3">
      <c r="L1066" t="str">
        <f t="shared" si="32"/>
        <v/>
      </c>
      <c r="N1066" t="str">
        <f t="shared" si="33"/>
        <v/>
      </c>
    </row>
    <row r="1067" spans="12:14" x14ac:dyDescent="0.3">
      <c r="L1067" t="str">
        <f t="shared" si="32"/>
        <v/>
      </c>
      <c r="N1067" t="str">
        <f t="shared" si="33"/>
        <v/>
      </c>
    </row>
    <row r="1068" spans="12:14" x14ac:dyDescent="0.3">
      <c r="L1068" t="str">
        <f t="shared" si="32"/>
        <v/>
      </c>
      <c r="N1068" t="str">
        <f t="shared" si="33"/>
        <v/>
      </c>
    </row>
    <row r="1069" spans="12:14" x14ac:dyDescent="0.3">
      <c r="L1069" t="str">
        <f t="shared" si="32"/>
        <v/>
      </c>
      <c r="N1069" t="str">
        <f t="shared" si="33"/>
        <v/>
      </c>
    </row>
    <row r="1070" spans="12:14" x14ac:dyDescent="0.3">
      <c r="L1070" t="str">
        <f t="shared" si="32"/>
        <v/>
      </c>
      <c r="N1070" t="str">
        <f t="shared" si="33"/>
        <v/>
      </c>
    </row>
    <row r="1071" spans="12:14" x14ac:dyDescent="0.3">
      <c r="L1071" t="str">
        <f t="shared" si="32"/>
        <v/>
      </c>
      <c r="N1071" t="str">
        <f t="shared" si="33"/>
        <v/>
      </c>
    </row>
    <row r="1072" spans="12:14" x14ac:dyDescent="0.3">
      <c r="L1072" t="str">
        <f t="shared" si="32"/>
        <v/>
      </c>
      <c r="N1072" t="str">
        <f t="shared" si="33"/>
        <v/>
      </c>
    </row>
    <row r="1073" spans="12:14" x14ac:dyDescent="0.3">
      <c r="L1073" t="str">
        <f t="shared" si="32"/>
        <v/>
      </c>
      <c r="N1073" t="str">
        <f t="shared" si="33"/>
        <v/>
      </c>
    </row>
    <row r="1074" spans="12:14" x14ac:dyDescent="0.3">
      <c r="L1074" t="str">
        <f t="shared" si="32"/>
        <v/>
      </c>
      <c r="N1074" t="str">
        <f t="shared" si="33"/>
        <v/>
      </c>
    </row>
    <row r="1075" spans="12:14" x14ac:dyDescent="0.3">
      <c r="L1075" t="str">
        <f t="shared" si="32"/>
        <v/>
      </c>
      <c r="N1075" t="str">
        <f t="shared" si="33"/>
        <v/>
      </c>
    </row>
    <row r="1076" spans="12:14" x14ac:dyDescent="0.3">
      <c r="L1076" t="str">
        <f t="shared" si="32"/>
        <v/>
      </c>
      <c r="N1076" t="str">
        <f t="shared" si="33"/>
        <v/>
      </c>
    </row>
    <row r="1077" spans="12:14" x14ac:dyDescent="0.3">
      <c r="L1077" t="str">
        <f t="shared" si="32"/>
        <v/>
      </c>
      <c r="N1077" t="str">
        <f t="shared" si="33"/>
        <v/>
      </c>
    </row>
    <row r="1078" spans="12:14" x14ac:dyDescent="0.3">
      <c r="L1078" t="str">
        <f t="shared" si="32"/>
        <v/>
      </c>
      <c r="N1078" t="str">
        <f t="shared" si="33"/>
        <v/>
      </c>
    </row>
    <row r="1079" spans="12:14" x14ac:dyDescent="0.3">
      <c r="L1079" t="str">
        <f t="shared" si="32"/>
        <v/>
      </c>
      <c r="N1079" t="str">
        <f t="shared" si="33"/>
        <v/>
      </c>
    </row>
    <row r="1080" spans="12:14" x14ac:dyDescent="0.3">
      <c r="L1080" t="str">
        <f t="shared" si="32"/>
        <v/>
      </c>
      <c r="N1080" t="str">
        <f t="shared" si="33"/>
        <v/>
      </c>
    </row>
    <row r="1081" spans="12:14" x14ac:dyDescent="0.3">
      <c r="L1081" t="str">
        <f t="shared" si="32"/>
        <v/>
      </c>
      <c r="N1081" t="str">
        <f t="shared" si="33"/>
        <v/>
      </c>
    </row>
    <row r="1082" spans="12:14" x14ac:dyDescent="0.3">
      <c r="L1082" t="str">
        <f t="shared" si="32"/>
        <v/>
      </c>
      <c r="N1082" t="str">
        <f t="shared" si="33"/>
        <v/>
      </c>
    </row>
    <row r="1083" spans="12:14" x14ac:dyDescent="0.3">
      <c r="L1083" t="str">
        <f t="shared" si="32"/>
        <v/>
      </c>
      <c r="N1083" t="str">
        <f t="shared" si="33"/>
        <v/>
      </c>
    </row>
    <row r="1084" spans="12:14" x14ac:dyDescent="0.3">
      <c r="L1084" t="str">
        <f t="shared" si="32"/>
        <v/>
      </c>
      <c r="N1084" t="str">
        <f t="shared" si="33"/>
        <v/>
      </c>
    </row>
    <row r="1085" spans="12:14" x14ac:dyDescent="0.3">
      <c r="L1085" t="str">
        <f t="shared" si="32"/>
        <v/>
      </c>
      <c r="N1085" t="str">
        <f t="shared" si="33"/>
        <v/>
      </c>
    </row>
    <row r="1086" spans="12:14" x14ac:dyDescent="0.3">
      <c r="L1086" t="str">
        <f t="shared" si="32"/>
        <v/>
      </c>
      <c r="N1086" t="str">
        <f t="shared" si="33"/>
        <v/>
      </c>
    </row>
    <row r="1087" spans="12:14" x14ac:dyDescent="0.3">
      <c r="L1087" t="str">
        <f t="shared" si="32"/>
        <v/>
      </c>
      <c r="N1087" t="str">
        <f t="shared" si="33"/>
        <v/>
      </c>
    </row>
    <row r="1088" spans="12:14" x14ac:dyDescent="0.3">
      <c r="L1088" t="str">
        <f t="shared" si="32"/>
        <v/>
      </c>
      <c r="N1088" t="str">
        <f t="shared" si="33"/>
        <v/>
      </c>
    </row>
    <row r="1089" spans="12:14" x14ac:dyDescent="0.3">
      <c r="L1089" t="str">
        <f t="shared" ref="L1089:L1152" si="34">IF(A1089="","",IF(ISNUMBER(--LEFT(A1089,FIND(" - ",A1089&amp;" - ")-1)),LEFT(A1089,FIND(" - ",A1089&amp;" - ")-1),TRIM(A1089)))</f>
        <v/>
      </c>
      <c r="N1089" t="str">
        <f t="shared" ref="N1089:N1152" si="35">IF(L1089="","",IF(ISNUMBER(INDEX(A1089:H1089,$P$1)),INDEX(A1089:H1089,$P$1),IFERROR(_xlfn.NUMBERVALUE(INDEX(A1089:H1089,$P$1),".",","),0)))</f>
        <v/>
      </c>
    </row>
    <row r="1090" spans="12:14" x14ac:dyDescent="0.3">
      <c r="L1090" t="str">
        <f t="shared" si="34"/>
        <v/>
      </c>
      <c r="N1090" t="str">
        <f t="shared" si="35"/>
        <v/>
      </c>
    </row>
    <row r="1091" spans="12:14" x14ac:dyDescent="0.3">
      <c r="L1091" t="str">
        <f t="shared" si="34"/>
        <v/>
      </c>
      <c r="N1091" t="str">
        <f t="shared" si="35"/>
        <v/>
      </c>
    </row>
    <row r="1092" spans="12:14" x14ac:dyDescent="0.3">
      <c r="L1092" t="str">
        <f t="shared" si="34"/>
        <v/>
      </c>
      <c r="N1092" t="str">
        <f t="shared" si="35"/>
        <v/>
      </c>
    </row>
    <row r="1093" spans="12:14" x14ac:dyDescent="0.3">
      <c r="L1093" t="str">
        <f t="shared" si="34"/>
        <v/>
      </c>
      <c r="N1093" t="str">
        <f t="shared" si="35"/>
        <v/>
      </c>
    </row>
    <row r="1094" spans="12:14" x14ac:dyDescent="0.3">
      <c r="L1094" t="str">
        <f t="shared" si="34"/>
        <v/>
      </c>
      <c r="N1094" t="str">
        <f t="shared" si="35"/>
        <v/>
      </c>
    </row>
    <row r="1095" spans="12:14" x14ac:dyDescent="0.3">
      <c r="L1095" t="str">
        <f t="shared" si="34"/>
        <v/>
      </c>
      <c r="N1095" t="str">
        <f t="shared" si="35"/>
        <v/>
      </c>
    </row>
    <row r="1096" spans="12:14" x14ac:dyDescent="0.3">
      <c r="L1096" t="str">
        <f t="shared" si="34"/>
        <v/>
      </c>
      <c r="N1096" t="str">
        <f t="shared" si="35"/>
        <v/>
      </c>
    </row>
    <row r="1097" spans="12:14" x14ac:dyDescent="0.3">
      <c r="L1097" t="str">
        <f t="shared" si="34"/>
        <v/>
      </c>
      <c r="N1097" t="str">
        <f t="shared" si="35"/>
        <v/>
      </c>
    </row>
    <row r="1098" spans="12:14" x14ac:dyDescent="0.3">
      <c r="L1098" t="str">
        <f t="shared" si="34"/>
        <v/>
      </c>
      <c r="N1098" t="str">
        <f t="shared" si="35"/>
        <v/>
      </c>
    </row>
    <row r="1099" spans="12:14" x14ac:dyDescent="0.3">
      <c r="L1099" t="str">
        <f t="shared" si="34"/>
        <v/>
      </c>
      <c r="N1099" t="str">
        <f t="shared" si="35"/>
        <v/>
      </c>
    </row>
    <row r="1100" spans="12:14" x14ac:dyDescent="0.3">
      <c r="L1100" t="str">
        <f t="shared" si="34"/>
        <v/>
      </c>
      <c r="N1100" t="str">
        <f t="shared" si="35"/>
        <v/>
      </c>
    </row>
    <row r="1101" spans="12:14" x14ac:dyDescent="0.3">
      <c r="L1101" t="str">
        <f t="shared" si="34"/>
        <v/>
      </c>
      <c r="N1101" t="str">
        <f t="shared" si="35"/>
        <v/>
      </c>
    </row>
    <row r="1102" spans="12:14" x14ac:dyDescent="0.3">
      <c r="L1102" t="str">
        <f t="shared" si="34"/>
        <v/>
      </c>
      <c r="N1102" t="str">
        <f t="shared" si="35"/>
        <v/>
      </c>
    </row>
    <row r="1103" spans="12:14" x14ac:dyDescent="0.3">
      <c r="L1103" t="str">
        <f t="shared" si="34"/>
        <v/>
      </c>
      <c r="N1103" t="str">
        <f t="shared" si="35"/>
        <v/>
      </c>
    </row>
    <row r="1104" spans="12:14" x14ac:dyDescent="0.3">
      <c r="L1104" t="str">
        <f t="shared" si="34"/>
        <v/>
      </c>
      <c r="N1104" t="str">
        <f t="shared" si="35"/>
        <v/>
      </c>
    </row>
    <row r="1105" spans="12:14" x14ac:dyDescent="0.3">
      <c r="L1105" t="str">
        <f t="shared" si="34"/>
        <v/>
      </c>
      <c r="N1105" t="str">
        <f t="shared" si="35"/>
        <v/>
      </c>
    </row>
    <row r="1106" spans="12:14" x14ac:dyDescent="0.3">
      <c r="L1106" t="str">
        <f t="shared" si="34"/>
        <v/>
      </c>
      <c r="N1106" t="str">
        <f t="shared" si="35"/>
        <v/>
      </c>
    </row>
    <row r="1107" spans="12:14" x14ac:dyDescent="0.3">
      <c r="L1107" t="str">
        <f t="shared" si="34"/>
        <v/>
      </c>
      <c r="N1107" t="str">
        <f t="shared" si="35"/>
        <v/>
      </c>
    </row>
    <row r="1108" spans="12:14" x14ac:dyDescent="0.3">
      <c r="L1108" t="str">
        <f t="shared" si="34"/>
        <v/>
      </c>
      <c r="N1108" t="str">
        <f t="shared" si="35"/>
        <v/>
      </c>
    </row>
    <row r="1109" spans="12:14" x14ac:dyDescent="0.3">
      <c r="L1109" t="str">
        <f t="shared" si="34"/>
        <v/>
      </c>
      <c r="N1109" t="str">
        <f t="shared" si="35"/>
        <v/>
      </c>
    </row>
    <row r="1110" spans="12:14" x14ac:dyDescent="0.3">
      <c r="L1110" t="str">
        <f t="shared" si="34"/>
        <v/>
      </c>
      <c r="N1110" t="str">
        <f t="shared" si="35"/>
        <v/>
      </c>
    </row>
    <row r="1111" spans="12:14" x14ac:dyDescent="0.3">
      <c r="L1111" t="str">
        <f t="shared" si="34"/>
        <v/>
      </c>
      <c r="N1111" t="str">
        <f t="shared" si="35"/>
        <v/>
      </c>
    </row>
    <row r="1112" spans="12:14" x14ac:dyDescent="0.3">
      <c r="L1112" t="str">
        <f t="shared" si="34"/>
        <v/>
      </c>
      <c r="N1112" t="str">
        <f t="shared" si="35"/>
        <v/>
      </c>
    </row>
    <row r="1113" spans="12:14" x14ac:dyDescent="0.3">
      <c r="L1113" t="str">
        <f t="shared" si="34"/>
        <v/>
      </c>
      <c r="N1113" t="str">
        <f t="shared" si="35"/>
        <v/>
      </c>
    </row>
    <row r="1114" spans="12:14" x14ac:dyDescent="0.3">
      <c r="L1114" t="str">
        <f t="shared" si="34"/>
        <v/>
      </c>
      <c r="N1114" t="str">
        <f t="shared" si="35"/>
        <v/>
      </c>
    </row>
    <row r="1115" spans="12:14" x14ac:dyDescent="0.3">
      <c r="L1115" t="str">
        <f t="shared" si="34"/>
        <v/>
      </c>
      <c r="N1115" t="str">
        <f t="shared" si="35"/>
        <v/>
      </c>
    </row>
    <row r="1116" spans="12:14" x14ac:dyDescent="0.3">
      <c r="L1116" t="str">
        <f t="shared" si="34"/>
        <v/>
      </c>
      <c r="N1116" t="str">
        <f t="shared" si="35"/>
        <v/>
      </c>
    </row>
    <row r="1117" spans="12:14" x14ac:dyDescent="0.3">
      <c r="L1117" t="str">
        <f t="shared" si="34"/>
        <v/>
      </c>
      <c r="N1117" t="str">
        <f t="shared" si="35"/>
        <v/>
      </c>
    </row>
    <row r="1118" spans="12:14" x14ac:dyDescent="0.3">
      <c r="L1118" t="str">
        <f t="shared" si="34"/>
        <v/>
      </c>
      <c r="N1118" t="str">
        <f t="shared" si="35"/>
        <v/>
      </c>
    </row>
    <row r="1119" spans="12:14" x14ac:dyDescent="0.3">
      <c r="L1119" t="str">
        <f t="shared" si="34"/>
        <v/>
      </c>
      <c r="N1119" t="str">
        <f t="shared" si="35"/>
        <v/>
      </c>
    </row>
    <row r="1120" spans="12:14" x14ac:dyDescent="0.3">
      <c r="L1120" t="str">
        <f t="shared" si="34"/>
        <v/>
      </c>
      <c r="N1120" t="str">
        <f t="shared" si="35"/>
        <v/>
      </c>
    </row>
    <row r="1121" spans="12:14" x14ac:dyDescent="0.3">
      <c r="L1121" t="str">
        <f t="shared" si="34"/>
        <v/>
      </c>
      <c r="N1121" t="str">
        <f t="shared" si="35"/>
        <v/>
      </c>
    </row>
    <row r="1122" spans="12:14" x14ac:dyDescent="0.3">
      <c r="L1122" t="str">
        <f t="shared" si="34"/>
        <v/>
      </c>
      <c r="N1122" t="str">
        <f t="shared" si="35"/>
        <v/>
      </c>
    </row>
    <row r="1123" spans="12:14" x14ac:dyDescent="0.3">
      <c r="L1123" t="str">
        <f t="shared" si="34"/>
        <v/>
      </c>
      <c r="N1123" t="str">
        <f t="shared" si="35"/>
        <v/>
      </c>
    </row>
    <row r="1124" spans="12:14" x14ac:dyDescent="0.3">
      <c r="L1124" t="str">
        <f t="shared" si="34"/>
        <v/>
      </c>
      <c r="N1124" t="str">
        <f t="shared" si="35"/>
        <v/>
      </c>
    </row>
    <row r="1125" spans="12:14" x14ac:dyDescent="0.3">
      <c r="L1125" t="str">
        <f t="shared" si="34"/>
        <v/>
      </c>
      <c r="N1125" t="str">
        <f t="shared" si="35"/>
        <v/>
      </c>
    </row>
    <row r="1126" spans="12:14" x14ac:dyDescent="0.3">
      <c r="L1126" t="str">
        <f t="shared" si="34"/>
        <v/>
      </c>
      <c r="N1126" t="str">
        <f t="shared" si="35"/>
        <v/>
      </c>
    </row>
    <row r="1127" spans="12:14" x14ac:dyDescent="0.3">
      <c r="L1127" t="str">
        <f t="shared" si="34"/>
        <v/>
      </c>
      <c r="N1127" t="str">
        <f t="shared" si="35"/>
        <v/>
      </c>
    </row>
    <row r="1128" spans="12:14" x14ac:dyDescent="0.3">
      <c r="L1128" t="str">
        <f t="shared" si="34"/>
        <v/>
      </c>
      <c r="N1128" t="str">
        <f t="shared" si="35"/>
        <v/>
      </c>
    </row>
    <row r="1129" spans="12:14" x14ac:dyDescent="0.3">
      <c r="L1129" t="str">
        <f t="shared" si="34"/>
        <v/>
      </c>
      <c r="N1129" t="str">
        <f t="shared" si="35"/>
        <v/>
      </c>
    </row>
    <row r="1130" spans="12:14" x14ac:dyDescent="0.3">
      <c r="L1130" t="str">
        <f t="shared" si="34"/>
        <v/>
      </c>
      <c r="N1130" t="str">
        <f t="shared" si="35"/>
        <v/>
      </c>
    </row>
    <row r="1131" spans="12:14" x14ac:dyDescent="0.3">
      <c r="L1131" t="str">
        <f t="shared" si="34"/>
        <v/>
      </c>
      <c r="N1131" t="str">
        <f t="shared" si="35"/>
        <v/>
      </c>
    </row>
    <row r="1132" spans="12:14" x14ac:dyDescent="0.3">
      <c r="L1132" t="str">
        <f t="shared" si="34"/>
        <v/>
      </c>
      <c r="N1132" t="str">
        <f t="shared" si="35"/>
        <v/>
      </c>
    </row>
    <row r="1133" spans="12:14" x14ac:dyDescent="0.3">
      <c r="L1133" t="str">
        <f t="shared" si="34"/>
        <v/>
      </c>
      <c r="N1133" t="str">
        <f t="shared" si="35"/>
        <v/>
      </c>
    </row>
    <row r="1134" spans="12:14" x14ac:dyDescent="0.3">
      <c r="L1134" t="str">
        <f t="shared" si="34"/>
        <v/>
      </c>
      <c r="N1134" t="str">
        <f t="shared" si="35"/>
        <v/>
      </c>
    </row>
    <row r="1135" spans="12:14" x14ac:dyDescent="0.3">
      <c r="L1135" t="str">
        <f t="shared" si="34"/>
        <v/>
      </c>
      <c r="N1135" t="str">
        <f t="shared" si="35"/>
        <v/>
      </c>
    </row>
    <row r="1136" spans="12:14" x14ac:dyDescent="0.3">
      <c r="L1136" t="str">
        <f t="shared" si="34"/>
        <v/>
      </c>
      <c r="N1136" t="str">
        <f t="shared" si="35"/>
        <v/>
      </c>
    </row>
    <row r="1137" spans="12:14" x14ac:dyDescent="0.3">
      <c r="L1137" t="str">
        <f t="shared" si="34"/>
        <v/>
      </c>
      <c r="N1137" t="str">
        <f t="shared" si="35"/>
        <v/>
      </c>
    </row>
    <row r="1138" spans="12:14" x14ac:dyDescent="0.3">
      <c r="L1138" t="str">
        <f t="shared" si="34"/>
        <v/>
      </c>
      <c r="N1138" t="str">
        <f t="shared" si="35"/>
        <v/>
      </c>
    </row>
    <row r="1139" spans="12:14" x14ac:dyDescent="0.3">
      <c r="L1139" t="str">
        <f t="shared" si="34"/>
        <v/>
      </c>
      <c r="N1139" t="str">
        <f t="shared" si="35"/>
        <v/>
      </c>
    </row>
    <row r="1140" spans="12:14" x14ac:dyDescent="0.3">
      <c r="L1140" t="str">
        <f t="shared" si="34"/>
        <v/>
      </c>
      <c r="N1140" t="str">
        <f t="shared" si="35"/>
        <v/>
      </c>
    </row>
    <row r="1141" spans="12:14" x14ac:dyDescent="0.3">
      <c r="L1141" t="str">
        <f t="shared" si="34"/>
        <v/>
      </c>
      <c r="N1141" t="str">
        <f t="shared" si="35"/>
        <v/>
      </c>
    </row>
    <row r="1142" spans="12:14" x14ac:dyDescent="0.3">
      <c r="L1142" t="str">
        <f t="shared" si="34"/>
        <v/>
      </c>
      <c r="N1142" t="str">
        <f t="shared" si="35"/>
        <v/>
      </c>
    </row>
    <row r="1143" spans="12:14" x14ac:dyDescent="0.3">
      <c r="L1143" t="str">
        <f t="shared" si="34"/>
        <v/>
      </c>
      <c r="N1143" t="str">
        <f t="shared" si="35"/>
        <v/>
      </c>
    </row>
    <row r="1144" spans="12:14" x14ac:dyDescent="0.3">
      <c r="L1144" t="str">
        <f t="shared" si="34"/>
        <v/>
      </c>
      <c r="N1144" t="str">
        <f t="shared" si="35"/>
        <v/>
      </c>
    </row>
    <row r="1145" spans="12:14" x14ac:dyDescent="0.3">
      <c r="L1145" t="str">
        <f t="shared" si="34"/>
        <v/>
      </c>
      <c r="N1145" t="str">
        <f t="shared" si="35"/>
        <v/>
      </c>
    </row>
    <row r="1146" spans="12:14" x14ac:dyDescent="0.3">
      <c r="L1146" t="str">
        <f t="shared" si="34"/>
        <v/>
      </c>
      <c r="N1146" t="str">
        <f t="shared" si="35"/>
        <v/>
      </c>
    </row>
    <row r="1147" spans="12:14" x14ac:dyDescent="0.3">
      <c r="L1147" t="str">
        <f t="shared" si="34"/>
        <v/>
      </c>
      <c r="N1147" t="str">
        <f t="shared" si="35"/>
        <v/>
      </c>
    </row>
    <row r="1148" spans="12:14" x14ac:dyDescent="0.3">
      <c r="L1148" t="str">
        <f t="shared" si="34"/>
        <v/>
      </c>
      <c r="N1148" t="str">
        <f t="shared" si="35"/>
        <v/>
      </c>
    </row>
    <row r="1149" spans="12:14" x14ac:dyDescent="0.3">
      <c r="L1149" t="str">
        <f t="shared" si="34"/>
        <v/>
      </c>
      <c r="N1149" t="str">
        <f t="shared" si="35"/>
        <v/>
      </c>
    </row>
    <row r="1150" spans="12:14" x14ac:dyDescent="0.3">
      <c r="L1150" t="str">
        <f t="shared" si="34"/>
        <v/>
      </c>
      <c r="N1150" t="str">
        <f t="shared" si="35"/>
        <v/>
      </c>
    </row>
    <row r="1151" spans="12:14" x14ac:dyDescent="0.3">
      <c r="L1151" t="str">
        <f t="shared" si="34"/>
        <v/>
      </c>
      <c r="N1151" t="str">
        <f t="shared" si="35"/>
        <v/>
      </c>
    </row>
    <row r="1152" spans="12:14" x14ac:dyDescent="0.3">
      <c r="L1152" t="str">
        <f t="shared" si="34"/>
        <v/>
      </c>
      <c r="N1152" t="str">
        <f t="shared" si="35"/>
        <v/>
      </c>
    </row>
    <row r="1153" spans="12:14" x14ac:dyDescent="0.3">
      <c r="L1153" t="str">
        <f t="shared" ref="L1153:L1216" si="36">IF(A1153="","",IF(ISNUMBER(--LEFT(A1153,FIND(" - ",A1153&amp;" - ")-1)),LEFT(A1153,FIND(" - ",A1153&amp;" - ")-1),TRIM(A1153)))</f>
        <v/>
      </c>
      <c r="N1153" t="str">
        <f t="shared" ref="N1153:N1216" si="37">IF(L1153="","",IF(ISNUMBER(INDEX(A1153:H1153,$P$1)),INDEX(A1153:H1153,$P$1),IFERROR(_xlfn.NUMBERVALUE(INDEX(A1153:H1153,$P$1),".",","),0)))</f>
        <v/>
      </c>
    </row>
    <row r="1154" spans="12:14" x14ac:dyDescent="0.3">
      <c r="L1154" t="str">
        <f t="shared" si="36"/>
        <v/>
      </c>
      <c r="N1154" t="str">
        <f t="shared" si="37"/>
        <v/>
      </c>
    </row>
    <row r="1155" spans="12:14" x14ac:dyDescent="0.3">
      <c r="L1155" t="str">
        <f t="shared" si="36"/>
        <v/>
      </c>
      <c r="N1155" t="str">
        <f t="shared" si="37"/>
        <v/>
      </c>
    </row>
    <row r="1156" spans="12:14" x14ac:dyDescent="0.3">
      <c r="L1156" t="str">
        <f t="shared" si="36"/>
        <v/>
      </c>
      <c r="N1156" t="str">
        <f t="shared" si="37"/>
        <v/>
      </c>
    </row>
    <row r="1157" spans="12:14" x14ac:dyDescent="0.3">
      <c r="L1157" t="str">
        <f t="shared" si="36"/>
        <v/>
      </c>
      <c r="N1157" t="str">
        <f t="shared" si="37"/>
        <v/>
      </c>
    </row>
    <row r="1158" spans="12:14" x14ac:dyDescent="0.3">
      <c r="L1158" t="str">
        <f t="shared" si="36"/>
        <v/>
      </c>
      <c r="N1158" t="str">
        <f t="shared" si="37"/>
        <v/>
      </c>
    </row>
    <row r="1159" spans="12:14" x14ac:dyDescent="0.3">
      <c r="L1159" t="str">
        <f t="shared" si="36"/>
        <v/>
      </c>
      <c r="N1159" t="str">
        <f t="shared" si="37"/>
        <v/>
      </c>
    </row>
    <row r="1160" spans="12:14" x14ac:dyDescent="0.3">
      <c r="L1160" t="str">
        <f t="shared" si="36"/>
        <v/>
      </c>
      <c r="N1160" t="str">
        <f t="shared" si="37"/>
        <v/>
      </c>
    </row>
    <row r="1161" spans="12:14" x14ac:dyDescent="0.3">
      <c r="L1161" t="str">
        <f t="shared" si="36"/>
        <v/>
      </c>
      <c r="N1161" t="str">
        <f t="shared" si="37"/>
        <v/>
      </c>
    </row>
    <row r="1162" spans="12:14" x14ac:dyDescent="0.3">
      <c r="L1162" t="str">
        <f t="shared" si="36"/>
        <v/>
      </c>
      <c r="N1162" t="str">
        <f t="shared" si="37"/>
        <v/>
      </c>
    </row>
    <row r="1163" spans="12:14" x14ac:dyDescent="0.3">
      <c r="L1163" t="str">
        <f t="shared" si="36"/>
        <v/>
      </c>
      <c r="N1163" t="str">
        <f t="shared" si="37"/>
        <v/>
      </c>
    </row>
    <row r="1164" spans="12:14" x14ac:dyDescent="0.3">
      <c r="L1164" t="str">
        <f t="shared" si="36"/>
        <v/>
      </c>
      <c r="N1164" t="str">
        <f t="shared" si="37"/>
        <v/>
      </c>
    </row>
    <row r="1165" spans="12:14" x14ac:dyDescent="0.3">
      <c r="L1165" t="str">
        <f t="shared" si="36"/>
        <v/>
      </c>
      <c r="N1165" t="str">
        <f t="shared" si="37"/>
        <v/>
      </c>
    </row>
    <row r="1166" spans="12:14" x14ac:dyDescent="0.3">
      <c r="L1166" t="str">
        <f t="shared" si="36"/>
        <v/>
      </c>
      <c r="N1166" t="str">
        <f t="shared" si="37"/>
        <v/>
      </c>
    </row>
    <row r="1167" spans="12:14" x14ac:dyDescent="0.3">
      <c r="L1167" t="str">
        <f t="shared" si="36"/>
        <v/>
      </c>
      <c r="N1167" t="str">
        <f t="shared" si="37"/>
        <v/>
      </c>
    </row>
    <row r="1168" spans="12:14" x14ac:dyDescent="0.3">
      <c r="L1168" t="str">
        <f t="shared" si="36"/>
        <v/>
      </c>
      <c r="N1168" t="str">
        <f t="shared" si="37"/>
        <v/>
      </c>
    </row>
    <row r="1169" spans="12:14" x14ac:dyDescent="0.3">
      <c r="L1169" t="str">
        <f t="shared" si="36"/>
        <v/>
      </c>
      <c r="N1169" t="str">
        <f t="shared" si="37"/>
        <v/>
      </c>
    </row>
    <row r="1170" spans="12:14" x14ac:dyDescent="0.3">
      <c r="L1170" t="str">
        <f t="shared" si="36"/>
        <v/>
      </c>
      <c r="N1170" t="str">
        <f t="shared" si="37"/>
        <v/>
      </c>
    </row>
    <row r="1171" spans="12:14" x14ac:dyDescent="0.3">
      <c r="L1171" t="str">
        <f t="shared" si="36"/>
        <v/>
      </c>
      <c r="N1171" t="str">
        <f t="shared" si="37"/>
        <v/>
      </c>
    </row>
    <row r="1172" spans="12:14" x14ac:dyDescent="0.3">
      <c r="L1172" t="str">
        <f t="shared" si="36"/>
        <v/>
      </c>
      <c r="N1172" t="str">
        <f t="shared" si="37"/>
        <v/>
      </c>
    </row>
    <row r="1173" spans="12:14" x14ac:dyDescent="0.3">
      <c r="L1173" t="str">
        <f t="shared" si="36"/>
        <v/>
      </c>
      <c r="N1173" t="str">
        <f t="shared" si="37"/>
        <v/>
      </c>
    </row>
    <row r="1174" spans="12:14" x14ac:dyDescent="0.3">
      <c r="L1174" t="str">
        <f t="shared" si="36"/>
        <v/>
      </c>
      <c r="N1174" t="str">
        <f t="shared" si="37"/>
        <v/>
      </c>
    </row>
    <row r="1175" spans="12:14" x14ac:dyDescent="0.3">
      <c r="L1175" t="str">
        <f t="shared" si="36"/>
        <v/>
      </c>
      <c r="N1175" t="str">
        <f t="shared" si="37"/>
        <v/>
      </c>
    </row>
    <row r="1176" spans="12:14" x14ac:dyDescent="0.3">
      <c r="L1176" t="str">
        <f t="shared" si="36"/>
        <v/>
      </c>
      <c r="N1176" t="str">
        <f t="shared" si="37"/>
        <v/>
      </c>
    </row>
    <row r="1177" spans="12:14" x14ac:dyDescent="0.3">
      <c r="L1177" t="str">
        <f t="shared" si="36"/>
        <v/>
      </c>
      <c r="N1177" t="str">
        <f t="shared" si="37"/>
        <v/>
      </c>
    </row>
    <row r="1178" spans="12:14" x14ac:dyDescent="0.3">
      <c r="L1178" t="str">
        <f t="shared" si="36"/>
        <v/>
      </c>
      <c r="N1178" t="str">
        <f t="shared" si="37"/>
        <v/>
      </c>
    </row>
    <row r="1179" spans="12:14" x14ac:dyDescent="0.3">
      <c r="L1179" t="str">
        <f t="shared" si="36"/>
        <v/>
      </c>
      <c r="N1179" t="str">
        <f t="shared" si="37"/>
        <v/>
      </c>
    </row>
    <row r="1180" spans="12:14" x14ac:dyDescent="0.3">
      <c r="L1180" t="str">
        <f t="shared" si="36"/>
        <v/>
      </c>
      <c r="N1180" t="str">
        <f t="shared" si="37"/>
        <v/>
      </c>
    </row>
    <row r="1181" spans="12:14" x14ac:dyDescent="0.3">
      <c r="L1181" t="str">
        <f t="shared" si="36"/>
        <v/>
      </c>
      <c r="N1181" t="str">
        <f t="shared" si="37"/>
        <v/>
      </c>
    </row>
    <row r="1182" spans="12:14" x14ac:dyDescent="0.3">
      <c r="L1182" t="str">
        <f t="shared" si="36"/>
        <v/>
      </c>
      <c r="N1182" t="str">
        <f t="shared" si="37"/>
        <v/>
      </c>
    </row>
    <row r="1183" spans="12:14" x14ac:dyDescent="0.3">
      <c r="L1183" t="str">
        <f t="shared" si="36"/>
        <v/>
      </c>
      <c r="N1183" t="str">
        <f t="shared" si="37"/>
        <v/>
      </c>
    </row>
    <row r="1184" spans="12:14" x14ac:dyDescent="0.3">
      <c r="L1184" t="str">
        <f t="shared" si="36"/>
        <v/>
      </c>
      <c r="N1184" t="str">
        <f t="shared" si="37"/>
        <v/>
      </c>
    </row>
    <row r="1185" spans="12:14" x14ac:dyDescent="0.3">
      <c r="L1185" t="str">
        <f t="shared" si="36"/>
        <v/>
      </c>
      <c r="N1185" t="str">
        <f t="shared" si="37"/>
        <v/>
      </c>
    </row>
    <row r="1186" spans="12:14" x14ac:dyDescent="0.3">
      <c r="L1186" t="str">
        <f t="shared" si="36"/>
        <v/>
      </c>
      <c r="N1186" t="str">
        <f t="shared" si="37"/>
        <v/>
      </c>
    </row>
    <row r="1187" spans="12:14" x14ac:dyDescent="0.3">
      <c r="L1187" t="str">
        <f t="shared" si="36"/>
        <v/>
      </c>
      <c r="N1187" t="str">
        <f t="shared" si="37"/>
        <v/>
      </c>
    </row>
    <row r="1188" spans="12:14" x14ac:dyDescent="0.3">
      <c r="L1188" t="str">
        <f t="shared" si="36"/>
        <v/>
      </c>
      <c r="N1188" t="str">
        <f t="shared" si="37"/>
        <v/>
      </c>
    </row>
    <row r="1189" spans="12:14" x14ac:dyDescent="0.3">
      <c r="L1189" t="str">
        <f t="shared" si="36"/>
        <v/>
      </c>
      <c r="N1189" t="str">
        <f t="shared" si="37"/>
        <v/>
      </c>
    </row>
    <row r="1190" spans="12:14" x14ac:dyDescent="0.3">
      <c r="L1190" t="str">
        <f t="shared" si="36"/>
        <v/>
      </c>
      <c r="N1190" t="str">
        <f t="shared" si="37"/>
        <v/>
      </c>
    </row>
    <row r="1191" spans="12:14" x14ac:dyDescent="0.3">
      <c r="L1191" t="str">
        <f t="shared" si="36"/>
        <v/>
      </c>
      <c r="N1191" t="str">
        <f t="shared" si="37"/>
        <v/>
      </c>
    </row>
    <row r="1192" spans="12:14" x14ac:dyDescent="0.3">
      <c r="L1192" t="str">
        <f t="shared" si="36"/>
        <v/>
      </c>
      <c r="N1192" t="str">
        <f t="shared" si="37"/>
        <v/>
      </c>
    </row>
    <row r="1193" spans="12:14" x14ac:dyDescent="0.3">
      <c r="L1193" t="str">
        <f t="shared" si="36"/>
        <v/>
      </c>
      <c r="N1193" t="str">
        <f t="shared" si="37"/>
        <v/>
      </c>
    </row>
    <row r="1194" spans="12:14" x14ac:dyDescent="0.3">
      <c r="L1194" t="str">
        <f t="shared" si="36"/>
        <v/>
      </c>
      <c r="N1194" t="str">
        <f t="shared" si="37"/>
        <v/>
      </c>
    </row>
    <row r="1195" spans="12:14" x14ac:dyDescent="0.3">
      <c r="L1195" t="str">
        <f t="shared" si="36"/>
        <v/>
      </c>
      <c r="N1195" t="str">
        <f t="shared" si="37"/>
        <v/>
      </c>
    </row>
    <row r="1196" spans="12:14" x14ac:dyDescent="0.3">
      <c r="L1196" t="str">
        <f t="shared" si="36"/>
        <v/>
      </c>
      <c r="N1196" t="str">
        <f t="shared" si="37"/>
        <v/>
      </c>
    </row>
    <row r="1197" spans="12:14" x14ac:dyDescent="0.3">
      <c r="L1197" t="str">
        <f t="shared" si="36"/>
        <v/>
      </c>
      <c r="N1197" t="str">
        <f t="shared" si="37"/>
        <v/>
      </c>
    </row>
    <row r="1198" spans="12:14" x14ac:dyDescent="0.3">
      <c r="L1198" t="str">
        <f t="shared" si="36"/>
        <v/>
      </c>
      <c r="N1198" t="str">
        <f t="shared" si="37"/>
        <v/>
      </c>
    </row>
    <row r="1199" spans="12:14" x14ac:dyDescent="0.3">
      <c r="L1199" t="str">
        <f t="shared" si="36"/>
        <v/>
      </c>
      <c r="N1199" t="str">
        <f t="shared" si="37"/>
        <v/>
      </c>
    </row>
    <row r="1200" spans="12:14" x14ac:dyDescent="0.3">
      <c r="L1200" t="str">
        <f t="shared" si="36"/>
        <v/>
      </c>
      <c r="N1200" t="str">
        <f t="shared" si="37"/>
        <v/>
      </c>
    </row>
    <row r="1201" spans="12:14" x14ac:dyDescent="0.3">
      <c r="L1201" t="str">
        <f t="shared" si="36"/>
        <v/>
      </c>
      <c r="N1201" t="str">
        <f t="shared" si="37"/>
        <v/>
      </c>
    </row>
    <row r="1202" spans="12:14" x14ac:dyDescent="0.3">
      <c r="L1202" t="str">
        <f t="shared" si="36"/>
        <v/>
      </c>
      <c r="N1202" t="str">
        <f t="shared" si="37"/>
        <v/>
      </c>
    </row>
    <row r="1203" spans="12:14" x14ac:dyDescent="0.3">
      <c r="L1203" t="str">
        <f t="shared" si="36"/>
        <v/>
      </c>
      <c r="N1203" t="str">
        <f t="shared" si="37"/>
        <v/>
      </c>
    </row>
    <row r="1204" spans="12:14" x14ac:dyDescent="0.3">
      <c r="L1204" t="str">
        <f t="shared" si="36"/>
        <v/>
      </c>
      <c r="N1204" t="str">
        <f t="shared" si="37"/>
        <v/>
      </c>
    </row>
    <row r="1205" spans="12:14" x14ac:dyDescent="0.3">
      <c r="L1205" t="str">
        <f t="shared" si="36"/>
        <v/>
      </c>
      <c r="N1205" t="str">
        <f t="shared" si="37"/>
        <v/>
      </c>
    </row>
    <row r="1206" spans="12:14" x14ac:dyDescent="0.3">
      <c r="L1206" t="str">
        <f t="shared" si="36"/>
        <v/>
      </c>
      <c r="N1206" t="str">
        <f t="shared" si="37"/>
        <v/>
      </c>
    </row>
    <row r="1207" spans="12:14" x14ac:dyDescent="0.3">
      <c r="L1207" t="str">
        <f t="shared" si="36"/>
        <v/>
      </c>
      <c r="N1207" t="str">
        <f t="shared" si="37"/>
        <v/>
      </c>
    </row>
    <row r="1208" spans="12:14" x14ac:dyDescent="0.3">
      <c r="L1208" t="str">
        <f t="shared" si="36"/>
        <v/>
      </c>
      <c r="N1208" t="str">
        <f t="shared" si="37"/>
        <v/>
      </c>
    </row>
    <row r="1209" spans="12:14" x14ac:dyDescent="0.3">
      <c r="L1209" t="str">
        <f t="shared" si="36"/>
        <v/>
      </c>
      <c r="N1209" t="str">
        <f t="shared" si="37"/>
        <v/>
      </c>
    </row>
    <row r="1210" spans="12:14" x14ac:dyDescent="0.3">
      <c r="L1210" t="str">
        <f t="shared" si="36"/>
        <v/>
      </c>
      <c r="N1210" t="str">
        <f t="shared" si="37"/>
        <v/>
      </c>
    </row>
    <row r="1211" spans="12:14" x14ac:dyDescent="0.3">
      <c r="L1211" t="str">
        <f t="shared" si="36"/>
        <v/>
      </c>
      <c r="N1211" t="str">
        <f t="shared" si="37"/>
        <v/>
      </c>
    </row>
    <row r="1212" spans="12:14" x14ac:dyDescent="0.3">
      <c r="L1212" t="str">
        <f t="shared" si="36"/>
        <v/>
      </c>
      <c r="N1212" t="str">
        <f t="shared" si="37"/>
        <v/>
      </c>
    </row>
    <row r="1213" spans="12:14" x14ac:dyDescent="0.3">
      <c r="L1213" t="str">
        <f t="shared" si="36"/>
        <v/>
      </c>
      <c r="N1213" t="str">
        <f t="shared" si="37"/>
        <v/>
      </c>
    </row>
    <row r="1214" spans="12:14" x14ac:dyDescent="0.3">
      <c r="L1214" t="str">
        <f t="shared" si="36"/>
        <v/>
      </c>
      <c r="N1214" t="str">
        <f t="shared" si="37"/>
        <v/>
      </c>
    </row>
    <row r="1215" spans="12:14" x14ac:dyDescent="0.3">
      <c r="L1215" t="str">
        <f t="shared" si="36"/>
        <v/>
      </c>
      <c r="N1215" t="str">
        <f t="shared" si="37"/>
        <v/>
      </c>
    </row>
    <row r="1216" spans="12:14" x14ac:dyDescent="0.3">
      <c r="L1216" t="str">
        <f t="shared" si="36"/>
        <v/>
      </c>
      <c r="N1216" t="str">
        <f t="shared" si="37"/>
        <v/>
      </c>
    </row>
    <row r="1217" spans="12:14" x14ac:dyDescent="0.3">
      <c r="L1217" t="str">
        <f t="shared" ref="L1217:L1280" si="38">IF(A1217="","",IF(ISNUMBER(--LEFT(A1217,FIND(" - ",A1217&amp;" - ")-1)),LEFT(A1217,FIND(" - ",A1217&amp;" - ")-1),TRIM(A1217)))</f>
        <v/>
      </c>
      <c r="N1217" t="str">
        <f t="shared" ref="N1217:N1280" si="39">IF(L1217="","",IF(ISNUMBER(INDEX(A1217:H1217,$P$1)),INDEX(A1217:H1217,$P$1),IFERROR(_xlfn.NUMBERVALUE(INDEX(A1217:H1217,$P$1),".",","),0)))</f>
        <v/>
      </c>
    </row>
    <row r="1218" spans="12:14" x14ac:dyDescent="0.3">
      <c r="L1218" t="str">
        <f t="shared" si="38"/>
        <v/>
      </c>
      <c r="N1218" t="str">
        <f t="shared" si="39"/>
        <v/>
      </c>
    </row>
    <row r="1219" spans="12:14" x14ac:dyDescent="0.3">
      <c r="L1219" t="str">
        <f t="shared" si="38"/>
        <v/>
      </c>
      <c r="N1219" t="str">
        <f t="shared" si="39"/>
        <v/>
      </c>
    </row>
    <row r="1220" spans="12:14" x14ac:dyDescent="0.3">
      <c r="L1220" t="str">
        <f t="shared" si="38"/>
        <v/>
      </c>
      <c r="N1220" t="str">
        <f t="shared" si="39"/>
        <v/>
      </c>
    </row>
    <row r="1221" spans="12:14" x14ac:dyDescent="0.3">
      <c r="L1221" t="str">
        <f t="shared" si="38"/>
        <v/>
      </c>
      <c r="N1221" t="str">
        <f t="shared" si="39"/>
        <v/>
      </c>
    </row>
    <row r="1222" spans="12:14" x14ac:dyDescent="0.3">
      <c r="L1222" t="str">
        <f t="shared" si="38"/>
        <v/>
      </c>
      <c r="N1222" t="str">
        <f t="shared" si="39"/>
        <v/>
      </c>
    </row>
    <row r="1223" spans="12:14" x14ac:dyDescent="0.3">
      <c r="L1223" t="str">
        <f t="shared" si="38"/>
        <v/>
      </c>
      <c r="N1223" t="str">
        <f t="shared" si="39"/>
        <v/>
      </c>
    </row>
    <row r="1224" spans="12:14" x14ac:dyDescent="0.3">
      <c r="L1224" t="str">
        <f t="shared" si="38"/>
        <v/>
      </c>
      <c r="N1224" t="str">
        <f t="shared" si="39"/>
        <v/>
      </c>
    </row>
    <row r="1225" spans="12:14" x14ac:dyDescent="0.3">
      <c r="L1225" t="str">
        <f t="shared" si="38"/>
        <v/>
      </c>
      <c r="N1225" t="str">
        <f t="shared" si="39"/>
        <v/>
      </c>
    </row>
    <row r="1226" spans="12:14" x14ac:dyDescent="0.3">
      <c r="L1226" t="str">
        <f t="shared" si="38"/>
        <v/>
      </c>
      <c r="N1226" t="str">
        <f t="shared" si="39"/>
        <v/>
      </c>
    </row>
    <row r="1227" spans="12:14" x14ac:dyDescent="0.3">
      <c r="L1227" t="str">
        <f t="shared" si="38"/>
        <v/>
      </c>
      <c r="N1227" t="str">
        <f t="shared" si="39"/>
        <v/>
      </c>
    </row>
    <row r="1228" spans="12:14" x14ac:dyDescent="0.3">
      <c r="L1228" t="str">
        <f t="shared" si="38"/>
        <v/>
      </c>
      <c r="N1228" t="str">
        <f t="shared" si="39"/>
        <v/>
      </c>
    </row>
    <row r="1229" spans="12:14" x14ac:dyDescent="0.3">
      <c r="L1229" t="str">
        <f t="shared" si="38"/>
        <v/>
      </c>
      <c r="N1229" t="str">
        <f t="shared" si="39"/>
        <v/>
      </c>
    </row>
    <row r="1230" spans="12:14" x14ac:dyDescent="0.3">
      <c r="L1230" t="str">
        <f t="shared" si="38"/>
        <v/>
      </c>
      <c r="N1230" t="str">
        <f t="shared" si="39"/>
        <v/>
      </c>
    </row>
    <row r="1231" spans="12:14" x14ac:dyDescent="0.3">
      <c r="L1231" t="str">
        <f t="shared" si="38"/>
        <v/>
      </c>
      <c r="N1231" t="str">
        <f t="shared" si="39"/>
        <v/>
      </c>
    </row>
    <row r="1232" spans="12:14" x14ac:dyDescent="0.3">
      <c r="L1232" t="str">
        <f t="shared" si="38"/>
        <v/>
      </c>
      <c r="N1232" t="str">
        <f t="shared" si="39"/>
        <v/>
      </c>
    </row>
    <row r="1233" spans="12:14" x14ac:dyDescent="0.3">
      <c r="L1233" t="str">
        <f t="shared" si="38"/>
        <v/>
      </c>
      <c r="N1233" t="str">
        <f t="shared" si="39"/>
        <v/>
      </c>
    </row>
    <row r="1234" spans="12:14" x14ac:dyDescent="0.3">
      <c r="L1234" t="str">
        <f t="shared" si="38"/>
        <v/>
      </c>
      <c r="N1234" t="str">
        <f t="shared" si="39"/>
        <v/>
      </c>
    </row>
    <row r="1235" spans="12:14" x14ac:dyDescent="0.3">
      <c r="L1235" t="str">
        <f t="shared" si="38"/>
        <v/>
      </c>
      <c r="N1235" t="str">
        <f t="shared" si="39"/>
        <v/>
      </c>
    </row>
    <row r="1236" spans="12:14" x14ac:dyDescent="0.3">
      <c r="L1236" t="str">
        <f t="shared" si="38"/>
        <v/>
      </c>
      <c r="N1236" t="str">
        <f t="shared" si="39"/>
        <v/>
      </c>
    </row>
    <row r="1237" spans="12:14" x14ac:dyDescent="0.3">
      <c r="L1237" t="str">
        <f t="shared" si="38"/>
        <v/>
      </c>
      <c r="N1237" t="str">
        <f t="shared" si="39"/>
        <v/>
      </c>
    </row>
    <row r="1238" spans="12:14" x14ac:dyDescent="0.3">
      <c r="L1238" t="str">
        <f t="shared" si="38"/>
        <v/>
      </c>
      <c r="N1238" t="str">
        <f t="shared" si="39"/>
        <v/>
      </c>
    </row>
    <row r="1239" spans="12:14" x14ac:dyDescent="0.3">
      <c r="L1239" t="str">
        <f t="shared" si="38"/>
        <v/>
      </c>
      <c r="N1239" t="str">
        <f t="shared" si="39"/>
        <v/>
      </c>
    </row>
    <row r="1240" spans="12:14" x14ac:dyDescent="0.3">
      <c r="L1240" t="str">
        <f t="shared" si="38"/>
        <v/>
      </c>
      <c r="N1240" t="str">
        <f t="shared" si="39"/>
        <v/>
      </c>
    </row>
    <row r="1241" spans="12:14" x14ac:dyDescent="0.3">
      <c r="L1241" t="str">
        <f t="shared" si="38"/>
        <v/>
      </c>
      <c r="N1241" t="str">
        <f t="shared" si="39"/>
        <v/>
      </c>
    </row>
    <row r="1242" spans="12:14" x14ac:dyDescent="0.3">
      <c r="L1242" t="str">
        <f t="shared" si="38"/>
        <v/>
      </c>
      <c r="N1242" t="str">
        <f t="shared" si="39"/>
        <v/>
      </c>
    </row>
    <row r="1243" spans="12:14" x14ac:dyDescent="0.3">
      <c r="L1243" t="str">
        <f t="shared" si="38"/>
        <v/>
      </c>
      <c r="N1243" t="str">
        <f t="shared" si="39"/>
        <v/>
      </c>
    </row>
    <row r="1244" spans="12:14" x14ac:dyDescent="0.3">
      <c r="L1244" t="str">
        <f t="shared" si="38"/>
        <v/>
      </c>
      <c r="N1244" t="str">
        <f t="shared" si="39"/>
        <v/>
      </c>
    </row>
    <row r="1245" spans="12:14" x14ac:dyDescent="0.3">
      <c r="L1245" t="str">
        <f t="shared" si="38"/>
        <v/>
      </c>
      <c r="N1245" t="str">
        <f t="shared" si="39"/>
        <v/>
      </c>
    </row>
    <row r="1246" spans="12:14" x14ac:dyDescent="0.3">
      <c r="L1246" t="str">
        <f t="shared" si="38"/>
        <v/>
      </c>
      <c r="N1246" t="str">
        <f t="shared" si="39"/>
        <v/>
      </c>
    </row>
    <row r="1247" spans="12:14" x14ac:dyDescent="0.3">
      <c r="L1247" t="str">
        <f t="shared" si="38"/>
        <v/>
      </c>
      <c r="N1247" t="str">
        <f t="shared" si="39"/>
        <v/>
      </c>
    </row>
    <row r="1248" spans="12:14" x14ac:dyDescent="0.3">
      <c r="L1248" t="str">
        <f t="shared" si="38"/>
        <v/>
      </c>
      <c r="N1248" t="str">
        <f t="shared" si="39"/>
        <v/>
      </c>
    </row>
    <row r="1249" spans="12:14" x14ac:dyDescent="0.3">
      <c r="L1249" t="str">
        <f t="shared" si="38"/>
        <v/>
      </c>
      <c r="N1249" t="str">
        <f t="shared" si="39"/>
        <v/>
      </c>
    </row>
    <row r="1250" spans="12:14" x14ac:dyDescent="0.3">
      <c r="L1250" t="str">
        <f t="shared" si="38"/>
        <v/>
      </c>
      <c r="N1250" t="str">
        <f t="shared" si="39"/>
        <v/>
      </c>
    </row>
    <row r="1251" spans="12:14" x14ac:dyDescent="0.3">
      <c r="L1251" t="str">
        <f t="shared" si="38"/>
        <v/>
      </c>
      <c r="N1251" t="str">
        <f t="shared" si="39"/>
        <v/>
      </c>
    </row>
    <row r="1252" spans="12:14" x14ac:dyDescent="0.3">
      <c r="L1252" t="str">
        <f t="shared" si="38"/>
        <v/>
      </c>
      <c r="N1252" t="str">
        <f t="shared" si="39"/>
        <v/>
      </c>
    </row>
    <row r="1253" spans="12:14" x14ac:dyDescent="0.3">
      <c r="L1253" t="str">
        <f t="shared" si="38"/>
        <v/>
      </c>
      <c r="N1253" t="str">
        <f t="shared" si="39"/>
        <v/>
      </c>
    </row>
    <row r="1254" spans="12:14" x14ac:dyDescent="0.3">
      <c r="L1254" t="str">
        <f t="shared" si="38"/>
        <v/>
      </c>
      <c r="N1254" t="str">
        <f t="shared" si="39"/>
        <v/>
      </c>
    </row>
    <row r="1255" spans="12:14" x14ac:dyDescent="0.3">
      <c r="L1255" t="str">
        <f t="shared" si="38"/>
        <v/>
      </c>
      <c r="N1255" t="str">
        <f t="shared" si="39"/>
        <v/>
      </c>
    </row>
    <row r="1256" spans="12:14" x14ac:dyDescent="0.3">
      <c r="L1256" t="str">
        <f t="shared" si="38"/>
        <v/>
      </c>
      <c r="N1256" t="str">
        <f t="shared" si="39"/>
        <v/>
      </c>
    </row>
    <row r="1257" spans="12:14" x14ac:dyDescent="0.3">
      <c r="L1257" t="str">
        <f t="shared" si="38"/>
        <v/>
      </c>
      <c r="N1257" t="str">
        <f t="shared" si="39"/>
        <v/>
      </c>
    </row>
    <row r="1258" spans="12:14" x14ac:dyDescent="0.3">
      <c r="L1258" t="str">
        <f t="shared" si="38"/>
        <v/>
      </c>
      <c r="N1258" t="str">
        <f t="shared" si="39"/>
        <v/>
      </c>
    </row>
    <row r="1259" spans="12:14" x14ac:dyDescent="0.3">
      <c r="L1259" t="str">
        <f t="shared" si="38"/>
        <v/>
      </c>
      <c r="N1259" t="str">
        <f t="shared" si="39"/>
        <v/>
      </c>
    </row>
    <row r="1260" spans="12:14" x14ac:dyDescent="0.3">
      <c r="L1260" t="str">
        <f t="shared" si="38"/>
        <v/>
      </c>
      <c r="N1260" t="str">
        <f t="shared" si="39"/>
        <v/>
      </c>
    </row>
    <row r="1261" spans="12:14" x14ac:dyDescent="0.3">
      <c r="L1261" t="str">
        <f t="shared" si="38"/>
        <v/>
      </c>
      <c r="N1261" t="str">
        <f t="shared" si="39"/>
        <v/>
      </c>
    </row>
    <row r="1262" spans="12:14" x14ac:dyDescent="0.3">
      <c r="L1262" t="str">
        <f t="shared" si="38"/>
        <v/>
      </c>
      <c r="N1262" t="str">
        <f t="shared" si="39"/>
        <v/>
      </c>
    </row>
    <row r="1263" spans="12:14" x14ac:dyDescent="0.3">
      <c r="L1263" t="str">
        <f t="shared" si="38"/>
        <v/>
      </c>
      <c r="N1263" t="str">
        <f t="shared" si="39"/>
        <v/>
      </c>
    </row>
    <row r="1264" spans="12:14" x14ac:dyDescent="0.3">
      <c r="L1264" t="str">
        <f t="shared" si="38"/>
        <v/>
      </c>
      <c r="N1264" t="str">
        <f t="shared" si="39"/>
        <v/>
      </c>
    </row>
    <row r="1265" spans="12:14" x14ac:dyDescent="0.3">
      <c r="L1265" t="str">
        <f t="shared" si="38"/>
        <v/>
      </c>
      <c r="N1265" t="str">
        <f t="shared" si="39"/>
        <v/>
      </c>
    </row>
    <row r="1266" spans="12:14" x14ac:dyDescent="0.3">
      <c r="L1266" t="str">
        <f t="shared" si="38"/>
        <v/>
      </c>
      <c r="N1266" t="str">
        <f t="shared" si="39"/>
        <v/>
      </c>
    </row>
    <row r="1267" spans="12:14" x14ac:dyDescent="0.3">
      <c r="L1267" t="str">
        <f t="shared" si="38"/>
        <v/>
      </c>
      <c r="N1267" t="str">
        <f t="shared" si="39"/>
        <v/>
      </c>
    </row>
    <row r="1268" spans="12:14" x14ac:dyDescent="0.3">
      <c r="L1268" t="str">
        <f t="shared" si="38"/>
        <v/>
      </c>
      <c r="N1268" t="str">
        <f t="shared" si="39"/>
        <v/>
      </c>
    </row>
    <row r="1269" spans="12:14" x14ac:dyDescent="0.3">
      <c r="L1269" t="str">
        <f t="shared" si="38"/>
        <v/>
      </c>
      <c r="N1269" t="str">
        <f t="shared" si="39"/>
        <v/>
      </c>
    </row>
    <row r="1270" spans="12:14" x14ac:dyDescent="0.3">
      <c r="L1270" t="str">
        <f t="shared" si="38"/>
        <v/>
      </c>
      <c r="N1270" t="str">
        <f t="shared" si="39"/>
        <v/>
      </c>
    </row>
    <row r="1271" spans="12:14" x14ac:dyDescent="0.3">
      <c r="L1271" t="str">
        <f t="shared" si="38"/>
        <v/>
      </c>
      <c r="N1271" t="str">
        <f t="shared" si="39"/>
        <v/>
      </c>
    </row>
    <row r="1272" spans="12:14" x14ac:dyDescent="0.3">
      <c r="L1272" t="str">
        <f t="shared" si="38"/>
        <v/>
      </c>
      <c r="N1272" t="str">
        <f t="shared" si="39"/>
        <v/>
      </c>
    </row>
    <row r="1273" spans="12:14" x14ac:dyDescent="0.3">
      <c r="L1273" t="str">
        <f t="shared" si="38"/>
        <v/>
      </c>
      <c r="N1273" t="str">
        <f t="shared" si="39"/>
        <v/>
      </c>
    </row>
    <row r="1274" spans="12:14" x14ac:dyDescent="0.3">
      <c r="L1274" t="str">
        <f t="shared" si="38"/>
        <v/>
      </c>
      <c r="N1274" t="str">
        <f t="shared" si="39"/>
        <v/>
      </c>
    </row>
    <row r="1275" spans="12:14" x14ac:dyDescent="0.3">
      <c r="L1275" t="str">
        <f t="shared" si="38"/>
        <v/>
      </c>
      <c r="N1275" t="str">
        <f t="shared" si="39"/>
        <v/>
      </c>
    </row>
    <row r="1276" spans="12:14" x14ac:dyDescent="0.3">
      <c r="L1276" t="str">
        <f t="shared" si="38"/>
        <v/>
      </c>
      <c r="N1276" t="str">
        <f t="shared" si="39"/>
        <v/>
      </c>
    </row>
    <row r="1277" spans="12:14" x14ac:dyDescent="0.3">
      <c r="L1277" t="str">
        <f t="shared" si="38"/>
        <v/>
      </c>
      <c r="N1277" t="str">
        <f t="shared" si="39"/>
        <v/>
      </c>
    </row>
    <row r="1278" spans="12:14" x14ac:dyDescent="0.3">
      <c r="L1278" t="str">
        <f t="shared" si="38"/>
        <v/>
      </c>
      <c r="N1278" t="str">
        <f t="shared" si="39"/>
        <v/>
      </c>
    </row>
    <row r="1279" spans="12:14" x14ac:dyDescent="0.3">
      <c r="L1279" t="str">
        <f t="shared" si="38"/>
        <v/>
      </c>
      <c r="N1279" t="str">
        <f t="shared" si="39"/>
        <v/>
      </c>
    </row>
    <row r="1280" spans="12:14" x14ac:dyDescent="0.3">
      <c r="L1280" t="str">
        <f t="shared" si="38"/>
        <v/>
      </c>
      <c r="N1280" t="str">
        <f t="shared" si="39"/>
        <v/>
      </c>
    </row>
    <row r="1281" spans="12:14" x14ac:dyDescent="0.3">
      <c r="L1281" t="str">
        <f t="shared" ref="L1281:L1344" si="40">IF(A1281="","",IF(ISNUMBER(--LEFT(A1281,FIND(" - ",A1281&amp;" - ")-1)),LEFT(A1281,FIND(" - ",A1281&amp;" - ")-1),TRIM(A1281)))</f>
        <v/>
      </c>
      <c r="N1281" t="str">
        <f t="shared" ref="N1281:N1344" si="41">IF(L1281="","",IF(ISNUMBER(INDEX(A1281:H1281,$P$1)),INDEX(A1281:H1281,$P$1),IFERROR(_xlfn.NUMBERVALUE(INDEX(A1281:H1281,$P$1),".",","),0)))</f>
        <v/>
      </c>
    </row>
    <row r="1282" spans="12:14" x14ac:dyDescent="0.3">
      <c r="L1282" t="str">
        <f t="shared" si="40"/>
        <v/>
      </c>
      <c r="N1282" t="str">
        <f t="shared" si="41"/>
        <v/>
      </c>
    </row>
    <row r="1283" spans="12:14" x14ac:dyDescent="0.3">
      <c r="L1283" t="str">
        <f t="shared" si="40"/>
        <v/>
      </c>
      <c r="N1283" t="str">
        <f t="shared" si="41"/>
        <v/>
      </c>
    </row>
    <row r="1284" spans="12:14" x14ac:dyDescent="0.3">
      <c r="L1284" t="str">
        <f t="shared" si="40"/>
        <v/>
      </c>
      <c r="N1284" t="str">
        <f t="shared" si="41"/>
        <v/>
      </c>
    </row>
    <row r="1285" spans="12:14" x14ac:dyDescent="0.3">
      <c r="L1285" t="str">
        <f t="shared" si="40"/>
        <v/>
      </c>
      <c r="N1285" t="str">
        <f t="shared" si="41"/>
        <v/>
      </c>
    </row>
    <row r="1286" spans="12:14" x14ac:dyDescent="0.3">
      <c r="L1286" t="str">
        <f t="shared" si="40"/>
        <v/>
      </c>
      <c r="N1286" t="str">
        <f t="shared" si="41"/>
        <v/>
      </c>
    </row>
    <row r="1287" spans="12:14" x14ac:dyDescent="0.3">
      <c r="L1287" t="str">
        <f t="shared" si="40"/>
        <v/>
      </c>
      <c r="N1287" t="str">
        <f t="shared" si="41"/>
        <v/>
      </c>
    </row>
    <row r="1288" spans="12:14" x14ac:dyDescent="0.3">
      <c r="L1288" t="str">
        <f t="shared" si="40"/>
        <v/>
      </c>
      <c r="N1288" t="str">
        <f t="shared" si="41"/>
        <v/>
      </c>
    </row>
    <row r="1289" spans="12:14" x14ac:dyDescent="0.3">
      <c r="L1289" t="str">
        <f t="shared" si="40"/>
        <v/>
      </c>
      <c r="N1289" t="str">
        <f t="shared" si="41"/>
        <v/>
      </c>
    </row>
    <row r="1290" spans="12:14" x14ac:dyDescent="0.3">
      <c r="L1290" t="str">
        <f t="shared" si="40"/>
        <v/>
      </c>
      <c r="N1290" t="str">
        <f t="shared" si="41"/>
        <v/>
      </c>
    </row>
    <row r="1291" spans="12:14" x14ac:dyDescent="0.3">
      <c r="L1291" t="str">
        <f t="shared" si="40"/>
        <v/>
      </c>
      <c r="N1291" t="str">
        <f t="shared" si="41"/>
        <v/>
      </c>
    </row>
    <row r="1292" spans="12:14" x14ac:dyDescent="0.3">
      <c r="L1292" t="str">
        <f t="shared" si="40"/>
        <v/>
      </c>
      <c r="N1292" t="str">
        <f t="shared" si="41"/>
        <v/>
      </c>
    </row>
    <row r="1293" spans="12:14" x14ac:dyDescent="0.3">
      <c r="L1293" t="str">
        <f t="shared" si="40"/>
        <v/>
      </c>
      <c r="N1293" t="str">
        <f t="shared" si="41"/>
        <v/>
      </c>
    </row>
    <row r="1294" spans="12:14" x14ac:dyDescent="0.3">
      <c r="L1294" t="str">
        <f t="shared" si="40"/>
        <v/>
      </c>
      <c r="N1294" t="str">
        <f t="shared" si="41"/>
        <v/>
      </c>
    </row>
    <row r="1295" spans="12:14" x14ac:dyDescent="0.3">
      <c r="L1295" t="str">
        <f t="shared" si="40"/>
        <v/>
      </c>
      <c r="N1295" t="str">
        <f t="shared" si="41"/>
        <v/>
      </c>
    </row>
    <row r="1296" spans="12:14" x14ac:dyDescent="0.3">
      <c r="L1296" t="str">
        <f t="shared" si="40"/>
        <v/>
      </c>
      <c r="N1296" t="str">
        <f t="shared" si="41"/>
        <v/>
      </c>
    </row>
    <row r="1297" spans="12:14" x14ac:dyDescent="0.3">
      <c r="L1297" t="str">
        <f t="shared" si="40"/>
        <v/>
      </c>
      <c r="N1297" t="str">
        <f t="shared" si="41"/>
        <v/>
      </c>
    </row>
    <row r="1298" spans="12:14" x14ac:dyDescent="0.3">
      <c r="L1298" t="str">
        <f t="shared" si="40"/>
        <v/>
      </c>
      <c r="N1298" t="str">
        <f t="shared" si="41"/>
        <v/>
      </c>
    </row>
    <row r="1299" spans="12:14" x14ac:dyDescent="0.3">
      <c r="L1299" t="str">
        <f t="shared" si="40"/>
        <v/>
      </c>
      <c r="N1299" t="str">
        <f t="shared" si="41"/>
        <v/>
      </c>
    </row>
    <row r="1300" spans="12:14" x14ac:dyDescent="0.3">
      <c r="L1300" t="str">
        <f t="shared" si="40"/>
        <v/>
      </c>
      <c r="N1300" t="str">
        <f t="shared" si="41"/>
        <v/>
      </c>
    </row>
    <row r="1301" spans="12:14" x14ac:dyDescent="0.3">
      <c r="L1301" t="str">
        <f t="shared" si="40"/>
        <v/>
      </c>
      <c r="N1301" t="str">
        <f t="shared" si="41"/>
        <v/>
      </c>
    </row>
    <row r="1302" spans="12:14" x14ac:dyDescent="0.3">
      <c r="L1302" t="str">
        <f t="shared" si="40"/>
        <v/>
      </c>
      <c r="N1302" t="str">
        <f t="shared" si="41"/>
        <v/>
      </c>
    </row>
    <row r="1303" spans="12:14" x14ac:dyDescent="0.3">
      <c r="L1303" t="str">
        <f t="shared" si="40"/>
        <v/>
      </c>
      <c r="N1303" t="str">
        <f t="shared" si="41"/>
        <v/>
      </c>
    </row>
    <row r="1304" spans="12:14" x14ac:dyDescent="0.3">
      <c r="L1304" t="str">
        <f t="shared" si="40"/>
        <v/>
      </c>
      <c r="N1304" t="str">
        <f t="shared" si="41"/>
        <v/>
      </c>
    </row>
    <row r="1305" spans="12:14" x14ac:dyDescent="0.3">
      <c r="L1305" t="str">
        <f t="shared" si="40"/>
        <v/>
      </c>
      <c r="N1305" t="str">
        <f t="shared" si="41"/>
        <v/>
      </c>
    </row>
    <row r="1306" spans="12:14" x14ac:dyDescent="0.3">
      <c r="L1306" t="str">
        <f t="shared" si="40"/>
        <v/>
      </c>
      <c r="N1306" t="str">
        <f t="shared" si="41"/>
        <v/>
      </c>
    </row>
    <row r="1307" spans="12:14" x14ac:dyDescent="0.3">
      <c r="L1307" t="str">
        <f t="shared" si="40"/>
        <v/>
      </c>
      <c r="N1307" t="str">
        <f t="shared" si="41"/>
        <v/>
      </c>
    </row>
    <row r="1308" spans="12:14" x14ac:dyDescent="0.3">
      <c r="L1308" t="str">
        <f t="shared" si="40"/>
        <v/>
      </c>
      <c r="N1308" t="str">
        <f t="shared" si="41"/>
        <v/>
      </c>
    </row>
    <row r="1309" spans="12:14" x14ac:dyDescent="0.3">
      <c r="L1309" t="str">
        <f t="shared" si="40"/>
        <v/>
      </c>
      <c r="N1309" t="str">
        <f t="shared" si="41"/>
        <v/>
      </c>
    </row>
    <row r="1310" spans="12:14" x14ac:dyDescent="0.3">
      <c r="L1310" t="str">
        <f t="shared" si="40"/>
        <v/>
      </c>
      <c r="N1310" t="str">
        <f t="shared" si="41"/>
        <v/>
      </c>
    </row>
    <row r="1311" spans="12:14" x14ac:dyDescent="0.3">
      <c r="L1311" t="str">
        <f t="shared" si="40"/>
        <v/>
      </c>
      <c r="N1311" t="str">
        <f t="shared" si="41"/>
        <v/>
      </c>
    </row>
    <row r="1312" spans="12:14" x14ac:dyDescent="0.3">
      <c r="L1312" t="str">
        <f t="shared" si="40"/>
        <v/>
      </c>
      <c r="N1312" t="str">
        <f t="shared" si="41"/>
        <v/>
      </c>
    </row>
    <row r="1313" spans="12:14" x14ac:dyDescent="0.3">
      <c r="L1313" t="str">
        <f t="shared" si="40"/>
        <v/>
      </c>
      <c r="N1313" t="str">
        <f t="shared" si="41"/>
        <v/>
      </c>
    </row>
    <row r="1314" spans="12:14" x14ac:dyDescent="0.3">
      <c r="L1314" t="str">
        <f t="shared" si="40"/>
        <v/>
      </c>
      <c r="N1314" t="str">
        <f t="shared" si="41"/>
        <v/>
      </c>
    </row>
    <row r="1315" spans="12:14" x14ac:dyDescent="0.3">
      <c r="L1315" t="str">
        <f t="shared" si="40"/>
        <v/>
      </c>
      <c r="N1315" t="str">
        <f t="shared" si="41"/>
        <v/>
      </c>
    </row>
    <row r="1316" spans="12:14" x14ac:dyDescent="0.3">
      <c r="L1316" t="str">
        <f t="shared" si="40"/>
        <v/>
      </c>
      <c r="N1316" t="str">
        <f t="shared" si="41"/>
        <v/>
      </c>
    </row>
    <row r="1317" spans="12:14" x14ac:dyDescent="0.3">
      <c r="L1317" t="str">
        <f t="shared" si="40"/>
        <v/>
      </c>
      <c r="N1317" t="str">
        <f t="shared" si="41"/>
        <v/>
      </c>
    </row>
    <row r="1318" spans="12:14" x14ac:dyDescent="0.3">
      <c r="L1318" t="str">
        <f t="shared" si="40"/>
        <v/>
      </c>
      <c r="N1318" t="str">
        <f t="shared" si="41"/>
        <v/>
      </c>
    </row>
    <row r="1319" spans="12:14" x14ac:dyDescent="0.3">
      <c r="L1319" t="str">
        <f t="shared" si="40"/>
        <v/>
      </c>
      <c r="N1319" t="str">
        <f t="shared" si="41"/>
        <v/>
      </c>
    </row>
    <row r="1320" spans="12:14" x14ac:dyDescent="0.3">
      <c r="L1320" t="str">
        <f t="shared" si="40"/>
        <v/>
      </c>
      <c r="N1320" t="str">
        <f t="shared" si="41"/>
        <v/>
      </c>
    </row>
    <row r="1321" spans="12:14" x14ac:dyDescent="0.3">
      <c r="L1321" t="str">
        <f t="shared" si="40"/>
        <v/>
      </c>
      <c r="N1321" t="str">
        <f t="shared" si="41"/>
        <v/>
      </c>
    </row>
    <row r="1322" spans="12:14" x14ac:dyDescent="0.3">
      <c r="L1322" t="str">
        <f t="shared" si="40"/>
        <v/>
      </c>
      <c r="N1322" t="str">
        <f t="shared" si="41"/>
        <v/>
      </c>
    </row>
    <row r="1323" spans="12:14" x14ac:dyDescent="0.3">
      <c r="L1323" t="str">
        <f t="shared" si="40"/>
        <v/>
      </c>
      <c r="N1323" t="str">
        <f t="shared" si="41"/>
        <v/>
      </c>
    </row>
    <row r="1324" spans="12:14" x14ac:dyDescent="0.3">
      <c r="L1324" t="str">
        <f t="shared" si="40"/>
        <v/>
      </c>
      <c r="N1324" t="str">
        <f t="shared" si="41"/>
        <v/>
      </c>
    </row>
    <row r="1325" spans="12:14" x14ac:dyDescent="0.3">
      <c r="L1325" t="str">
        <f t="shared" si="40"/>
        <v/>
      </c>
      <c r="N1325" t="str">
        <f t="shared" si="41"/>
        <v/>
      </c>
    </row>
    <row r="1326" spans="12:14" x14ac:dyDescent="0.3">
      <c r="L1326" t="str">
        <f t="shared" si="40"/>
        <v/>
      </c>
      <c r="N1326" t="str">
        <f t="shared" si="41"/>
        <v/>
      </c>
    </row>
    <row r="1327" spans="12:14" x14ac:dyDescent="0.3">
      <c r="L1327" t="str">
        <f t="shared" si="40"/>
        <v/>
      </c>
      <c r="N1327" t="str">
        <f t="shared" si="41"/>
        <v/>
      </c>
    </row>
    <row r="1328" spans="12:14" x14ac:dyDescent="0.3">
      <c r="L1328" t="str">
        <f t="shared" si="40"/>
        <v/>
      </c>
      <c r="N1328" t="str">
        <f t="shared" si="41"/>
        <v/>
      </c>
    </row>
    <row r="1329" spans="12:14" x14ac:dyDescent="0.3">
      <c r="L1329" t="str">
        <f t="shared" si="40"/>
        <v/>
      </c>
      <c r="N1329" t="str">
        <f t="shared" si="41"/>
        <v/>
      </c>
    </row>
    <row r="1330" spans="12:14" x14ac:dyDescent="0.3">
      <c r="L1330" t="str">
        <f t="shared" si="40"/>
        <v/>
      </c>
      <c r="N1330" t="str">
        <f t="shared" si="41"/>
        <v/>
      </c>
    </row>
    <row r="1331" spans="12:14" x14ac:dyDescent="0.3">
      <c r="L1331" t="str">
        <f t="shared" si="40"/>
        <v/>
      </c>
      <c r="N1331" t="str">
        <f t="shared" si="41"/>
        <v/>
      </c>
    </row>
    <row r="1332" spans="12:14" x14ac:dyDescent="0.3">
      <c r="L1332" t="str">
        <f t="shared" si="40"/>
        <v/>
      </c>
      <c r="N1332" t="str">
        <f t="shared" si="41"/>
        <v/>
      </c>
    </row>
    <row r="1333" spans="12:14" x14ac:dyDescent="0.3">
      <c r="L1333" t="str">
        <f t="shared" si="40"/>
        <v/>
      </c>
      <c r="N1333" t="str">
        <f t="shared" si="41"/>
        <v/>
      </c>
    </row>
    <row r="1334" spans="12:14" x14ac:dyDescent="0.3">
      <c r="L1334" t="str">
        <f t="shared" si="40"/>
        <v/>
      </c>
      <c r="N1334" t="str">
        <f t="shared" si="41"/>
        <v/>
      </c>
    </row>
    <row r="1335" spans="12:14" x14ac:dyDescent="0.3">
      <c r="L1335" t="str">
        <f t="shared" si="40"/>
        <v/>
      </c>
      <c r="N1335" t="str">
        <f t="shared" si="41"/>
        <v/>
      </c>
    </row>
    <row r="1336" spans="12:14" x14ac:dyDescent="0.3">
      <c r="L1336" t="str">
        <f t="shared" si="40"/>
        <v/>
      </c>
      <c r="N1336" t="str">
        <f t="shared" si="41"/>
        <v/>
      </c>
    </row>
    <row r="1337" spans="12:14" x14ac:dyDescent="0.3">
      <c r="L1337" t="str">
        <f t="shared" si="40"/>
        <v/>
      </c>
      <c r="N1337" t="str">
        <f t="shared" si="41"/>
        <v/>
      </c>
    </row>
    <row r="1338" spans="12:14" x14ac:dyDescent="0.3">
      <c r="L1338" t="str">
        <f t="shared" si="40"/>
        <v/>
      </c>
      <c r="N1338" t="str">
        <f t="shared" si="41"/>
        <v/>
      </c>
    </row>
    <row r="1339" spans="12:14" x14ac:dyDescent="0.3">
      <c r="L1339" t="str">
        <f t="shared" si="40"/>
        <v/>
      </c>
      <c r="N1339" t="str">
        <f t="shared" si="41"/>
        <v/>
      </c>
    </row>
    <row r="1340" spans="12:14" x14ac:dyDescent="0.3">
      <c r="L1340" t="str">
        <f t="shared" si="40"/>
        <v/>
      </c>
      <c r="N1340" t="str">
        <f t="shared" si="41"/>
        <v/>
      </c>
    </row>
    <row r="1341" spans="12:14" x14ac:dyDescent="0.3">
      <c r="L1341" t="str">
        <f t="shared" si="40"/>
        <v/>
      </c>
      <c r="N1341" t="str">
        <f t="shared" si="41"/>
        <v/>
      </c>
    </row>
    <row r="1342" spans="12:14" x14ac:dyDescent="0.3">
      <c r="L1342" t="str">
        <f t="shared" si="40"/>
        <v/>
      </c>
      <c r="N1342" t="str">
        <f t="shared" si="41"/>
        <v/>
      </c>
    </row>
    <row r="1343" spans="12:14" x14ac:dyDescent="0.3">
      <c r="L1343" t="str">
        <f t="shared" si="40"/>
        <v/>
      </c>
      <c r="N1343" t="str">
        <f t="shared" si="41"/>
        <v/>
      </c>
    </row>
    <row r="1344" spans="12:14" x14ac:dyDescent="0.3">
      <c r="L1344" t="str">
        <f t="shared" si="40"/>
        <v/>
      </c>
      <c r="N1344" t="str">
        <f t="shared" si="41"/>
        <v/>
      </c>
    </row>
    <row r="1345" spans="12:14" x14ac:dyDescent="0.3">
      <c r="L1345" t="str">
        <f t="shared" ref="L1345:L1408" si="42">IF(A1345="","",IF(ISNUMBER(--LEFT(A1345,FIND(" - ",A1345&amp;" - ")-1)),LEFT(A1345,FIND(" - ",A1345&amp;" - ")-1),TRIM(A1345)))</f>
        <v/>
      </c>
      <c r="N1345" t="str">
        <f t="shared" ref="N1345:N1408" si="43">IF(L1345="","",IF(ISNUMBER(INDEX(A1345:H1345,$P$1)),INDEX(A1345:H1345,$P$1),IFERROR(_xlfn.NUMBERVALUE(INDEX(A1345:H1345,$P$1),".",","),0)))</f>
        <v/>
      </c>
    </row>
    <row r="1346" spans="12:14" x14ac:dyDescent="0.3">
      <c r="L1346" t="str">
        <f t="shared" si="42"/>
        <v/>
      </c>
      <c r="N1346" t="str">
        <f t="shared" si="43"/>
        <v/>
      </c>
    </row>
    <row r="1347" spans="12:14" x14ac:dyDescent="0.3">
      <c r="L1347" t="str">
        <f t="shared" si="42"/>
        <v/>
      </c>
      <c r="N1347" t="str">
        <f t="shared" si="43"/>
        <v/>
      </c>
    </row>
    <row r="1348" spans="12:14" x14ac:dyDescent="0.3">
      <c r="L1348" t="str">
        <f t="shared" si="42"/>
        <v/>
      </c>
      <c r="N1348" t="str">
        <f t="shared" si="43"/>
        <v/>
      </c>
    </row>
    <row r="1349" spans="12:14" x14ac:dyDescent="0.3">
      <c r="L1349" t="str">
        <f t="shared" si="42"/>
        <v/>
      </c>
      <c r="N1349" t="str">
        <f t="shared" si="43"/>
        <v/>
      </c>
    </row>
    <row r="1350" spans="12:14" x14ac:dyDescent="0.3">
      <c r="L1350" t="str">
        <f t="shared" si="42"/>
        <v/>
      </c>
      <c r="N1350" t="str">
        <f t="shared" si="43"/>
        <v/>
      </c>
    </row>
    <row r="1351" spans="12:14" x14ac:dyDescent="0.3">
      <c r="L1351" t="str">
        <f t="shared" si="42"/>
        <v/>
      </c>
      <c r="N1351" t="str">
        <f t="shared" si="43"/>
        <v/>
      </c>
    </row>
    <row r="1352" spans="12:14" x14ac:dyDescent="0.3">
      <c r="L1352" t="str">
        <f t="shared" si="42"/>
        <v/>
      </c>
      <c r="N1352" t="str">
        <f t="shared" si="43"/>
        <v/>
      </c>
    </row>
    <row r="1353" spans="12:14" x14ac:dyDescent="0.3">
      <c r="L1353" t="str">
        <f t="shared" si="42"/>
        <v/>
      </c>
      <c r="N1353" t="str">
        <f t="shared" si="43"/>
        <v/>
      </c>
    </row>
    <row r="1354" spans="12:14" x14ac:dyDescent="0.3">
      <c r="L1354" t="str">
        <f t="shared" si="42"/>
        <v/>
      </c>
      <c r="N1354" t="str">
        <f t="shared" si="43"/>
        <v/>
      </c>
    </row>
    <row r="1355" spans="12:14" x14ac:dyDescent="0.3">
      <c r="L1355" t="str">
        <f t="shared" si="42"/>
        <v/>
      </c>
      <c r="N1355" t="str">
        <f t="shared" si="43"/>
        <v/>
      </c>
    </row>
    <row r="1356" spans="12:14" x14ac:dyDescent="0.3">
      <c r="L1356" t="str">
        <f t="shared" si="42"/>
        <v/>
      </c>
      <c r="N1356" t="str">
        <f t="shared" si="43"/>
        <v/>
      </c>
    </row>
    <row r="1357" spans="12:14" x14ac:dyDescent="0.3">
      <c r="L1357" t="str">
        <f t="shared" si="42"/>
        <v/>
      </c>
      <c r="N1357" t="str">
        <f t="shared" si="43"/>
        <v/>
      </c>
    </row>
    <row r="1358" spans="12:14" x14ac:dyDescent="0.3">
      <c r="L1358" t="str">
        <f t="shared" si="42"/>
        <v/>
      </c>
      <c r="N1358" t="str">
        <f t="shared" si="43"/>
        <v/>
      </c>
    </row>
    <row r="1359" spans="12:14" x14ac:dyDescent="0.3">
      <c r="L1359" t="str">
        <f t="shared" si="42"/>
        <v/>
      </c>
      <c r="N1359" t="str">
        <f t="shared" si="43"/>
        <v/>
      </c>
    </row>
    <row r="1360" spans="12:14" x14ac:dyDescent="0.3">
      <c r="L1360" t="str">
        <f t="shared" si="42"/>
        <v/>
      </c>
      <c r="N1360" t="str">
        <f t="shared" si="43"/>
        <v/>
      </c>
    </row>
    <row r="1361" spans="12:14" x14ac:dyDescent="0.3">
      <c r="L1361" t="str">
        <f t="shared" si="42"/>
        <v/>
      </c>
      <c r="N1361" t="str">
        <f t="shared" si="43"/>
        <v/>
      </c>
    </row>
    <row r="1362" spans="12:14" x14ac:dyDescent="0.3">
      <c r="L1362" t="str">
        <f t="shared" si="42"/>
        <v/>
      </c>
      <c r="N1362" t="str">
        <f t="shared" si="43"/>
        <v/>
      </c>
    </row>
    <row r="1363" spans="12:14" x14ac:dyDescent="0.3">
      <c r="L1363" t="str">
        <f t="shared" si="42"/>
        <v/>
      </c>
      <c r="N1363" t="str">
        <f t="shared" si="43"/>
        <v/>
      </c>
    </row>
    <row r="1364" spans="12:14" x14ac:dyDescent="0.3">
      <c r="L1364" t="str">
        <f t="shared" si="42"/>
        <v/>
      </c>
      <c r="N1364" t="str">
        <f t="shared" si="43"/>
        <v/>
      </c>
    </row>
    <row r="1365" spans="12:14" x14ac:dyDescent="0.3">
      <c r="L1365" t="str">
        <f t="shared" si="42"/>
        <v/>
      </c>
      <c r="N1365" t="str">
        <f t="shared" si="43"/>
        <v/>
      </c>
    </row>
    <row r="1366" spans="12:14" x14ac:dyDescent="0.3">
      <c r="L1366" t="str">
        <f t="shared" si="42"/>
        <v/>
      </c>
      <c r="N1366" t="str">
        <f t="shared" si="43"/>
        <v/>
      </c>
    </row>
    <row r="1367" spans="12:14" x14ac:dyDescent="0.3">
      <c r="L1367" t="str">
        <f t="shared" si="42"/>
        <v/>
      </c>
      <c r="N1367" t="str">
        <f t="shared" si="43"/>
        <v/>
      </c>
    </row>
    <row r="1368" spans="12:14" x14ac:dyDescent="0.3">
      <c r="L1368" t="str">
        <f t="shared" si="42"/>
        <v/>
      </c>
      <c r="N1368" t="str">
        <f t="shared" si="43"/>
        <v/>
      </c>
    </row>
    <row r="1369" spans="12:14" x14ac:dyDescent="0.3">
      <c r="L1369" t="str">
        <f t="shared" si="42"/>
        <v/>
      </c>
      <c r="N1369" t="str">
        <f t="shared" si="43"/>
        <v/>
      </c>
    </row>
    <row r="1370" spans="12:14" x14ac:dyDescent="0.3">
      <c r="L1370" t="str">
        <f t="shared" si="42"/>
        <v/>
      </c>
      <c r="N1370" t="str">
        <f t="shared" si="43"/>
        <v/>
      </c>
    </row>
    <row r="1371" spans="12:14" x14ac:dyDescent="0.3">
      <c r="L1371" t="str">
        <f t="shared" si="42"/>
        <v/>
      </c>
      <c r="N1371" t="str">
        <f t="shared" si="43"/>
        <v/>
      </c>
    </row>
    <row r="1372" spans="12:14" x14ac:dyDescent="0.3">
      <c r="L1372" t="str">
        <f t="shared" si="42"/>
        <v/>
      </c>
      <c r="N1372" t="str">
        <f t="shared" si="43"/>
        <v/>
      </c>
    </row>
    <row r="1373" spans="12:14" x14ac:dyDescent="0.3">
      <c r="L1373" t="str">
        <f t="shared" si="42"/>
        <v/>
      </c>
      <c r="N1373" t="str">
        <f t="shared" si="43"/>
        <v/>
      </c>
    </row>
    <row r="1374" spans="12:14" x14ac:dyDescent="0.3">
      <c r="L1374" t="str">
        <f t="shared" si="42"/>
        <v/>
      </c>
      <c r="N1374" t="str">
        <f t="shared" si="43"/>
        <v/>
      </c>
    </row>
    <row r="1375" spans="12:14" x14ac:dyDescent="0.3">
      <c r="L1375" t="str">
        <f t="shared" si="42"/>
        <v/>
      </c>
      <c r="N1375" t="str">
        <f t="shared" si="43"/>
        <v/>
      </c>
    </row>
    <row r="1376" spans="12:14" x14ac:dyDescent="0.3">
      <c r="L1376" t="str">
        <f t="shared" si="42"/>
        <v/>
      </c>
      <c r="N1376" t="str">
        <f t="shared" si="43"/>
        <v/>
      </c>
    </row>
    <row r="1377" spans="12:14" x14ac:dyDescent="0.3">
      <c r="L1377" t="str">
        <f t="shared" si="42"/>
        <v/>
      </c>
      <c r="N1377" t="str">
        <f t="shared" si="43"/>
        <v/>
      </c>
    </row>
    <row r="1378" spans="12:14" x14ac:dyDescent="0.3">
      <c r="L1378" t="str">
        <f t="shared" si="42"/>
        <v/>
      </c>
      <c r="N1378" t="str">
        <f t="shared" si="43"/>
        <v/>
      </c>
    </row>
    <row r="1379" spans="12:14" x14ac:dyDescent="0.3">
      <c r="L1379" t="str">
        <f t="shared" si="42"/>
        <v/>
      </c>
      <c r="N1379" t="str">
        <f t="shared" si="43"/>
        <v/>
      </c>
    </row>
    <row r="1380" spans="12:14" x14ac:dyDescent="0.3">
      <c r="L1380" t="str">
        <f t="shared" si="42"/>
        <v/>
      </c>
      <c r="N1380" t="str">
        <f t="shared" si="43"/>
        <v/>
      </c>
    </row>
    <row r="1381" spans="12:14" x14ac:dyDescent="0.3">
      <c r="L1381" t="str">
        <f t="shared" si="42"/>
        <v/>
      </c>
      <c r="N1381" t="str">
        <f t="shared" si="43"/>
        <v/>
      </c>
    </row>
    <row r="1382" spans="12:14" x14ac:dyDescent="0.3">
      <c r="L1382" t="str">
        <f t="shared" si="42"/>
        <v/>
      </c>
      <c r="N1382" t="str">
        <f t="shared" si="43"/>
        <v/>
      </c>
    </row>
    <row r="1383" spans="12:14" x14ac:dyDescent="0.3">
      <c r="L1383" t="str">
        <f t="shared" si="42"/>
        <v/>
      </c>
      <c r="N1383" t="str">
        <f t="shared" si="43"/>
        <v/>
      </c>
    </row>
    <row r="1384" spans="12:14" x14ac:dyDescent="0.3">
      <c r="L1384" t="str">
        <f t="shared" si="42"/>
        <v/>
      </c>
      <c r="N1384" t="str">
        <f t="shared" si="43"/>
        <v/>
      </c>
    </row>
    <row r="1385" spans="12:14" x14ac:dyDescent="0.3">
      <c r="L1385" t="str">
        <f t="shared" si="42"/>
        <v/>
      </c>
      <c r="N1385" t="str">
        <f t="shared" si="43"/>
        <v/>
      </c>
    </row>
    <row r="1386" spans="12:14" x14ac:dyDescent="0.3">
      <c r="L1386" t="str">
        <f t="shared" si="42"/>
        <v/>
      </c>
      <c r="N1386" t="str">
        <f t="shared" si="43"/>
        <v/>
      </c>
    </row>
    <row r="1387" spans="12:14" x14ac:dyDescent="0.3">
      <c r="L1387" t="str">
        <f t="shared" si="42"/>
        <v/>
      </c>
      <c r="N1387" t="str">
        <f t="shared" si="43"/>
        <v/>
      </c>
    </row>
    <row r="1388" spans="12:14" x14ac:dyDescent="0.3">
      <c r="L1388" t="str">
        <f t="shared" si="42"/>
        <v/>
      </c>
      <c r="N1388" t="str">
        <f t="shared" si="43"/>
        <v/>
      </c>
    </row>
    <row r="1389" spans="12:14" x14ac:dyDescent="0.3">
      <c r="L1389" t="str">
        <f t="shared" si="42"/>
        <v/>
      </c>
      <c r="N1389" t="str">
        <f t="shared" si="43"/>
        <v/>
      </c>
    </row>
    <row r="1390" spans="12:14" x14ac:dyDescent="0.3">
      <c r="L1390" t="str">
        <f t="shared" si="42"/>
        <v/>
      </c>
      <c r="N1390" t="str">
        <f t="shared" si="43"/>
        <v/>
      </c>
    </row>
    <row r="1391" spans="12:14" x14ac:dyDescent="0.3">
      <c r="L1391" t="str">
        <f t="shared" si="42"/>
        <v/>
      </c>
      <c r="N1391" t="str">
        <f t="shared" si="43"/>
        <v/>
      </c>
    </row>
    <row r="1392" spans="12:14" x14ac:dyDescent="0.3">
      <c r="L1392" t="str">
        <f t="shared" si="42"/>
        <v/>
      </c>
      <c r="N1392" t="str">
        <f t="shared" si="43"/>
        <v/>
      </c>
    </row>
    <row r="1393" spans="12:14" x14ac:dyDescent="0.3">
      <c r="L1393" t="str">
        <f t="shared" si="42"/>
        <v/>
      </c>
      <c r="N1393" t="str">
        <f t="shared" si="43"/>
        <v/>
      </c>
    </row>
    <row r="1394" spans="12:14" x14ac:dyDescent="0.3">
      <c r="L1394" t="str">
        <f t="shared" si="42"/>
        <v/>
      </c>
      <c r="N1394" t="str">
        <f t="shared" si="43"/>
        <v/>
      </c>
    </row>
    <row r="1395" spans="12:14" x14ac:dyDescent="0.3">
      <c r="L1395" t="str">
        <f t="shared" si="42"/>
        <v/>
      </c>
      <c r="N1395" t="str">
        <f t="shared" si="43"/>
        <v/>
      </c>
    </row>
    <row r="1396" spans="12:14" x14ac:dyDescent="0.3">
      <c r="L1396" t="str">
        <f t="shared" si="42"/>
        <v/>
      </c>
      <c r="N1396" t="str">
        <f t="shared" si="43"/>
        <v/>
      </c>
    </row>
    <row r="1397" spans="12:14" x14ac:dyDescent="0.3">
      <c r="L1397" t="str">
        <f t="shared" si="42"/>
        <v/>
      </c>
      <c r="N1397" t="str">
        <f t="shared" si="43"/>
        <v/>
      </c>
    </row>
    <row r="1398" spans="12:14" x14ac:dyDescent="0.3">
      <c r="L1398" t="str">
        <f t="shared" si="42"/>
        <v/>
      </c>
      <c r="N1398" t="str">
        <f t="shared" si="43"/>
        <v/>
      </c>
    </row>
    <row r="1399" spans="12:14" x14ac:dyDescent="0.3">
      <c r="L1399" t="str">
        <f t="shared" si="42"/>
        <v/>
      </c>
      <c r="N1399" t="str">
        <f t="shared" si="43"/>
        <v/>
      </c>
    </row>
    <row r="1400" spans="12:14" x14ac:dyDescent="0.3">
      <c r="L1400" t="str">
        <f t="shared" si="42"/>
        <v/>
      </c>
      <c r="N1400" t="str">
        <f t="shared" si="43"/>
        <v/>
      </c>
    </row>
    <row r="1401" spans="12:14" x14ac:dyDescent="0.3">
      <c r="L1401" t="str">
        <f t="shared" si="42"/>
        <v/>
      </c>
      <c r="N1401" t="str">
        <f t="shared" si="43"/>
        <v/>
      </c>
    </row>
    <row r="1402" spans="12:14" x14ac:dyDescent="0.3">
      <c r="L1402" t="str">
        <f t="shared" si="42"/>
        <v/>
      </c>
      <c r="N1402" t="str">
        <f t="shared" si="43"/>
        <v/>
      </c>
    </row>
    <row r="1403" spans="12:14" x14ac:dyDescent="0.3">
      <c r="L1403" t="str">
        <f t="shared" si="42"/>
        <v/>
      </c>
      <c r="N1403" t="str">
        <f t="shared" si="43"/>
        <v/>
      </c>
    </row>
    <row r="1404" spans="12:14" x14ac:dyDescent="0.3">
      <c r="L1404" t="str">
        <f t="shared" si="42"/>
        <v/>
      </c>
      <c r="N1404" t="str">
        <f t="shared" si="43"/>
        <v/>
      </c>
    </row>
    <row r="1405" spans="12:14" x14ac:dyDescent="0.3">
      <c r="L1405" t="str">
        <f t="shared" si="42"/>
        <v/>
      </c>
      <c r="N1405" t="str">
        <f t="shared" si="43"/>
        <v/>
      </c>
    </row>
    <row r="1406" spans="12:14" x14ac:dyDescent="0.3">
      <c r="L1406" t="str">
        <f t="shared" si="42"/>
        <v/>
      </c>
      <c r="N1406" t="str">
        <f t="shared" si="43"/>
        <v/>
      </c>
    </row>
    <row r="1407" spans="12:14" x14ac:dyDescent="0.3">
      <c r="L1407" t="str">
        <f t="shared" si="42"/>
        <v/>
      </c>
      <c r="N1407" t="str">
        <f t="shared" si="43"/>
        <v/>
      </c>
    </row>
    <row r="1408" spans="12:14" x14ac:dyDescent="0.3">
      <c r="L1408" t="str">
        <f t="shared" si="42"/>
        <v/>
      </c>
      <c r="N1408" t="str">
        <f t="shared" si="43"/>
        <v/>
      </c>
    </row>
    <row r="1409" spans="12:14" x14ac:dyDescent="0.3">
      <c r="L1409" t="str">
        <f t="shared" ref="L1409:L1472" si="44">IF(A1409="","",IF(ISNUMBER(--LEFT(A1409,FIND(" - ",A1409&amp;" - ")-1)),LEFT(A1409,FIND(" - ",A1409&amp;" - ")-1),TRIM(A1409)))</f>
        <v/>
      </c>
      <c r="N1409" t="str">
        <f t="shared" ref="N1409:N1472" si="45">IF(L1409="","",IF(ISNUMBER(INDEX(A1409:H1409,$P$1)),INDEX(A1409:H1409,$P$1),IFERROR(_xlfn.NUMBERVALUE(INDEX(A1409:H1409,$P$1),".",","),0)))</f>
        <v/>
      </c>
    </row>
    <row r="1410" spans="12:14" x14ac:dyDescent="0.3">
      <c r="L1410" t="str">
        <f t="shared" si="44"/>
        <v/>
      </c>
      <c r="N1410" t="str">
        <f t="shared" si="45"/>
        <v/>
      </c>
    </row>
    <row r="1411" spans="12:14" x14ac:dyDescent="0.3">
      <c r="L1411" t="str">
        <f t="shared" si="44"/>
        <v/>
      </c>
      <c r="N1411" t="str">
        <f t="shared" si="45"/>
        <v/>
      </c>
    </row>
    <row r="1412" spans="12:14" x14ac:dyDescent="0.3">
      <c r="L1412" t="str">
        <f t="shared" si="44"/>
        <v/>
      </c>
      <c r="N1412" t="str">
        <f t="shared" si="45"/>
        <v/>
      </c>
    </row>
    <row r="1413" spans="12:14" x14ac:dyDescent="0.3">
      <c r="L1413" t="str">
        <f t="shared" si="44"/>
        <v/>
      </c>
      <c r="N1413" t="str">
        <f t="shared" si="45"/>
        <v/>
      </c>
    </row>
    <row r="1414" spans="12:14" x14ac:dyDescent="0.3">
      <c r="L1414" t="str">
        <f t="shared" si="44"/>
        <v/>
      </c>
      <c r="N1414" t="str">
        <f t="shared" si="45"/>
        <v/>
      </c>
    </row>
    <row r="1415" spans="12:14" x14ac:dyDescent="0.3">
      <c r="L1415" t="str">
        <f t="shared" si="44"/>
        <v/>
      </c>
      <c r="N1415" t="str">
        <f t="shared" si="45"/>
        <v/>
      </c>
    </row>
    <row r="1416" spans="12:14" x14ac:dyDescent="0.3">
      <c r="L1416" t="str">
        <f t="shared" si="44"/>
        <v/>
      </c>
      <c r="N1416" t="str">
        <f t="shared" si="45"/>
        <v/>
      </c>
    </row>
    <row r="1417" spans="12:14" x14ac:dyDescent="0.3">
      <c r="L1417" t="str">
        <f t="shared" si="44"/>
        <v/>
      </c>
      <c r="N1417" t="str">
        <f t="shared" si="45"/>
        <v/>
      </c>
    </row>
    <row r="1418" spans="12:14" x14ac:dyDescent="0.3">
      <c r="L1418" t="str">
        <f t="shared" si="44"/>
        <v/>
      </c>
      <c r="N1418" t="str">
        <f t="shared" si="45"/>
        <v/>
      </c>
    </row>
    <row r="1419" spans="12:14" x14ac:dyDescent="0.3">
      <c r="L1419" t="str">
        <f t="shared" si="44"/>
        <v/>
      </c>
      <c r="N1419" t="str">
        <f t="shared" si="45"/>
        <v/>
      </c>
    </row>
    <row r="1420" spans="12:14" x14ac:dyDescent="0.3">
      <c r="L1420" t="str">
        <f t="shared" si="44"/>
        <v/>
      </c>
      <c r="N1420" t="str">
        <f t="shared" si="45"/>
        <v/>
      </c>
    </row>
    <row r="1421" spans="12:14" x14ac:dyDescent="0.3">
      <c r="L1421" t="str">
        <f t="shared" si="44"/>
        <v/>
      </c>
      <c r="N1421" t="str">
        <f t="shared" si="45"/>
        <v/>
      </c>
    </row>
    <row r="1422" spans="12:14" x14ac:dyDescent="0.3">
      <c r="L1422" t="str">
        <f t="shared" si="44"/>
        <v/>
      </c>
      <c r="N1422" t="str">
        <f t="shared" si="45"/>
        <v/>
      </c>
    </row>
    <row r="1423" spans="12:14" x14ac:dyDescent="0.3">
      <c r="L1423" t="str">
        <f t="shared" si="44"/>
        <v/>
      </c>
      <c r="N1423" t="str">
        <f t="shared" si="45"/>
        <v/>
      </c>
    </row>
    <row r="1424" spans="12:14" x14ac:dyDescent="0.3">
      <c r="L1424" t="str">
        <f t="shared" si="44"/>
        <v/>
      </c>
      <c r="N1424" t="str">
        <f t="shared" si="45"/>
        <v/>
      </c>
    </row>
    <row r="1425" spans="12:14" x14ac:dyDescent="0.3">
      <c r="L1425" t="str">
        <f t="shared" si="44"/>
        <v/>
      </c>
      <c r="N1425" t="str">
        <f t="shared" si="45"/>
        <v/>
      </c>
    </row>
    <row r="1426" spans="12:14" x14ac:dyDescent="0.3">
      <c r="L1426" t="str">
        <f t="shared" si="44"/>
        <v/>
      </c>
      <c r="N1426" t="str">
        <f t="shared" si="45"/>
        <v/>
      </c>
    </row>
    <row r="1427" spans="12:14" x14ac:dyDescent="0.3">
      <c r="L1427" t="str">
        <f t="shared" si="44"/>
        <v/>
      </c>
      <c r="N1427" t="str">
        <f t="shared" si="45"/>
        <v/>
      </c>
    </row>
    <row r="1428" spans="12:14" x14ac:dyDescent="0.3">
      <c r="L1428" t="str">
        <f t="shared" si="44"/>
        <v/>
      </c>
      <c r="N1428" t="str">
        <f t="shared" si="45"/>
        <v/>
      </c>
    </row>
    <row r="1429" spans="12:14" x14ac:dyDescent="0.3">
      <c r="L1429" t="str">
        <f t="shared" si="44"/>
        <v/>
      </c>
      <c r="N1429" t="str">
        <f t="shared" si="45"/>
        <v/>
      </c>
    </row>
    <row r="1430" spans="12:14" x14ac:dyDescent="0.3">
      <c r="L1430" t="str">
        <f t="shared" si="44"/>
        <v/>
      </c>
      <c r="N1430" t="str">
        <f t="shared" si="45"/>
        <v/>
      </c>
    </row>
    <row r="1431" spans="12:14" x14ac:dyDescent="0.3">
      <c r="L1431" t="str">
        <f t="shared" si="44"/>
        <v/>
      </c>
      <c r="N1431" t="str">
        <f t="shared" si="45"/>
        <v/>
      </c>
    </row>
    <row r="1432" spans="12:14" x14ac:dyDescent="0.3">
      <c r="L1432" t="str">
        <f t="shared" si="44"/>
        <v/>
      </c>
      <c r="N1432" t="str">
        <f t="shared" si="45"/>
        <v/>
      </c>
    </row>
    <row r="1433" spans="12:14" x14ac:dyDescent="0.3">
      <c r="L1433" t="str">
        <f t="shared" si="44"/>
        <v/>
      </c>
      <c r="N1433" t="str">
        <f t="shared" si="45"/>
        <v/>
      </c>
    </row>
    <row r="1434" spans="12:14" x14ac:dyDescent="0.3">
      <c r="L1434" t="str">
        <f t="shared" si="44"/>
        <v/>
      </c>
      <c r="N1434" t="str">
        <f t="shared" si="45"/>
        <v/>
      </c>
    </row>
    <row r="1435" spans="12:14" x14ac:dyDescent="0.3">
      <c r="L1435" t="str">
        <f t="shared" si="44"/>
        <v/>
      </c>
      <c r="N1435" t="str">
        <f t="shared" si="45"/>
        <v/>
      </c>
    </row>
    <row r="1436" spans="12:14" x14ac:dyDescent="0.3">
      <c r="L1436" t="str">
        <f t="shared" si="44"/>
        <v/>
      </c>
      <c r="N1436" t="str">
        <f t="shared" si="45"/>
        <v/>
      </c>
    </row>
    <row r="1437" spans="12:14" x14ac:dyDescent="0.3">
      <c r="L1437" t="str">
        <f t="shared" si="44"/>
        <v/>
      </c>
      <c r="N1437" t="str">
        <f t="shared" si="45"/>
        <v/>
      </c>
    </row>
    <row r="1438" spans="12:14" x14ac:dyDescent="0.3">
      <c r="L1438" t="str">
        <f t="shared" si="44"/>
        <v/>
      </c>
      <c r="N1438" t="str">
        <f t="shared" si="45"/>
        <v/>
      </c>
    </row>
    <row r="1439" spans="12:14" x14ac:dyDescent="0.3">
      <c r="L1439" t="str">
        <f t="shared" si="44"/>
        <v/>
      </c>
      <c r="N1439" t="str">
        <f t="shared" si="45"/>
        <v/>
      </c>
    </row>
    <row r="1440" spans="12:14" x14ac:dyDescent="0.3">
      <c r="L1440" t="str">
        <f t="shared" si="44"/>
        <v/>
      </c>
      <c r="N1440" t="str">
        <f t="shared" si="45"/>
        <v/>
      </c>
    </row>
    <row r="1441" spans="12:14" x14ac:dyDescent="0.3">
      <c r="L1441" t="str">
        <f t="shared" si="44"/>
        <v/>
      </c>
      <c r="N1441" t="str">
        <f t="shared" si="45"/>
        <v/>
      </c>
    </row>
    <row r="1442" spans="12:14" x14ac:dyDescent="0.3">
      <c r="L1442" t="str">
        <f t="shared" si="44"/>
        <v/>
      </c>
      <c r="N1442" t="str">
        <f t="shared" si="45"/>
        <v/>
      </c>
    </row>
    <row r="1443" spans="12:14" x14ac:dyDescent="0.3">
      <c r="L1443" t="str">
        <f t="shared" si="44"/>
        <v/>
      </c>
      <c r="N1443" t="str">
        <f t="shared" si="45"/>
        <v/>
      </c>
    </row>
    <row r="1444" spans="12:14" x14ac:dyDescent="0.3">
      <c r="L1444" t="str">
        <f t="shared" si="44"/>
        <v/>
      </c>
      <c r="N1444" t="str">
        <f t="shared" si="45"/>
        <v/>
      </c>
    </row>
    <row r="1445" spans="12:14" x14ac:dyDescent="0.3">
      <c r="L1445" t="str">
        <f t="shared" si="44"/>
        <v/>
      </c>
      <c r="N1445" t="str">
        <f t="shared" si="45"/>
        <v/>
      </c>
    </row>
    <row r="1446" spans="12:14" x14ac:dyDescent="0.3">
      <c r="L1446" t="str">
        <f t="shared" si="44"/>
        <v/>
      </c>
      <c r="N1446" t="str">
        <f t="shared" si="45"/>
        <v/>
      </c>
    </row>
    <row r="1447" spans="12:14" x14ac:dyDescent="0.3">
      <c r="L1447" t="str">
        <f t="shared" si="44"/>
        <v/>
      </c>
      <c r="N1447" t="str">
        <f t="shared" si="45"/>
        <v/>
      </c>
    </row>
    <row r="1448" spans="12:14" x14ac:dyDescent="0.3">
      <c r="L1448" t="str">
        <f t="shared" si="44"/>
        <v/>
      </c>
      <c r="N1448" t="str">
        <f t="shared" si="45"/>
        <v/>
      </c>
    </row>
    <row r="1449" spans="12:14" x14ac:dyDescent="0.3">
      <c r="L1449" t="str">
        <f t="shared" si="44"/>
        <v/>
      </c>
      <c r="N1449" t="str">
        <f t="shared" si="45"/>
        <v/>
      </c>
    </row>
    <row r="1450" spans="12:14" x14ac:dyDescent="0.3">
      <c r="L1450" t="str">
        <f t="shared" si="44"/>
        <v/>
      </c>
      <c r="N1450" t="str">
        <f t="shared" si="45"/>
        <v/>
      </c>
    </row>
    <row r="1451" spans="12:14" x14ac:dyDescent="0.3">
      <c r="L1451" t="str">
        <f t="shared" si="44"/>
        <v/>
      </c>
      <c r="N1451" t="str">
        <f t="shared" si="45"/>
        <v/>
      </c>
    </row>
    <row r="1452" spans="12:14" x14ac:dyDescent="0.3">
      <c r="L1452" t="str">
        <f t="shared" si="44"/>
        <v/>
      </c>
      <c r="N1452" t="str">
        <f t="shared" si="45"/>
        <v/>
      </c>
    </row>
    <row r="1453" spans="12:14" x14ac:dyDescent="0.3">
      <c r="L1453" t="str">
        <f t="shared" si="44"/>
        <v/>
      </c>
      <c r="N1453" t="str">
        <f t="shared" si="45"/>
        <v/>
      </c>
    </row>
    <row r="1454" spans="12:14" x14ac:dyDescent="0.3">
      <c r="L1454" t="str">
        <f t="shared" si="44"/>
        <v/>
      </c>
      <c r="N1454" t="str">
        <f t="shared" si="45"/>
        <v/>
      </c>
    </row>
    <row r="1455" spans="12:14" x14ac:dyDescent="0.3">
      <c r="L1455" t="str">
        <f t="shared" si="44"/>
        <v/>
      </c>
      <c r="N1455" t="str">
        <f t="shared" si="45"/>
        <v/>
      </c>
    </row>
    <row r="1456" spans="12:14" x14ac:dyDescent="0.3">
      <c r="L1456" t="str">
        <f t="shared" si="44"/>
        <v/>
      </c>
      <c r="N1456" t="str">
        <f t="shared" si="45"/>
        <v/>
      </c>
    </row>
    <row r="1457" spans="12:14" x14ac:dyDescent="0.3">
      <c r="L1457" t="str">
        <f t="shared" si="44"/>
        <v/>
      </c>
      <c r="N1457" t="str">
        <f t="shared" si="45"/>
        <v/>
      </c>
    </row>
    <row r="1458" spans="12:14" x14ac:dyDescent="0.3">
      <c r="L1458" t="str">
        <f t="shared" si="44"/>
        <v/>
      </c>
      <c r="N1458" t="str">
        <f t="shared" si="45"/>
        <v/>
      </c>
    </row>
    <row r="1459" spans="12:14" x14ac:dyDescent="0.3">
      <c r="L1459" t="str">
        <f t="shared" si="44"/>
        <v/>
      </c>
      <c r="N1459" t="str">
        <f t="shared" si="45"/>
        <v/>
      </c>
    </row>
    <row r="1460" spans="12:14" x14ac:dyDescent="0.3">
      <c r="L1460" t="str">
        <f t="shared" si="44"/>
        <v/>
      </c>
      <c r="N1460" t="str">
        <f t="shared" si="45"/>
        <v/>
      </c>
    </row>
    <row r="1461" spans="12:14" x14ac:dyDescent="0.3">
      <c r="L1461" t="str">
        <f t="shared" si="44"/>
        <v/>
      </c>
      <c r="N1461" t="str">
        <f t="shared" si="45"/>
        <v/>
      </c>
    </row>
    <row r="1462" spans="12:14" x14ac:dyDescent="0.3">
      <c r="L1462" t="str">
        <f t="shared" si="44"/>
        <v/>
      </c>
      <c r="N1462" t="str">
        <f t="shared" si="45"/>
        <v/>
      </c>
    </row>
    <row r="1463" spans="12:14" x14ac:dyDescent="0.3">
      <c r="L1463" t="str">
        <f t="shared" si="44"/>
        <v/>
      </c>
      <c r="N1463" t="str">
        <f t="shared" si="45"/>
        <v/>
      </c>
    </row>
    <row r="1464" spans="12:14" x14ac:dyDescent="0.3">
      <c r="L1464" t="str">
        <f t="shared" si="44"/>
        <v/>
      </c>
      <c r="N1464" t="str">
        <f t="shared" si="45"/>
        <v/>
      </c>
    </row>
    <row r="1465" spans="12:14" x14ac:dyDescent="0.3">
      <c r="L1465" t="str">
        <f t="shared" si="44"/>
        <v/>
      </c>
      <c r="N1465" t="str">
        <f t="shared" si="45"/>
        <v/>
      </c>
    </row>
    <row r="1466" spans="12:14" x14ac:dyDescent="0.3">
      <c r="L1466" t="str">
        <f t="shared" si="44"/>
        <v/>
      </c>
      <c r="N1466" t="str">
        <f t="shared" si="45"/>
        <v/>
      </c>
    </row>
    <row r="1467" spans="12:14" x14ac:dyDescent="0.3">
      <c r="L1467" t="str">
        <f t="shared" si="44"/>
        <v/>
      </c>
      <c r="N1467" t="str">
        <f t="shared" si="45"/>
        <v/>
      </c>
    </row>
    <row r="1468" spans="12:14" x14ac:dyDescent="0.3">
      <c r="L1468" t="str">
        <f t="shared" si="44"/>
        <v/>
      </c>
      <c r="N1468" t="str">
        <f t="shared" si="45"/>
        <v/>
      </c>
    </row>
    <row r="1469" spans="12:14" x14ac:dyDescent="0.3">
      <c r="L1469" t="str">
        <f t="shared" si="44"/>
        <v/>
      </c>
      <c r="N1469" t="str">
        <f t="shared" si="45"/>
        <v/>
      </c>
    </row>
    <row r="1470" spans="12:14" x14ac:dyDescent="0.3">
      <c r="L1470" t="str">
        <f t="shared" si="44"/>
        <v/>
      </c>
      <c r="N1470" t="str">
        <f t="shared" si="45"/>
        <v/>
      </c>
    </row>
    <row r="1471" spans="12:14" x14ac:dyDescent="0.3">
      <c r="L1471" t="str">
        <f t="shared" si="44"/>
        <v/>
      </c>
      <c r="N1471" t="str">
        <f t="shared" si="45"/>
        <v/>
      </c>
    </row>
    <row r="1472" spans="12:14" x14ac:dyDescent="0.3">
      <c r="L1472" t="str">
        <f t="shared" si="44"/>
        <v/>
      </c>
      <c r="N1472" t="str">
        <f t="shared" si="45"/>
        <v/>
      </c>
    </row>
    <row r="1473" spans="12:14" x14ac:dyDescent="0.3">
      <c r="L1473" t="str">
        <f t="shared" ref="L1473:L1500" si="46">IF(A1473="","",IF(ISNUMBER(--LEFT(A1473,FIND(" - ",A1473&amp;" - ")-1)),LEFT(A1473,FIND(" - ",A1473&amp;" - ")-1),TRIM(A1473)))</f>
        <v/>
      </c>
      <c r="N1473" t="str">
        <f t="shared" ref="N1473:N1500" si="47">IF(L1473="","",IF(ISNUMBER(INDEX(A1473:H1473,$P$1)),INDEX(A1473:H1473,$P$1),IFERROR(_xlfn.NUMBERVALUE(INDEX(A1473:H1473,$P$1),".",","),0)))</f>
        <v/>
      </c>
    </row>
    <row r="1474" spans="12:14" x14ac:dyDescent="0.3">
      <c r="L1474" t="str">
        <f t="shared" si="46"/>
        <v/>
      </c>
      <c r="N1474" t="str">
        <f t="shared" si="47"/>
        <v/>
      </c>
    </row>
    <row r="1475" spans="12:14" x14ac:dyDescent="0.3">
      <c r="L1475" t="str">
        <f t="shared" si="46"/>
        <v/>
      </c>
      <c r="N1475" t="str">
        <f t="shared" si="47"/>
        <v/>
      </c>
    </row>
    <row r="1476" spans="12:14" x14ac:dyDescent="0.3">
      <c r="L1476" t="str">
        <f t="shared" si="46"/>
        <v/>
      </c>
      <c r="N1476" t="str">
        <f t="shared" si="47"/>
        <v/>
      </c>
    </row>
    <row r="1477" spans="12:14" x14ac:dyDescent="0.3">
      <c r="L1477" t="str">
        <f t="shared" si="46"/>
        <v/>
      </c>
      <c r="N1477" t="str">
        <f t="shared" si="47"/>
        <v/>
      </c>
    </row>
    <row r="1478" spans="12:14" x14ac:dyDescent="0.3">
      <c r="L1478" t="str">
        <f t="shared" si="46"/>
        <v/>
      </c>
      <c r="N1478" t="str">
        <f t="shared" si="47"/>
        <v/>
      </c>
    </row>
    <row r="1479" spans="12:14" x14ac:dyDescent="0.3">
      <c r="L1479" t="str">
        <f t="shared" si="46"/>
        <v/>
      </c>
      <c r="N1479" t="str">
        <f t="shared" si="47"/>
        <v/>
      </c>
    </row>
    <row r="1480" spans="12:14" x14ac:dyDescent="0.3">
      <c r="L1480" t="str">
        <f t="shared" si="46"/>
        <v/>
      </c>
      <c r="N1480" t="str">
        <f t="shared" si="47"/>
        <v/>
      </c>
    </row>
    <row r="1481" spans="12:14" x14ac:dyDescent="0.3">
      <c r="L1481" t="str">
        <f t="shared" si="46"/>
        <v/>
      </c>
      <c r="N1481" t="str">
        <f t="shared" si="47"/>
        <v/>
      </c>
    </row>
    <row r="1482" spans="12:14" x14ac:dyDescent="0.3">
      <c r="L1482" t="str">
        <f t="shared" si="46"/>
        <v/>
      </c>
      <c r="N1482" t="str">
        <f t="shared" si="47"/>
        <v/>
      </c>
    </row>
    <row r="1483" spans="12:14" x14ac:dyDescent="0.3">
      <c r="L1483" t="str">
        <f t="shared" si="46"/>
        <v/>
      </c>
      <c r="N1483" t="str">
        <f t="shared" si="47"/>
        <v/>
      </c>
    </row>
    <row r="1484" spans="12:14" x14ac:dyDescent="0.3">
      <c r="L1484" t="str">
        <f t="shared" si="46"/>
        <v/>
      </c>
      <c r="N1484" t="str">
        <f t="shared" si="47"/>
        <v/>
      </c>
    </row>
    <row r="1485" spans="12:14" x14ac:dyDescent="0.3">
      <c r="L1485" t="str">
        <f t="shared" si="46"/>
        <v/>
      </c>
      <c r="N1485" t="str">
        <f t="shared" si="47"/>
        <v/>
      </c>
    </row>
    <row r="1486" spans="12:14" x14ac:dyDescent="0.3">
      <c r="L1486" t="str">
        <f t="shared" si="46"/>
        <v/>
      </c>
      <c r="N1486" t="str">
        <f t="shared" si="47"/>
        <v/>
      </c>
    </row>
    <row r="1487" spans="12:14" x14ac:dyDescent="0.3">
      <c r="L1487" t="str">
        <f t="shared" si="46"/>
        <v/>
      </c>
      <c r="N1487" t="str">
        <f t="shared" si="47"/>
        <v/>
      </c>
    </row>
    <row r="1488" spans="12:14" x14ac:dyDescent="0.3">
      <c r="L1488" t="str">
        <f t="shared" si="46"/>
        <v/>
      </c>
      <c r="N1488" t="str">
        <f t="shared" si="47"/>
        <v/>
      </c>
    </row>
    <row r="1489" spans="12:14" x14ac:dyDescent="0.3">
      <c r="L1489" t="str">
        <f t="shared" si="46"/>
        <v/>
      </c>
      <c r="N1489" t="str">
        <f t="shared" si="47"/>
        <v/>
      </c>
    </row>
    <row r="1490" spans="12:14" x14ac:dyDescent="0.3">
      <c r="L1490" t="str">
        <f t="shared" si="46"/>
        <v/>
      </c>
      <c r="N1490" t="str">
        <f t="shared" si="47"/>
        <v/>
      </c>
    </row>
    <row r="1491" spans="12:14" x14ac:dyDescent="0.3">
      <c r="L1491" t="str">
        <f t="shared" si="46"/>
        <v/>
      </c>
      <c r="N1491" t="str">
        <f t="shared" si="47"/>
        <v/>
      </c>
    </row>
    <row r="1492" spans="12:14" x14ac:dyDescent="0.3">
      <c r="L1492" t="str">
        <f t="shared" si="46"/>
        <v/>
      </c>
      <c r="N1492" t="str">
        <f t="shared" si="47"/>
        <v/>
      </c>
    </row>
    <row r="1493" spans="12:14" x14ac:dyDescent="0.3">
      <c r="L1493" t="str">
        <f t="shared" si="46"/>
        <v/>
      </c>
      <c r="N1493" t="str">
        <f t="shared" si="47"/>
        <v/>
      </c>
    </row>
    <row r="1494" spans="12:14" x14ac:dyDescent="0.3">
      <c r="L1494" t="str">
        <f t="shared" si="46"/>
        <v/>
      </c>
      <c r="N1494" t="str">
        <f t="shared" si="47"/>
        <v/>
      </c>
    </row>
    <row r="1495" spans="12:14" x14ac:dyDescent="0.3">
      <c r="L1495" t="str">
        <f t="shared" si="46"/>
        <v/>
      </c>
      <c r="N1495" t="str">
        <f t="shared" si="47"/>
        <v/>
      </c>
    </row>
    <row r="1496" spans="12:14" x14ac:dyDescent="0.3">
      <c r="L1496" t="str">
        <f t="shared" si="46"/>
        <v/>
      </c>
      <c r="N1496" t="str">
        <f t="shared" si="47"/>
        <v/>
      </c>
    </row>
    <row r="1497" spans="12:14" x14ac:dyDescent="0.3">
      <c r="L1497" t="str">
        <f t="shared" si="46"/>
        <v/>
      </c>
      <c r="N1497" t="str">
        <f t="shared" si="47"/>
        <v/>
      </c>
    </row>
    <row r="1498" spans="12:14" x14ac:dyDescent="0.3">
      <c r="L1498" t="str">
        <f t="shared" si="46"/>
        <v/>
      </c>
      <c r="N1498" t="str">
        <f t="shared" si="47"/>
        <v/>
      </c>
    </row>
    <row r="1499" spans="12:14" x14ac:dyDescent="0.3">
      <c r="L1499" t="str">
        <f t="shared" si="46"/>
        <v/>
      </c>
      <c r="N1499" t="str">
        <f t="shared" si="47"/>
        <v/>
      </c>
    </row>
    <row r="1500" spans="12:14" x14ac:dyDescent="0.3">
      <c r="L1500" t="str">
        <f t="shared" si="46"/>
        <v/>
      </c>
      <c r="N1500" t="str">
        <f t="shared" si="47"/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J1:Q1500"/>
  <sheetViews>
    <sheetView workbookViewId="0"/>
  </sheetViews>
  <sheetFormatPr defaultRowHeight="14.4" x14ac:dyDescent="0.3"/>
  <cols>
    <col min="1" max="1" width="42" customWidth="1"/>
    <col min="2" max="8" width="16" customWidth="1"/>
    <col min="11" max="15" width="14" customWidth="1"/>
  </cols>
  <sheetData>
    <row r="1" spans="10:17" x14ac:dyDescent="0.3">
      <c r="J1" s="45" t="s">
        <v>98</v>
      </c>
      <c r="L1" t="str">
        <f t="shared" ref="L1:L64" si="0">IF(A1="","",IF(ISNUMBER(--LEFT(A1,FIND(" - ",A1&amp;" - ")-1)),LEFT(A1,FIND(" - ",A1&amp;" - ")-1),TRIM(A1)))</f>
        <v/>
      </c>
      <c r="N1" t="str">
        <f t="shared" ref="N1:N64" si="1">IF(L1="","",IF(ISNUMBER(INDEX(A1:H1,$P$1)),INDEX(A1:H1,$P$1),IFERROR(_xlfn.NUMBERVALUE(INDEX(A1:H1,$P$1),".",","),0)))</f>
        <v/>
      </c>
      <c r="P1">
        <f>IFERROR(MATCH("DOANH THU*",A1:H1,0),IFERROR(MATCH("DOANH THU*",A2:H2,0),IFERROR(MATCH("DOANH THU*",A3:H3,0),3)))</f>
        <v>3</v>
      </c>
      <c r="Q1" t="s">
        <v>105</v>
      </c>
    </row>
    <row r="2" spans="10:17" x14ac:dyDescent="0.3">
      <c r="J2" s="46" t="s">
        <v>108</v>
      </c>
      <c r="L2" t="str">
        <f t="shared" si="0"/>
        <v/>
      </c>
      <c r="N2" t="str">
        <f t="shared" si="1"/>
        <v/>
      </c>
    </row>
    <row r="3" spans="10:17" x14ac:dyDescent="0.3">
      <c r="J3" s="47" t="s">
        <v>109</v>
      </c>
      <c r="L3" t="str">
        <f t="shared" si="0"/>
        <v/>
      </c>
      <c r="N3" t="str">
        <f t="shared" si="1"/>
        <v/>
      </c>
    </row>
    <row r="4" spans="10:17" x14ac:dyDescent="0.3">
      <c r="L4" t="str">
        <f t="shared" si="0"/>
        <v/>
      </c>
      <c r="N4" t="str">
        <f t="shared" si="1"/>
        <v/>
      </c>
    </row>
    <row r="5" spans="10:17" x14ac:dyDescent="0.3">
      <c r="L5" t="str">
        <f t="shared" si="0"/>
        <v/>
      </c>
      <c r="N5" t="str">
        <f t="shared" si="1"/>
        <v/>
      </c>
    </row>
    <row r="6" spans="10:17" x14ac:dyDescent="0.3">
      <c r="L6" t="str">
        <f t="shared" si="0"/>
        <v/>
      </c>
      <c r="N6" t="str">
        <f t="shared" si="1"/>
        <v/>
      </c>
    </row>
    <row r="7" spans="10:17" x14ac:dyDescent="0.3">
      <c r="L7" t="str">
        <f t="shared" si="0"/>
        <v/>
      </c>
      <c r="N7" t="str">
        <f t="shared" si="1"/>
        <v/>
      </c>
    </row>
    <row r="8" spans="10:17" x14ac:dyDescent="0.3">
      <c r="L8" t="str">
        <f t="shared" si="0"/>
        <v/>
      </c>
      <c r="N8" t="str">
        <f t="shared" si="1"/>
        <v/>
      </c>
    </row>
    <row r="9" spans="10:17" x14ac:dyDescent="0.3">
      <c r="L9" t="str">
        <f t="shared" si="0"/>
        <v/>
      </c>
      <c r="N9" t="str">
        <f t="shared" si="1"/>
        <v/>
      </c>
    </row>
    <row r="10" spans="10:17" x14ac:dyDescent="0.3">
      <c r="L10" t="str">
        <f t="shared" si="0"/>
        <v/>
      </c>
      <c r="N10" t="str">
        <f t="shared" si="1"/>
        <v/>
      </c>
    </row>
    <row r="11" spans="10:17" x14ac:dyDescent="0.3">
      <c r="L11" t="str">
        <f t="shared" si="0"/>
        <v/>
      </c>
      <c r="N11" t="str">
        <f t="shared" si="1"/>
        <v/>
      </c>
    </row>
    <row r="12" spans="10:17" x14ac:dyDescent="0.3">
      <c r="L12" t="str">
        <f t="shared" si="0"/>
        <v/>
      </c>
      <c r="N12" t="str">
        <f t="shared" si="1"/>
        <v/>
      </c>
    </row>
    <row r="13" spans="10:17" x14ac:dyDescent="0.3">
      <c r="L13" t="str">
        <f t="shared" si="0"/>
        <v/>
      </c>
      <c r="N13" t="str">
        <f t="shared" si="1"/>
        <v/>
      </c>
    </row>
    <row r="14" spans="10:17" x14ac:dyDescent="0.3">
      <c r="L14" t="str">
        <f t="shared" si="0"/>
        <v/>
      </c>
      <c r="N14" t="str">
        <f t="shared" si="1"/>
        <v/>
      </c>
    </row>
    <row r="15" spans="10:17" x14ac:dyDescent="0.3">
      <c r="L15" t="str">
        <f t="shared" si="0"/>
        <v/>
      </c>
      <c r="N15" t="str">
        <f t="shared" si="1"/>
        <v/>
      </c>
    </row>
    <row r="16" spans="10:17" x14ac:dyDescent="0.3">
      <c r="L16" t="str">
        <f t="shared" si="0"/>
        <v/>
      </c>
      <c r="N16" t="str">
        <f t="shared" si="1"/>
        <v/>
      </c>
    </row>
    <row r="17" spans="12:14" x14ac:dyDescent="0.3">
      <c r="L17" t="str">
        <f t="shared" si="0"/>
        <v/>
      </c>
      <c r="N17" t="str">
        <f t="shared" si="1"/>
        <v/>
      </c>
    </row>
    <row r="18" spans="12:14" x14ac:dyDescent="0.3">
      <c r="L18" t="str">
        <f t="shared" si="0"/>
        <v/>
      </c>
      <c r="N18" t="str">
        <f t="shared" si="1"/>
        <v/>
      </c>
    </row>
    <row r="19" spans="12:14" x14ac:dyDescent="0.3">
      <c r="L19" t="str">
        <f t="shared" si="0"/>
        <v/>
      </c>
      <c r="N19" t="str">
        <f t="shared" si="1"/>
        <v/>
      </c>
    </row>
    <row r="20" spans="12:14" x14ac:dyDescent="0.3">
      <c r="L20" t="str">
        <f t="shared" si="0"/>
        <v/>
      </c>
      <c r="N20" t="str">
        <f t="shared" si="1"/>
        <v/>
      </c>
    </row>
    <row r="21" spans="12:14" x14ac:dyDescent="0.3">
      <c r="L21" t="str">
        <f t="shared" si="0"/>
        <v/>
      </c>
      <c r="N21" t="str">
        <f t="shared" si="1"/>
        <v/>
      </c>
    </row>
    <row r="22" spans="12:14" x14ac:dyDescent="0.3">
      <c r="L22" t="str">
        <f t="shared" si="0"/>
        <v/>
      </c>
      <c r="N22" t="str">
        <f t="shared" si="1"/>
        <v/>
      </c>
    </row>
    <row r="23" spans="12:14" x14ac:dyDescent="0.3">
      <c r="L23" t="str">
        <f t="shared" si="0"/>
        <v/>
      </c>
      <c r="N23" t="str">
        <f t="shared" si="1"/>
        <v/>
      </c>
    </row>
    <row r="24" spans="12:14" x14ac:dyDescent="0.3">
      <c r="L24" t="str">
        <f t="shared" si="0"/>
        <v/>
      </c>
      <c r="N24" t="str">
        <f t="shared" si="1"/>
        <v/>
      </c>
    </row>
    <row r="25" spans="12:14" x14ac:dyDescent="0.3">
      <c r="L25" t="str">
        <f t="shared" si="0"/>
        <v/>
      </c>
      <c r="N25" t="str">
        <f t="shared" si="1"/>
        <v/>
      </c>
    </row>
    <row r="26" spans="12:14" x14ac:dyDescent="0.3">
      <c r="L26" t="str">
        <f t="shared" si="0"/>
        <v/>
      </c>
      <c r="N26" t="str">
        <f t="shared" si="1"/>
        <v/>
      </c>
    </row>
    <row r="27" spans="12:14" x14ac:dyDescent="0.3">
      <c r="L27" t="str">
        <f t="shared" si="0"/>
        <v/>
      </c>
      <c r="N27" t="str">
        <f t="shared" si="1"/>
        <v/>
      </c>
    </row>
    <row r="28" spans="12:14" x14ac:dyDescent="0.3">
      <c r="L28" t="str">
        <f t="shared" si="0"/>
        <v/>
      </c>
      <c r="N28" t="str">
        <f t="shared" si="1"/>
        <v/>
      </c>
    </row>
    <row r="29" spans="12:14" x14ac:dyDescent="0.3">
      <c r="L29" t="str">
        <f t="shared" si="0"/>
        <v/>
      </c>
      <c r="N29" t="str">
        <f t="shared" si="1"/>
        <v/>
      </c>
    </row>
    <row r="30" spans="12:14" x14ac:dyDescent="0.3">
      <c r="L30" t="str">
        <f t="shared" si="0"/>
        <v/>
      </c>
      <c r="N30" t="str">
        <f t="shared" si="1"/>
        <v/>
      </c>
    </row>
    <row r="31" spans="12:14" x14ac:dyDescent="0.3">
      <c r="L31" t="str">
        <f t="shared" si="0"/>
        <v/>
      </c>
      <c r="N31" t="str">
        <f t="shared" si="1"/>
        <v/>
      </c>
    </row>
    <row r="32" spans="12:14" x14ac:dyDescent="0.3">
      <c r="L32" t="str">
        <f t="shared" si="0"/>
        <v/>
      </c>
      <c r="N32" t="str">
        <f t="shared" si="1"/>
        <v/>
      </c>
    </row>
    <row r="33" spans="12:14" x14ac:dyDescent="0.3">
      <c r="L33" t="str">
        <f t="shared" si="0"/>
        <v/>
      </c>
      <c r="N33" t="str">
        <f t="shared" si="1"/>
        <v/>
      </c>
    </row>
    <row r="34" spans="12:14" x14ac:dyDescent="0.3">
      <c r="L34" t="str">
        <f t="shared" si="0"/>
        <v/>
      </c>
      <c r="N34" t="str">
        <f t="shared" si="1"/>
        <v/>
      </c>
    </row>
    <row r="35" spans="12:14" x14ac:dyDescent="0.3">
      <c r="L35" t="str">
        <f t="shared" si="0"/>
        <v/>
      </c>
      <c r="N35" t="str">
        <f t="shared" si="1"/>
        <v/>
      </c>
    </row>
    <row r="36" spans="12:14" x14ac:dyDescent="0.3">
      <c r="L36" t="str">
        <f t="shared" si="0"/>
        <v/>
      </c>
      <c r="N36" t="str">
        <f t="shared" si="1"/>
        <v/>
      </c>
    </row>
    <row r="37" spans="12:14" x14ac:dyDescent="0.3">
      <c r="L37" t="str">
        <f t="shared" si="0"/>
        <v/>
      </c>
      <c r="N37" t="str">
        <f t="shared" si="1"/>
        <v/>
      </c>
    </row>
    <row r="38" spans="12:14" x14ac:dyDescent="0.3">
      <c r="L38" t="str">
        <f t="shared" si="0"/>
        <v/>
      </c>
      <c r="N38" t="str">
        <f t="shared" si="1"/>
        <v/>
      </c>
    </row>
    <row r="39" spans="12:14" x14ac:dyDescent="0.3">
      <c r="L39" t="str">
        <f t="shared" si="0"/>
        <v/>
      </c>
      <c r="N39" t="str">
        <f t="shared" si="1"/>
        <v/>
      </c>
    </row>
    <row r="40" spans="12:14" x14ac:dyDescent="0.3">
      <c r="L40" t="str">
        <f t="shared" si="0"/>
        <v/>
      </c>
      <c r="N40" t="str">
        <f t="shared" si="1"/>
        <v/>
      </c>
    </row>
    <row r="41" spans="12:14" x14ac:dyDescent="0.3">
      <c r="L41" t="str">
        <f t="shared" si="0"/>
        <v/>
      </c>
      <c r="N41" t="str">
        <f t="shared" si="1"/>
        <v/>
      </c>
    </row>
    <row r="42" spans="12:14" x14ac:dyDescent="0.3">
      <c r="L42" t="str">
        <f t="shared" si="0"/>
        <v/>
      </c>
      <c r="N42" t="str">
        <f t="shared" si="1"/>
        <v/>
      </c>
    </row>
    <row r="43" spans="12:14" x14ac:dyDescent="0.3">
      <c r="L43" t="str">
        <f t="shared" si="0"/>
        <v/>
      </c>
      <c r="N43" t="str">
        <f t="shared" si="1"/>
        <v/>
      </c>
    </row>
    <row r="44" spans="12:14" x14ac:dyDescent="0.3">
      <c r="L44" t="str">
        <f t="shared" si="0"/>
        <v/>
      </c>
      <c r="N44" t="str">
        <f t="shared" si="1"/>
        <v/>
      </c>
    </row>
    <row r="45" spans="12:14" x14ac:dyDescent="0.3">
      <c r="L45" t="str">
        <f t="shared" si="0"/>
        <v/>
      </c>
      <c r="N45" t="str">
        <f t="shared" si="1"/>
        <v/>
      </c>
    </row>
    <row r="46" spans="12:14" x14ac:dyDescent="0.3">
      <c r="L46" t="str">
        <f t="shared" si="0"/>
        <v/>
      </c>
      <c r="N46" t="str">
        <f t="shared" si="1"/>
        <v/>
      </c>
    </row>
    <row r="47" spans="12:14" x14ac:dyDescent="0.3">
      <c r="L47" t="str">
        <f t="shared" si="0"/>
        <v/>
      </c>
      <c r="N47" t="str">
        <f t="shared" si="1"/>
        <v/>
      </c>
    </row>
    <row r="48" spans="12:14" x14ac:dyDescent="0.3">
      <c r="L48" t="str">
        <f t="shared" si="0"/>
        <v/>
      </c>
      <c r="N48" t="str">
        <f t="shared" si="1"/>
        <v/>
      </c>
    </row>
    <row r="49" spans="12:14" x14ac:dyDescent="0.3">
      <c r="L49" t="str">
        <f t="shared" si="0"/>
        <v/>
      </c>
      <c r="N49" t="str">
        <f t="shared" si="1"/>
        <v/>
      </c>
    </row>
    <row r="50" spans="12:14" x14ac:dyDescent="0.3">
      <c r="L50" t="str">
        <f t="shared" si="0"/>
        <v/>
      </c>
      <c r="N50" t="str">
        <f t="shared" si="1"/>
        <v/>
      </c>
    </row>
    <row r="51" spans="12:14" x14ac:dyDescent="0.3">
      <c r="L51" t="str">
        <f t="shared" si="0"/>
        <v/>
      </c>
      <c r="N51" t="str">
        <f t="shared" si="1"/>
        <v/>
      </c>
    </row>
    <row r="52" spans="12:14" x14ac:dyDescent="0.3">
      <c r="L52" t="str">
        <f t="shared" si="0"/>
        <v/>
      </c>
      <c r="N52" t="str">
        <f t="shared" si="1"/>
        <v/>
      </c>
    </row>
    <row r="53" spans="12:14" x14ac:dyDescent="0.3">
      <c r="L53" t="str">
        <f t="shared" si="0"/>
        <v/>
      </c>
      <c r="N53" t="str">
        <f t="shared" si="1"/>
        <v/>
      </c>
    </row>
    <row r="54" spans="12:14" x14ac:dyDescent="0.3">
      <c r="L54" t="str">
        <f t="shared" si="0"/>
        <v/>
      </c>
      <c r="N54" t="str">
        <f t="shared" si="1"/>
        <v/>
      </c>
    </row>
    <row r="55" spans="12:14" x14ac:dyDescent="0.3">
      <c r="L55" t="str">
        <f t="shared" si="0"/>
        <v/>
      </c>
      <c r="N55" t="str">
        <f t="shared" si="1"/>
        <v/>
      </c>
    </row>
    <row r="56" spans="12:14" x14ac:dyDescent="0.3">
      <c r="L56" t="str">
        <f t="shared" si="0"/>
        <v/>
      </c>
      <c r="N56" t="str">
        <f t="shared" si="1"/>
        <v/>
      </c>
    </row>
    <row r="57" spans="12:14" x14ac:dyDescent="0.3">
      <c r="L57" t="str">
        <f t="shared" si="0"/>
        <v/>
      </c>
      <c r="N57" t="str">
        <f t="shared" si="1"/>
        <v/>
      </c>
    </row>
    <row r="58" spans="12:14" x14ac:dyDescent="0.3">
      <c r="L58" t="str">
        <f t="shared" si="0"/>
        <v/>
      </c>
      <c r="N58" t="str">
        <f t="shared" si="1"/>
        <v/>
      </c>
    </row>
    <row r="59" spans="12:14" x14ac:dyDescent="0.3">
      <c r="L59" t="str">
        <f t="shared" si="0"/>
        <v/>
      </c>
      <c r="N59" t="str">
        <f t="shared" si="1"/>
        <v/>
      </c>
    </row>
    <row r="60" spans="12:14" x14ac:dyDescent="0.3">
      <c r="L60" t="str">
        <f t="shared" si="0"/>
        <v/>
      </c>
      <c r="N60" t="str">
        <f t="shared" si="1"/>
        <v/>
      </c>
    </row>
    <row r="61" spans="12:14" x14ac:dyDescent="0.3">
      <c r="L61" t="str">
        <f t="shared" si="0"/>
        <v/>
      </c>
      <c r="N61" t="str">
        <f t="shared" si="1"/>
        <v/>
      </c>
    </row>
    <row r="62" spans="12:14" x14ac:dyDescent="0.3">
      <c r="L62" t="str">
        <f t="shared" si="0"/>
        <v/>
      </c>
      <c r="N62" t="str">
        <f t="shared" si="1"/>
        <v/>
      </c>
    </row>
    <row r="63" spans="12:14" x14ac:dyDescent="0.3">
      <c r="L63" t="str">
        <f t="shared" si="0"/>
        <v/>
      </c>
      <c r="N63" t="str">
        <f t="shared" si="1"/>
        <v/>
      </c>
    </row>
    <row r="64" spans="12:14" x14ac:dyDescent="0.3">
      <c r="L64" t="str">
        <f t="shared" si="0"/>
        <v/>
      </c>
      <c r="N64" t="str">
        <f t="shared" si="1"/>
        <v/>
      </c>
    </row>
    <row r="65" spans="12:14" x14ac:dyDescent="0.3">
      <c r="L65" t="str">
        <f t="shared" ref="L65:L128" si="2">IF(A65="","",IF(ISNUMBER(--LEFT(A65,FIND(" - ",A65&amp;" - ")-1)),LEFT(A65,FIND(" - ",A65&amp;" - ")-1),TRIM(A65)))</f>
        <v/>
      </c>
      <c r="N65" t="str">
        <f t="shared" ref="N65:N128" si="3">IF(L65="","",IF(ISNUMBER(INDEX(A65:H65,$P$1)),INDEX(A65:H65,$P$1),IFERROR(_xlfn.NUMBERVALUE(INDEX(A65:H65,$P$1),".",","),0)))</f>
        <v/>
      </c>
    </row>
    <row r="66" spans="12:14" x14ac:dyDescent="0.3">
      <c r="L66" t="str">
        <f t="shared" si="2"/>
        <v/>
      </c>
      <c r="N66" t="str">
        <f t="shared" si="3"/>
        <v/>
      </c>
    </row>
    <row r="67" spans="12:14" x14ac:dyDescent="0.3">
      <c r="L67" t="str">
        <f t="shared" si="2"/>
        <v/>
      </c>
      <c r="N67" t="str">
        <f t="shared" si="3"/>
        <v/>
      </c>
    </row>
    <row r="68" spans="12:14" x14ac:dyDescent="0.3">
      <c r="L68" t="str">
        <f t="shared" si="2"/>
        <v/>
      </c>
      <c r="N68" t="str">
        <f t="shared" si="3"/>
        <v/>
      </c>
    </row>
    <row r="69" spans="12:14" x14ac:dyDescent="0.3">
      <c r="L69" t="str">
        <f t="shared" si="2"/>
        <v/>
      </c>
      <c r="N69" t="str">
        <f t="shared" si="3"/>
        <v/>
      </c>
    </row>
    <row r="70" spans="12:14" x14ac:dyDescent="0.3">
      <c r="L70" t="str">
        <f t="shared" si="2"/>
        <v/>
      </c>
      <c r="N70" t="str">
        <f t="shared" si="3"/>
        <v/>
      </c>
    </row>
    <row r="71" spans="12:14" x14ac:dyDescent="0.3">
      <c r="L71" t="str">
        <f t="shared" si="2"/>
        <v/>
      </c>
      <c r="N71" t="str">
        <f t="shared" si="3"/>
        <v/>
      </c>
    </row>
    <row r="72" spans="12:14" x14ac:dyDescent="0.3">
      <c r="L72" t="str">
        <f t="shared" si="2"/>
        <v/>
      </c>
      <c r="N72" t="str">
        <f t="shared" si="3"/>
        <v/>
      </c>
    </row>
    <row r="73" spans="12:14" x14ac:dyDescent="0.3">
      <c r="L73" t="str">
        <f t="shared" si="2"/>
        <v/>
      </c>
      <c r="N73" t="str">
        <f t="shared" si="3"/>
        <v/>
      </c>
    </row>
    <row r="74" spans="12:14" x14ac:dyDescent="0.3">
      <c r="L74" t="str">
        <f t="shared" si="2"/>
        <v/>
      </c>
      <c r="N74" t="str">
        <f t="shared" si="3"/>
        <v/>
      </c>
    </row>
    <row r="75" spans="12:14" x14ac:dyDescent="0.3">
      <c r="L75" t="str">
        <f t="shared" si="2"/>
        <v/>
      </c>
      <c r="N75" t="str">
        <f t="shared" si="3"/>
        <v/>
      </c>
    </row>
    <row r="76" spans="12:14" x14ac:dyDescent="0.3">
      <c r="L76" t="str">
        <f t="shared" si="2"/>
        <v/>
      </c>
      <c r="N76" t="str">
        <f t="shared" si="3"/>
        <v/>
      </c>
    </row>
    <row r="77" spans="12:14" x14ac:dyDescent="0.3">
      <c r="L77" t="str">
        <f t="shared" si="2"/>
        <v/>
      </c>
      <c r="N77" t="str">
        <f t="shared" si="3"/>
        <v/>
      </c>
    </row>
    <row r="78" spans="12:14" x14ac:dyDescent="0.3">
      <c r="L78" t="str">
        <f t="shared" si="2"/>
        <v/>
      </c>
      <c r="N78" t="str">
        <f t="shared" si="3"/>
        <v/>
      </c>
    </row>
    <row r="79" spans="12:14" x14ac:dyDescent="0.3">
      <c r="L79" t="str">
        <f t="shared" si="2"/>
        <v/>
      </c>
      <c r="N79" t="str">
        <f t="shared" si="3"/>
        <v/>
      </c>
    </row>
    <row r="80" spans="12:14" x14ac:dyDescent="0.3">
      <c r="L80" t="str">
        <f t="shared" si="2"/>
        <v/>
      </c>
      <c r="N80" t="str">
        <f t="shared" si="3"/>
        <v/>
      </c>
    </row>
    <row r="81" spans="12:14" x14ac:dyDescent="0.3">
      <c r="L81" t="str">
        <f t="shared" si="2"/>
        <v/>
      </c>
      <c r="N81" t="str">
        <f t="shared" si="3"/>
        <v/>
      </c>
    </row>
    <row r="82" spans="12:14" x14ac:dyDescent="0.3">
      <c r="L82" t="str">
        <f t="shared" si="2"/>
        <v/>
      </c>
      <c r="N82" t="str">
        <f t="shared" si="3"/>
        <v/>
      </c>
    </row>
    <row r="83" spans="12:14" x14ac:dyDescent="0.3">
      <c r="L83" t="str">
        <f t="shared" si="2"/>
        <v/>
      </c>
      <c r="N83" t="str">
        <f t="shared" si="3"/>
        <v/>
      </c>
    </row>
    <row r="84" spans="12:14" x14ac:dyDescent="0.3">
      <c r="L84" t="str">
        <f t="shared" si="2"/>
        <v/>
      </c>
      <c r="N84" t="str">
        <f t="shared" si="3"/>
        <v/>
      </c>
    </row>
    <row r="85" spans="12:14" x14ac:dyDescent="0.3">
      <c r="L85" t="str">
        <f t="shared" si="2"/>
        <v/>
      </c>
      <c r="N85" t="str">
        <f t="shared" si="3"/>
        <v/>
      </c>
    </row>
    <row r="86" spans="12:14" x14ac:dyDescent="0.3">
      <c r="L86" t="str">
        <f t="shared" si="2"/>
        <v/>
      </c>
      <c r="N86" t="str">
        <f t="shared" si="3"/>
        <v/>
      </c>
    </row>
    <row r="87" spans="12:14" x14ac:dyDescent="0.3">
      <c r="L87" t="str">
        <f t="shared" si="2"/>
        <v/>
      </c>
      <c r="N87" t="str">
        <f t="shared" si="3"/>
        <v/>
      </c>
    </row>
    <row r="88" spans="12:14" x14ac:dyDescent="0.3">
      <c r="L88" t="str">
        <f t="shared" si="2"/>
        <v/>
      </c>
      <c r="N88" t="str">
        <f t="shared" si="3"/>
        <v/>
      </c>
    </row>
    <row r="89" spans="12:14" x14ac:dyDescent="0.3">
      <c r="L89" t="str">
        <f t="shared" si="2"/>
        <v/>
      </c>
      <c r="N89" t="str">
        <f t="shared" si="3"/>
        <v/>
      </c>
    </row>
    <row r="90" spans="12:14" x14ac:dyDescent="0.3">
      <c r="L90" t="str">
        <f t="shared" si="2"/>
        <v/>
      </c>
      <c r="N90" t="str">
        <f t="shared" si="3"/>
        <v/>
      </c>
    </row>
    <row r="91" spans="12:14" x14ac:dyDescent="0.3">
      <c r="L91" t="str">
        <f t="shared" si="2"/>
        <v/>
      </c>
      <c r="N91" t="str">
        <f t="shared" si="3"/>
        <v/>
      </c>
    </row>
    <row r="92" spans="12:14" x14ac:dyDescent="0.3">
      <c r="L92" t="str">
        <f t="shared" si="2"/>
        <v/>
      </c>
      <c r="N92" t="str">
        <f t="shared" si="3"/>
        <v/>
      </c>
    </row>
    <row r="93" spans="12:14" x14ac:dyDescent="0.3">
      <c r="L93" t="str">
        <f t="shared" si="2"/>
        <v/>
      </c>
      <c r="N93" t="str">
        <f t="shared" si="3"/>
        <v/>
      </c>
    </row>
    <row r="94" spans="12:14" x14ac:dyDescent="0.3">
      <c r="L94" t="str">
        <f t="shared" si="2"/>
        <v/>
      </c>
      <c r="N94" t="str">
        <f t="shared" si="3"/>
        <v/>
      </c>
    </row>
    <row r="95" spans="12:14" x14ac:dyDescent="0.3">
      <c r="L95" t="str">
        <f t="shared" si="2"/>
        <v/>
      </c>
      <c r="N95" t="str">
        <f t="shared" si="3"/>
        <v/>
      </c>
    </row>
    <row r="96" spans="12:14" x14ac:dyDescent="0.3">
      <c r="L96" t="str">
        <f t="shared" si="2"/>
        <v/>
      </c>
      <c r="N96" t="str">
        <f t="shared" si="3"/>
        <v/>
      </c>
    </row>
    <row r="97" spans="12:14" x14ac:dyDescent="0.3">
      <c r="L97" t="str">
        <f t="shared" si="2"/>
        <v/>
      </c>
      <c r="N97" t="str">
        <f t="shared" si="3"/>
        <v/>
      </c>
    </row>
    <row r="98" spans="12:14" x14ac:dyDescent="0.3">
      <c r="L98" t="str">
        <f t="shared" si="2"/>
        <v/>
      </c>
      <c r="N98" t="str">
        <f t="shared" si="3"/>
        <v/>
      </c>
    </row>
    <row r="99" spans="12:14" x14ac:dyDescent="0.3">
      <c r="L99" t="str">
        <f t="shared" si="2"/>
        <v/>
      </c>
      <c r="N99" t="str">
        <f t="shared" si="3"/>
        <v/>
      </c>
    </row>
    <row r="100" spans="12:14" x14ac:dyDescent="0.3">
      <c r="L100" t="str">
        <f t="shared" si="2"/>
        <v/>
      </c>
      <c r="N100" t="str">
        <f t="shared" si="3"/>
        <v/>
      </c>
    </row>
    <row r="101" spans="12:14" x14ac:dyDescent="0.3">
      <c r="L101" t="str">
        <f t="shared" si="2"/>
        <v/>
      </c>
      <c r="N101" t="str">
        <f t="shared" si="3"/>
        <v/>
      </c>
    </row>
    <row r="102" spans="12:14" x14ac:dyDescent="0.3">
      <c r="L102" t="str">
        <f t="shared" si="2"/>
        <v/>
      </c>
      <c r="N102" t="str">
        <f t="shared" si="3"/>
        <v/>
      </c>
    </row>
    <row r="103" spans="12:14" x14ac:dyDescent="0.3">
      <c r="L103" t="str">
        <f t="shared" si="2"/>
        <v/>
      </c>
      <c r="N103" t="str">
        <f t="shared" si="3"/>
        <v/>
      </c>
    </row>
    <row r="104" spans="12:14" x14ac:dyDescent="0.3">
      <c r="L104" t="str">
        <f t="shared" si="2"/>
        <v/>
      </c>
      <c r="N104" t="str">
        <f t="shared" si="3"/>
        <v/>
      </c>
    </row>
    <row r="105" spans="12:14" x14ac:dyDescent="0.3">
      <c r="L105" t="str">
        <f t="shared" si="2"/>
        <v/>
      </c>
      <c r="N105" t="str">
        <f t="shared" si="3"/>
        <v/>
      </c>
    </row>
    <row r="106" spans="12:14" x14ac:dyDescent="0.3">
      <c r="L106" t="str">
        <f t="shared" si="2"/>
        <v/>
      </c>
      <c r="N106" t="str">
        <f t="shared" si="3"/>
        <v/>
      </c>
    </row>
    <row r="107" spans="12:14" x14ac:dyDescent="0.3">
      <c r="L107" t="str">
        <f t="shared" si="2"/>
        <v/>
      </c>
      <c r="N107" t="str">
        <f t="shared" si="3"/>
        <v/>
      </c>
    </row>
    <row r="108" spans="12:14" x14ac:dyDescent="0.3">
      <c r="L108" t="str">
        <f t="shared" si="2"/>
        <v/>
      </c>
      <c r="N108" t="str">
        <f t="shared" si="3"/>
        <v/>
      </c>
    </row>
    <row r="109" spans="12:14" x14ac:dyDescent="0.3">
      <c r="L109" t="str">
        <f t="shared" si="2"/>
        <v/>
      </c>
      <c r="N109" t="str">
        <f t="shared" si="3"/>
        <v/>
      </c>
    </row>
    <row r="110" spans="12:14" x14ac:dyDescent="0.3">
      <c r="L110" t="str">
        <f t="shared" si="2"/>
        <v/>
      </c>
      <c r="N110" t="str">
        <f t="shared" si="3"/>
        <v/>
      </c>
    </row>
    <row r="111" spans="12:14" x14ac:dyDescent="0.3">
      <c r="L111" t="str">
        <f t="shared" si="2"/>
        <v/>
      </c>
      <c r="N111" t="str">
        <f t="shared" si="3"/>
        <v/>
      </c>
    </row>
    <row r="112" spans="12:14" x14ac:dyDescent="0.3">
      <c r="L112" t="str">
        <f t="shared" si="2"/>
        <v/>
      </c>
      <c r="N112" t="str">
        <f t="shared" si="3"/>
        <v/>
      </c>
    </row>
    <row r="113" spans="12:14" x14ac:dyDescent="0.3">
      <c r="L113" t="str">
        <f t="shared" si="2"/>
        <v/>
      </c>
      <c r="N113" t="str">
        <f t="shared" si="3"/>
        <v/>
      </c>
    </row>
    <row r="114" spans="12:14" x14ac:dyDescent="0.3">
      <c r="L114" t="str">
        <f t="shared" si="2"/>
        <v/>
      </c>
      <c r="N114" t="str">
        <f t="shared" si="3"/>
        <v/>
      </c>
    </row>
    <row r="115" spans="12:14" x14ac:dyDescent="0.3">
      <c r="L115" t="str">
        <f t="shared" si="2"/>
        <v/>
      </c>
      <c r="N115" t="str">
        <f t="shared" si="3"/>
        <v/>
      </c>
    </row>
    <row r="116" spans="12:14" x14ac:dyDescent="0.3">
      <c r="L116" t="str">
        <f t="shared" si="2"/>
        <v/>
      </c>
      <c r="N116" t="str">
        <f t="shared" si="3"/>
        <v/>
      </c>
    </row>
    <row r="117" spans="12:14" x14ac:dyDescent="0.3">
      <c r="L117" t="str">
        <f t="shared" si="2"/>
        <v/>
      </c>
      <c r="N117" t="str">
        <f t="shared" si="3"/>
        <v/>
      </c>
    </row>
    <row r="118" spans="12:14" x14ac:dyDescent="0.3">
      <c r="L118" t="str">
        <f t="shared" si="2"/>
        <v/>
      </c>
      <c r="N118" t="str">
        <f t="shared" si="3"/>
        <v/>
      </c>
    </row>
    <row r="119" spans="12:14" x14ac:dyDescent="0.3">
      <c r="L119" t="str">
        <f t="shared" si="2"/>
        <v/>
      </c>
      <c r="N119" t="str">
        <f t="shared" si="3"/>
        <v/>
      </c>
    </row>
    <row r="120" spans="12:14" x14ac:dyDescent="0.3">
      <c r="L120" t="str">
        <f t="shared" si="2"/>
        <v/>
      </c>
      <c r="N120" t="str">
        <f t="shared" si="3"/>
        <v/>
      </c>
    </row>
    <row r="121" spans="12:14" x14ac:dyDescent="0.3">
      <c r="L121" t="str">
        <f t="shared" si="2"/>
        <v/>
      </c>
      <c r="N121" t="str">
        <f t="shared" si="3"/>
        <v/>
      </c>
    </row>
    <row r="122" spans="12:14" x14ac:dyDescent="0.3">
      <c r="L122" t="str">
        <f t="shared" si="2"/>
        <v/>
      </c>
      <c r="N122" t="str">
        <f t="shared" si="3"/>
        <v/>
      </c>
    </row>
    <row r="123" spans="12:14" x14ac:dyDescent="0.3">
      <c r="L123" t="str">
        <f t="shared" si="2"/>
        <v/>
      </c>
      <c r="N123" t="str">
        <f t="shared" si="3"/>
        <v/>
      </c>
    </row>
    <row r="124" spans="12:14" x14ac:dyDescent="0.3">
      <c r="L124" t="str">
        <f t="shared" si="2"/>
        <v/>
      </c>
      <c r="N124" t="str">
        <f t="shared" si="3"/>
        <v/>
      </c>
    </row>
    <row r="125" spans="12:14" x14ac:dyDescent="0.3">
      <c r="L125" t="str">
        <f t="shared" si="2"/>
        <v/>
      </c>
      <c r="N125" t="str">
        <f t="shared" si="3"/>
        <v/>
      </c>
    </row>
    <row r="126" spans="12:14" x14ac:dyDescent="0.3">
      <c r="L126" t="str">
        <f t="shared" si="2"/>
        <v/>
      </c>
      <c r="N126" t="str">
        <f t="shared" si="3"/>
        <v/>
      </c>
    </row>
    <row r="127" spans="12:14" x14ac:dyDescent="0.3">
      <c r="L127" t="str">
        <f t="shared" si="2"/>
        <v/>
      </c>
      <c r="N127" t="str">
        <f t="shared" si="3"/>
        <v/>
      </c>
    </row>
    <row r="128" spans="12:14" x14ac:dyDescent="0.3">
      <c r="L128" t="str">
        <f t="shared" si="2"/>
        <v/>
      </c>
      <c r="N128" t="str">
        <f t="shared" si="3"/>
        <v/>
      </c>
    </row>
    <row r="129" spans="12:14" x14ac:dyDescent="0.3">
      <c r="L129" t="str">
        <f t="shared" ref="L129:L192" si="4">IF(A129="","",IF(ISNUMBER(--LEFT(A129,FIND(" - ",A129&amp;" - ")-1)),LEFT(A129,FIND(" - ",A129&amp;" - ")-1),TRIM(A129)))</f>
        <v/>
      </c>
      <c r="N129" t="str">
        <f t="shared" ref="N129:N192" si="5">IF(L129="","",IF(ISNUMBER(INDEX(A129:H129,$P$1)),INDEX(A129:H129,$P$1),IFERROR(_xlfn.NUMBERVALUE(INDEX(A129:H129,$P$1),".",","),0)))</f>
        <v/>
      </c>
    </row>
    <row r="130" spans="12:14" x14ac:dyDescent="0.3">
      <c r="L130" t="str">
        <f t="shared" si="4"/>
        <v/>
      </c>
      <c r="N130" t="str">
        <f t="shared" si="5"/>
        <v/>
      </c>
    </row>
    <row r="131" spans="12:14" x14ac:dyDescent="0.3">
      <c r="L131" t="str">
        <f t="shared" si="4"/>
        <v/>
      </c>
      <c r="N131" t="str">
        <f t="shared" si="5"/>
        <v/>
      </c>
    </row>
    <row r="132" spans="12:14" x14ac:dyDescent="0.3">
      <c r="L132" t="str">
        <f t="shared" si="4"/>
        <v/>
      </c>
      <c r="N132" t="str">
        <f t="shared" si="5"/>
        <v/>
      </c>
    </row>
    <row r="133" spans="12:14" x14ac:dyDescent="0.3">
      <c r="L133" t="str">
        <f t="shared" si="4"/>
        <v/>
      </c>
      <c r="N133" t="str">
        <f t="shared" si="5"/>
        <v/>
      </c>
    </row>
    <row r="134" spans="12:14" x14ac:dyDescent="0.3">
      <c r="L134" t="str">
        <f t="shared" si="4"/>
        <v/>
      </c>
      <c r="N134" t="str">
        <f t="shared" si="5"/>
        <v/>
      </c>
    </row>
    <row r="135" spans="12:14" x14ac:dyDescent="0.3">
      <c r="L135" t="str">
        <f t="shared" si="4"/>
        <v/>
      </c>
      <c r="N135" t="str">
        <f t="shared" si="5"/>
        <v/>
      </c>
    </row>
    <row r="136" spans="12:14" x14ac:dyDescent="0.3">
      <c r="L136" t="str">
        <f t="shared" si="4"/>
        <v/>
      </c>
      <c r="N136" t="str">
        <f t="shared" si="5"/>
        <v/>
      </c>
    </row>
    <row r="137" spans="12:14" x14ac:dyDescent="0.3">
      <c r="L137" t="str">
        <f t="shared" si="4"/>
        <v/>
      </c>
      <c r="N137" t="str">
        <f t="shared" si="5"/>
        <v/>
      </c>
    </row>
    <row r="138" spans="12:14" x14ac:dyDescent="0.3">
      <c r="L138" t="str">
        <f t="shared" si="4"/>
        <v/>
      </c>
      <c r="N138" t="str">
        <f t="shared" si="5"/>
        <v/>
      </c>
    </row>
    <row r="139" spans="12:14" x14ac:dyDescent="0.3">
      <c r="L139" t="str">
        <f t="shared" si="4"/>
        <v/>
      </c>
      <c r="N139" t="str">
        <f t="shared" si="5"/>
        <v/>
      </c>
    </row>
    <row r="140" spans="12:14" x14ac:dyDescent="0.3">
      <c r="L140" t="str">
        <f t="shared" si="4"/>
        <v/>
      </c>
      <c r="N140" t="str">
        <f t="shared" si="5"/>
        <v/>
      </c>
    </row>
    <row r="141" spans="12:14" x14ac:dyDescent="0.3">
      <c r="L141" t="str">
        <f t="shared" si="4"/>
        <v/>
      </c>
      <c r="N141" t="str">
        <f t="shared" si="5"/>
        <v/>
      </c>
    </row>
    <row r="142" spans="12:14" x14ac:dyDescent="0.3">
      <c r="L142" t="str">
        <f t="shared" si="4"/>
        <v/>
      </c>
      <c r="N142" t="str">
        <f t="shared" si="5"/>
        <v/>
      </c>
    </row>
    <row r="143" spans="12:14" x14ac:dyDescent="0.3">
      <c r="L143" t="str">
        <f t="shared" si="4"/>
        <v/>
      </c>
      <c r="N143" t="str">
        <f t="shared" si="5"/>
        <v/>
      </c>
    </row>
    <row r="144" spans="12:14" x14ac:dyDescent="0.3">
      <c r="L144" t="str">
        <f t="shared" si="4"/>
        <v/>
      </c>
      <c r="N144" t="str">
        <f t="shared" si="5"/>
        <v/>
      </c>
    </row>
    <row r="145" spans="12:14" x14ac:dyDescent="0.3">
      <c r="L145" t="str">
        <f t="shared" si="4"/>
        <v/>
      </c>
      <c r="N145" t="str">
        <f t="shared" si="5"/>
        <v/>
      </c>
    </row>
    <row r="146" spans="12:14" x14ac:dyDescent="0.3">
      <c r="L146" t="str">
        <f t="shared" si="4"/>
        <v/>
      </c>
      <c r="N146" t="str">
        <f t="shared" si="5"/>
        <v/>
      </c>
    </row>
    <row r="147" spans="12:14" x14ac:dyDescent="0.3">
      <c r="L147" t="str">
        <f t="shared" si="4"/>
        <v/>
      </c>
      <c r="N147" t="str">
        <f t="shared" si="5"/>
        <v/>
      </c>
    </row>
    <row r="148" spans="12:14" x14ac:dyDescent="0.3">
      <c r="L148" t="str">
        <f t="shared" si="4"/>
        <v/>
      </c>
      <c r="N148" t="str">
        <f t="shared" si="5"/>
        <v/>
      </c>
    </row>
    <row r="149" spans="12:14" x14ac:dyDescent="0.3">
      <c r="L149" t="str">
        <f t="shared" si="4"/>
        <v/>
      </c>
      <c r="N149" t="str">
        <f t="shared" si="5"/>
        <v/>
      </c>
    </row>
    <row r="150" spans="12:14" x14ac:dyDescent="0.3">
      <c r="L150" t="str">
        <f t="shared" si="4"/>
        <v/>
      </c>
      <c r="N150" t="str">
        <f t="shared" si="5"/>
        <v/>
      </c>
    </row>
    <row r="151" spans="12:14" x14ac:dyDescent="0.3">
      <c r="L151" t="str">
        <f t="shared" si="4"/>
        <v/>
      </c>
      <c r="N151" t="str">
        <f t="shared" si="5"/>
        <v/>
      </c>
    </row>
    <row r="152" spans="12:14" x14ac:dyDescent="0.3">
      <c r="L152" t="str">
        <f t="shared" si="4"/>
        <v/>
      </c>
      <c r="N152" t="str">
        <f t="shared" si="5"/>
        <v/>
      </c>
    </row>
    <row r="153" spans="12:14" x14ac:dyDescent="0.3">
      <c r="L153" t="str">
        <f t="shared" si="4"/>
        <v/>
      </c>
      <c r="N153" t="str">
        <f t="shared" si="5"/>
        <v/>
      </c>
    </row>
    <row r="154" spans="12:14" x14ac:dyDescent="0.3">
      <c r="L154" t="str">
        <f t="shared" si="4"/>
        <v/>
      </c>
      <c r="N154" t="str">
        <f t="shared" si="5"/>
        <v/>
      </c>
    </row>
    <row r="155" spans="12:14" x14ac:dyDescent="0.3">
      <c r="L155" t="str">
        <f t="shared" si="4"/>
        <v/>
      </c>
      <c r="N155" t="str">
        <f t="shared" si="5"/>
        <v/>
      </c>
    </row>
    <row r="156" spans="12:14" x14ac:dyDescent="0.3">
      <c r="L156" t="str">
        <f t="shared" si="4"/>
        <v/>
      </c>
      <c r="N156" t="str">
        <f t="shared" si="5"/>
        <v/>
      </c>
    </row>
    <row r="157" spans="12:14" x14ac:dyDescent="0.3">
      <c r="L157" t="str">
        <f t="shared" si="4"/>
        <v/>
      </c>
      <c r="N157" t="str">
        <f t="shared" si="5"/>
        <v/>
      </c>
    </row>
    <row r="158" spans="12:14" x14ac:dyDescent="0.3">
      <c r="L158" t="str">
        <f t="shared" si="4"/>
        <v/>
      </c>
      <c r="N158" t="str">
        <f t="shared" si="5"/>
        <v/>
      </c>
    </row>
    <row r="159" spans="12:14" x14ac:dyDescent="0.3">
      <c r="L159" t="str">
        <f t="shared" si="4"/>
        <v/>
      </c>
      <c r="N159" t="str">
        <f t="shared" si="5"/>
        <v/>
      </c>
    </row>
    <row r="160" spans="12:14" x14ac:dyDescent="0.3">
      <c r="L160" t="str">
        <f t="shared" si="4"/>
        <v/>
      </c>
      <c r="N160" t="str">
        <f t="shared" si="5"/>
        <v/>
      </c>
    </row>
    <row r="161" spans="12:14" x14ac:dyDescent="0.3">
      <c r="L161" t="str">
        <f t="shared" si="4"/>
        <v/>
      </c>
      <c r="N161" t="str">
        <f t="shared" si="5"/>
        <v/>
      </c>
    </row>
    <row r="162" spans="12:14" x14ac:dyDescent="0.3">
      <c r="L162" t="str">
        <f t="shared" si="4"/>
        <v/>
      </c>
      <c r="N162" t="str">
        <f t="shared" si="5"/>
        <v/>
      </c>
    </row>
    <row r="163" spans="12:14" x14ac:dyDescent="0.3">
      <c r="L163" t="str">
        <f t="shared" si="4"/>
        <v/>
      </c>
      <c r="N163" t="str">
        <f t="shared" si="5"/>
        <v/>
      </c>
    </row>
    <row r="164" spans="12:14" x14ac:dyDescent="0.3">
      <c r="L164" t="str">
        <f t="shared" si="4"/>
        <v/>
      </c>
      <c r="N164" t="str">
        <f t="shared" si="5"/>
        <v/>
      </c>
    </row>
    <row r="165" spans="12:14" x14ac:dyDescent="0.3">
      <c r="L165" t="str">
        <f t="shared" si="4"/>
        <v/>
      </c>
      <c r="N165" t="str">
        <f t="shared" si="5"/>
        <v/>
      </c>
    </row>
    <row r="166" spans="12:14" x14ac:dyDescent="0.3">
      <c r="L166" t="str">
        <f t="shared" si="4"/>
        <v/>
      </c>
      <c r="N166" t="str">
        <f t="shared" si="5"/>
        <v/>
      </c>
    </row>
    <row r="167" spans="12:14" x14ac:dyDescent="0.3">
      <c r="L167" t="str">
        <f t="shared" si="4"/>
        <v/>
      </c>
      <c r="N167" t="str">
        <f t="shared" si="5"/>
        <v/>
      </c>
    </row>
    <row r="168" spans="12:14" x14ac:dyDescent="0.3">
      <c r="L168" t="str">
        <f t="shared" si="4"/>
        <v/>
      </c>
      <c r="N168" t="str">
        <f t="shared" si="5"/>
        <v/>
      </c>
    </row>
    <row r="169" spans="12:14" x14ac:dyDescent="0.3">
      <c r="L169" t="str">
        <f t="shared" si="4"/>
        <v/>
      </c>
      <c r="N169" t="str">
        <f t="shared" si="5"/>
        <v/>
      </c>
    </row>
    <row r="170" spans="12:14" x14ac:dyDescent="0.3">
      <c r="L170" t="str">
        <f t="shared" si="4"/>
        <v/>
      </c>
      <c r="N170" t="str">
        <f t="shared" si="5"/>
        <v/>
      </c>
    </row>
    <row r="171" spans="12:14" x14ac:dyDescent="0.3">
      <c r="L171" t="str">
        <f t="shared" si="4"/>
        <v/>
      </c>
      <c r="N171" t="str">
        <f t="shared" si="5"/>
        <v/>
      </c>
    </row>
    <row r="172" spans="12:14" x14ac:dyDescent="0.3">
      <c r="L172" t="str">
        <f t="shared" si="4"/>
        <v/>
      </c>
      <c r="N172" t="str">
        <f t="shared" si="5"/>
        <v/>
      </c>
    </row>
    <row r="173" spans="12:14" x14ac:dyDescent="0.3">
      <c r="L173" t="str">
        <f t="shared" si="4"/>
        <v/>
      </c>
      <c r="N173" t="str">
        <f t="shared" si="5"/>
        <v/>
      </c>
    </row>
    <row r="174" spans="12:14" x14ac:dyDescent="0.3">
      <c r="L174" t="str">
        <f t="shared" si="4"/>
        <v/>
      </c>
      <c r="N174" t="str">
        <f t="shared" si="5"/>
        <v/>
      </c>
    </row>
    <row r="175" spans="12:14" x14ac:dyDescent="0.3">
      <c r="L175" t="str">
        <f t="shared" si="4"/>
        <v/>
      </c>
      <c r="N175" t="str">
        <f t="shared" si="5"/>
        <v/>
      </c>
    </row>
    <row r="176" spans="12:14" x14ac:dyDescent="0.3">
      <c r="L176" t="str">
        <f t="shared" si="4"/>
        <v/>
      </c>
      <c r="N176" t="str">
        <f t="shared" si="5"/>
        <v/>
      </c>
    </row>
    <row r="177" spans="12:14" x14ac:dyDescent="0.3">
      <c r="L177" t="str">
        <f t="shared" si="4"/>
        <v/>
      </c>
      <c r="N177" t="str">
        <f t="shared" si="5"/>
        <v/>
      </c>
    </row>
    <row r="178" spans="12:14" x14ac:dyDescent="0.3">
      <c r="L178" t="str">
        <f t="shared" si="4"/>
        <v/>
      </c>
      <c r="N178" t="str">
        <f t="shared" si="5"/>
        <v/>
      </c>
    </row>
    <row r="179" spans="12:14" x14ac:dyDescent="0.3">
      <c r="L179" t="str">
        <f t="shared" si="4"/>
        <v/>
      </c>
      <c r="N179" t="str">
        <f t="shared" si="5"/>
        <v/>
      </c>
    </row>
    <row r="180" spans="12:14" x14ac:dyDescent="0.3">
      <c r="L180" t="str">
        <f t="shared" si="4"/>
        <v/>
      </c>
      <c r="N180" t="str">
        <f t="shared" si="5"/>
        <v/>
      </c>
    </row>
    <row r="181" spans="12:14" x14ac:dyDescent="0.3">
      <c r="L181" t="str">
        <f t="shared" si="4"/>
        <v/>
      </c>
      <c r="N181" t="str">
        <f t="shared" si="5"/>
        <v/>
      </c>
    </row>
    <row r="182" spans="12:14" x14ac:dyDescent="0.3">
      <c r="L182" t="str">
        <f t="shared" si="4"/>
        <v/>
      </c>
      <c r="N182" t="str">
        <f t="shared" si="5"/>
        <v/>
      </c>
    </row>
    <row r="183" spans="12:14" x14ac:dyDescent="0.3">
      <c r="L183" t="str">
        <f t="shared" si="4"/>
        <v/>
      </c>
      <c r="N183" t="str">
        <f t="shared" si="5"/>
        <v/>
      </c>
    </row>
    <row r="184" spans="12:14" x14ac:dyDescent="0.3">
      <c r="L184" t="str">
        <f t="shared" si="4"/>
        <v/>
      </c>
      <c r="N184" t="str">
        <f t="shared" si="5"/>
        <v/>
      </c>
    </row>
    <row r="185" spans="12:14" x14ac:dyDescent="0.3">
      <c r="L185" t="str">
        <f t="shared" si="4"/>
        <v/>
      </c>
      <c r="N185" t="str">
        <f t="shared" si="5"/>
        <v/>
      </c>
    </row>
    <row r="186" spans="12:14" x14ac:dyDescent="0.3">
      <c r="L186" t="str">
        <f t="shared" si="4"/>
        <v/>
      </c>
      <c r="N186" t="str">
        <f t="shared" si="5"/>
        <v/>
      </c>
    </row>
    <row r="187" spans="12:14" x14ac:dyDescent="0.3">
      <c r="L187" t="str">
        <f t="shared" si="4"/>
        <v/>
      </c>
      <c r="N187" t="str">
        <f t="shared" si="5"/>
        <v/>
      </c>
    </row>
    <row r="188" spans="12:14" x14ac:dyDescent="0.3">
      <c r="L188" t="str">
        <f t="shared" si="4"/>
        <v/>
      </c>
      <c r="N188" t="str">
        <f t="shared" si="5"/>
        <v/>
      </c>
    </row>
    <row r="189" spans="12:14" x14ac:dyDescent="0.3">
      <c r="L189" t="str">
        <f t="shared" si="4"/>
        <v/>
      </c>
      <c r="N189" t="str">
        <f t="shared" si="5"/>
        <v/>
      </c>
    </row>
    <row r="190" spans="12:14" x14ac:dyDescent="0.3">
      <c r="L190" t="str">
        <f t="shared" si="4"/>
        <v/>
      </c>
      <c r="N190" t="str">
        <f t="shared" si="5"/>
        <v/>
      </c>
    </row>
    <row r="191" spans="12:14" x14ac:dyDescent="0.3">
      <c r="L191" t="str">
        <f t="shared" si="4"/>
        <v/>
      </c>
      <c r="N191" t="str">
        <f t="shared" si="5"/>
        <v/>
      </c>
    </row>
    <row r="192" spans="12:14" x14ac:dyDescent="0.3">
      <c r="L192" t="str">
        <f t="shared" si="4"/>
        <v/>
      </c>
      <c r="N192" t="str">
        <f t="shared" si="5"/>
        <v/>
      </c>
    </row>
    <row r="193" spans="12:14" x14ac:dyDescent="0.3">
      <c r="L193" t="str">
        <f t="shared" ref="L193:L256" si="6">IF(A193="","",IF(ISNUMBER(--LEFT(A193,FIND(" - ",A193&amp;" - ")-1)),LEFT(A193,FIND(" - ",A193&amp;" - ")-1),TRIM(A193)))</f>
        <v/>
      </c>
      <c r="N193" t="str">
        <f t="shared" ref="N193:N256" si="7">IF(L193="","",IF(ISNUMBER(INDEX(A193:H193,$P$1)),INDEX(A193:H193,$P$1),IFERROR(_xlfn.NUMBERVALUE(INDEX(A193:H193,$P$1),".",","),0)))</f>
        <v/>
      </c>
    </row>
    <row r="194" spans="12:14" x14ac:dyDescent="0.3">
      <c r="L194" t="str">
        <f t="shared" si="6"/>
        <v/>
      </c>
      <c r="N194" t="str">
        <f t="shared" si="7"/>
        <v/>
      </c>
    </row>
    <row r="195" spans="12:14" x14ac:dyDescent="0.3">
      <c r="L195" t="str">
        <f t="shared" si="6"/>
        <v/>
      </c>
      <c r="N195" t="str">
        <f t="shared" si="7"/>
        <v/>
      </c>
    </row>
    <row r="196" spans="12:14" x14ac:dyDescent="0.3">
      <c r="L196" t="str">
        <f t="shared" si="6"/>
        <v/>
      </c>
      <c r="N196" t="str">
        <f t="shared" si="7"/>
        <v/>
      </c>
    </row>
    <row r="197" spans="12:14" x14ac:dyDescent="0.3">
      <c r="L197" t="str">
        <f t="shared" si="6"/>
        <v/>
      </c>
      <c r="N197" t="str">
        <f t="shared" si="7"/>
        <v/>
      </c>
    </row>
    <row r="198" spans="12:14" x14ac:dyDescent="0.3">
      <c r="L198" t="str">
        <f t="shared" si="6"/>
        <v/>
      </c>
      <c r="N198" t="str">
        <f t="shared" si="7"/>
        <v/>
      </c>
    </row>
    <row r="199" spans="12:14" x14ac:dyDescent="0.3">
      <c r="L199" t="str">
        <f t="shared" si="6"/>
        <v/>
      </c>
      <c r="N199" t="str">
        <f t="shared" si="7"/>
        <v/>
      </c>
    </row>
    <row r="200" spans="12:14" x14ac:dyDescent="0.3">
      <c r="L200" t="str">
        <f t="shared" si="6"/>
        <v/>
      </c>
      <c r="N200" t="str">
        <f t="shared" si="7"/>
        <v/>
      </c>
    </row>
    <row r="201" spans="12:14" x14ac:dyDescent="0.3">
      <c r="L201" t="str">
        <f t="shared" si="6"/>
        <v/>
      </c>
      <c r="N201" t="str">
        <f t="shared" si="7"/>
        <v/>
      </c>
    </row>
    <row r="202" spans="12:14" x14ac:dyDescent="0.3">
      <c r="L202" t="str">
        <f t="shared" si="6"/>
        <v/>
      </c>
      <c r="N202" t="str">
        <f t="shared" si="7"/>
        <v/>
      </c>
    </row>
    <row r="203" spans="12:14" x14ac:dyDescent="0.3">
      <c r="L203" t="str">
        <f t="shared" si="6"/>
        <v/>
      </c>
      <c r="N203" t="str">
        <f t="shared" si="7"/>
        <v/>
      </c>
    </row>
    <row r="204" spans="12:14" x14ac:dyDescent="0.3">
      <c r="L204" t="str">
        <f t="shared" si="6"/>
        <v/>
      </c>
      <c r="N204" t="str">
        <f t="shared" si="7"/>
        <v/>
      </c>
    </row>
    <row r="205" spans="12:14" x14ac:dyDescent="0.3">
      <c r="L205" t="str">
        <f t="shared" si="6"/>
        <v/>
      </c>
      <c r="N205" t="str">
        <f t="shared" si="7"/>
        <v/>
      </c>
    </row>
    <row r="206" spans="12:14" x14ac:dyDescent="0.3">
      <c r="L206" t="str">
        <f t="shared" si="6"/>
        <v/>
      </c>
      <c r="N206" t="str">
        <f t="shared" si="7"/>
        <v/>
      </c>
    </row>
    <row r="207" spans="12:14" x14ac:dyDescent="0.3">
      <c r="L207" t="str">
        <f t="shared" si="6"/>
        <v/>
      </c>
      <c r="N207" t="str">
        <f t="shared" si="7"/>
        <v/>
      </c>
    </row>
    <row r="208" spans="12:14" x14ac:dyDescent="0.3">
      <c r="L208" t="str">
        <f t="shared" si="6"/>
        <v/>
      </c>
      <c r="N208" t="str">
        <f t="shared" si="7"/>
        <v/>
      </c>
    </row>
    <row r="209" spans="12:14" x14ac:dyDescent="0.3">
      <c r="L209" t="str">
        <f t="shared" si="6"/>
        <v/>
      </c>
      <c r="N209" t="str">
        <f t="shared" si="7"/>
        <v/>
      </c>
    </row>
    <row r="210" spans="12:14" x14ac:dyDescent="0.3">
      <c r="L210" t="str">
        <f t="shared" si="6"/>
        <v/>
      </c>
      <c r="N210" t="str">
        <f t="shared" si="7"/>
        <v/>
      </c>
    </row>
    <row r="211" spans="12:14" x14ac:dyDescent="0.3">
      <c r="L211" t="str">
        <f t="shared" si="6"/>
        <v/>
      </c>
      <c r="N211" t="str">
        <f t="shared" si="7"/>
        <v/>
      </c>
    </row>
    <row r="212" spans="12:14" x14ac:dyDescent="0.3">
      <c r="L212" t="str">
        <f t="shared" si="6"/>
        <v/>
      </c>
      <c r="N212" t="str">
        <f t="shared" si="7"/>
        <v/>
      </c>
    </row>
    <row r="213" spans="12:14" x14ac:dyDescent="0.3">
      <c r="L213" t="str">
        <f t="shared" si="6"/>
        <v/>
      </c>
      <c r="N213" t="str">
        <f t="shared" si="7"/>
        <v/>
      </c>
    </row>
    <row r="214" spans="12:14" x14ac:dyDescent="0.3">
      <c r="L214" t="str">
        <f t="shared" si="6"/>
        <v/>
      </c>
      <c r="N214" t="str">
        <f t="shared" si="7"/>
        <v/>
      </c>
    </row>
    <row r="215" spans="12:14" x14ac:dyDescent="0.3">
      <c r="L215" t="str">
        <f t="shared" si="6"/>
        <v/>
      </c>
      <c r="N215" t="str">
        <f t="shared" si="7"/>
        <v/>
      </c>
    </row>
    <row r="216" spans="12:14" x14ac:dyDescent="0.3">
      <c r="L216" t="str">
        <f t="shared" si="6"/>
        <v/>
      </c>
      <c r="N216" t="str">
        <f t="shared" si="7"/>
        <v/>
      </c>
    </row>
    <row r="217" spans="12:14" x14ac:dyDescent="0.3">
      <c r="L217" t="str">
        <f t="shared" si="6"/>
        <v/>
      </c>
      <c r="N217" t="str">
        <f t="shared" si="7"/>
        <v/>
      </c>
    </row>
    <row r="218" spans="12:14" x14ac:dyDescent="0.3">
      <c r="L218" t="str">
        <f t="shared" si="6"/>
        <v/>
      </c>
      <c r="N218" t="str">
        <f t="shared" si="7"/>
        <v/>
      </c>
    </row>
    <row r="219" spans="12:14" x14ac:dyDescent="0.3">
      <c r="L219" t="str">
        <f t="shared" si="6"/>
        <v/>
      </c>
      <c r="N219" t="str">
        <f t="shared" si="7"/>
        <v/>
      </c>
    </row>
    <row r="220" spans="12:14" x14ac:dyDescent="0.3">
      <c r="L220" t="str">
        <f t="shared" si="6"/>
        <v/>
      </c>
      <c r="N220" t="str">
        <f t="shared" si="7"/>
        <v/>
      </c>
    </row>
    <row r="221" spans="12:14" x14ac:dyDescent="0.3">
      <c r="L221" t="str">
        <f t="shared" si="6"/>
        <v/>
      </c>
      <c r="N221" t="str">
        <f t="shared" si="7"/>
        <v/>
      </c>
    </row>
    <row r="222" spans="12:14" x14ac:dyDescent="0.3">
      <c r="L222" t="str">
        <f t="shared" si="6"/>
        <v/>
      </c>
      <c r="N222" t="str">
        <f t="shared" si="7"/>
        <v/>
      </c>
    </row>
    <row r="223" spans="12:14" x14ac:dyDescent="0.3">
      <c r="L223" t="str">
        <f t="shared" si="6"/>
        <v/>
      </c>
      <c r="N223" t="str">
        <f t="shared" si="7"/>
        <v/>
      </c>
    </row>
    <row r="224" spans="12:14" x14ac:dyDescent="0.3">
      <c r="L224" t="str">
        <f t="shared" si="6"/>
        <v/>
      </c>
      <c r="N224" t="str">
        <f t="shared" si="7"/>
        <v/>
      </c>
    </row>
    <row r="225" spans="12:14" x14ac:dyDescent="0.3">
      <c r="L225" t="str">
        <f t="shared" si="6"/>
        <v/>
      </c>
      <c r="N225" t="str">
        <f t="shared" si="7"/>
        <v/>
      </c>
    </row>
    <row r="226" spans="12:14" x14ac:dyDescent="0.3">
      <c r="L226" t="str">
        <f t="shared" si="6"/>
        <v/>
      </c>
      <c r="N226" t="str">
        <f t="shared" si="7"/>
        <v/>
      </c>
    </row>
    <row r="227" spans="12:14" x14ac:dyDescent="0.3">
      <c r="L227" t="str">
        <f t="shared" si="6"/>
        <v/>
      </c>
      <c r="N227" t="str">
        <f t="shared" si="7"/>
        <v/>
      </c>
    </row>
    <row r="228" spans="12:14" x14ac:dyDescent="0.3">
      <c r="L228" t="str">
        <f t="shared" si="6"/>
        <v/>
      </c>
      <c r="N228" t="str">
        <f t="shared" si="7"/>
        <v/>
      </c>
    </row>
    <row r="229" spans="12:14" x14ac:dyDescent="0.3">
      <c r="L229" t="str">
        <f t="shared" si="6"/>
        <v/>
      </c>
      <c r="N229" t="str">
        <f t="shared" si="7"/>
        <v/>
      </c>
    </row>
    <row r="230" spans="12:14" x14ac:dyDescent="0.3">
      <c r="L230" t="str">
        <f t="shared" si="6"/>
        <v/>
      </c>
      <c r="N230" t="str">
        <f t="shared" si="7"/>
        <v/>
      </c>
    </row>
    <row r="231" spans="12:14" x14ac:dyDescent="0.3">
      <c r="L231" t="str">
        <f t="shared" si="6"/>
        <v/>
      </c>
      <c r="N231" t="str">
        <f t="shared" si="7"/>
        <v/>
      </c>
    </row>
    <row r="232" spans="12:14" x14ac:dyDescent="0.3">
      <c r="L232" t="str">
        <f t="shared" si="6"/>
        <v/>
      </c>
      <c r="N232" t="str">
        <f t="shared" si="7"/>
        <v/>
      </c>
    </row>
    <row r="233" spans="12:14" x14ac:dyDescent="0.3">
      <c r="L233" t="str">
        <f t="shared" si="6"/>
        <v/>
      </c>
      <c r="N233" t="str">
        <f t="shared" si="7"/>
        <v/>
      </c>
    </row>
    <row r="234" spans="12:14" x14ac:dyDescent="0.3">
      <c r="L234" t="str">
        <f t="shared" si="6"/>
        <v/>
      </c>
      <c r="N234" t="str">
        <f t="shared" si="7"/>
        <v/>
      </c>
    </row>
    <row r="235" spans="12:14" x14ac:dyDescent="0.3">
      <c r="L235" t="str">
        <f t="shared" si="6"/>
        <v/>
      </c>
      <c r="N235" t="str">
        <f t="shared" si="7"/>
        <v/>
      </c>
    </row>
    <row r="236" spans="12:14" x14ac:dyDescent="0.3">
      <c r="L236" t="str">
        <f t="shared" si="6"/>
        <v/>
      </c>
      <c r="N236" t="str">
        <f t="shared" si="7"/>
        <v/>
      </c>
    </row>
    <row r="237" spans="12:14" x14ac:dyDescent="0.3">
      <c r="L237" t="str">
        <f t="shared" si="6"/>
        <v/>
      </c>
      <c r="N237" t="str">
        <f t="shared" si="7"/>
        <v/>
      </c>
    </row>
    <row r="238" spans="12:14" x14ac:dyDescent="0.3">
      <c r="L238" t="str">
        <f t="shared" si="6"/>
        <v/>
      </c>
      <c r="N238" t="str">
        <f t="shared" si="7"/>
        <v/>
      </c>
    </row>
    <row r="239" spans="12:14" x14ac:dyDescent="0.3">
      <c r="L239" t="str">
        <f t="shared" si="6"/>
        <v/>
      </c>
      <c r="N239" t="str">
        <f t="shared" si="7"/>
        <v/>
      </c>
    </row>
    <row r="240" spans="12:14" x14ac:dyDescent="0.3">
      <c r="L240" t="str">
        <f t="shared" si="6"/>
        <v/>
      </c>
      <c r="N240" t="str">
        <f t="shared" si="7"/>
        <v/>
      </c>
    </row>
    <row r="241" spans="12:14" x14ac:dyDescent="0.3">
      <c r="L241" t="str">
        <f t="shared" si="6"/>
        <v/>
      </c>
      <c r="N241" t="str">
        <f t="shared" si="7"/>
        <v/>
      </c>
    </row>
    <row r="242" spans="12:14" x14ac:dyDescent="0.3">
      <c r="L242" t="str">
        <f t="shared" si="6"/>
        <v/>
      </c>
      <c r="N242" t="str">
        <f t="shared" si="7"/>
        <v/>
      </c>
    </row>
    <row r="243" spans="12:14" x14ac:dyDescent="0.3">
      <c r="L243" t="str">
        <f t="shared" si="6"/>
        <v/>
      </c>
      <c r="N243" t="str">
        <f t="shared" si="7"/>
        <v/>
      </c>
    </row>
    <row r="244" spans="12:14" x14ac:dyDescent="0.3">
      <c r="L244" t="str">
        <f t="shared" si="6"/>
        <v/>
      </c>
      <c r="N244" t="str">
        <f t="shared" si="7"/>
        <v/>
      </c>
    </row>
    <row r="245" spans="12:14" x14ac:dyDescent="0.3">
      <c r="L245" t="str">
        <f t="shared" si="6"/>
        <v/>
      </c>
      <c r="N245" t="str">
        <f t="shared" si="7"/>
        <v/>
      </c>
    </row>
    <row r="246" spans="12:14" x14ac:dyDescent="0.3">
      <c r="L246" t="str">
        <f t="shared" si="6"/>
        <v/>
      </c>
      <c r="N246" t="str">
        <f t="shared" si="7"/>
        <v/>
      </c>
    </row>
    <row r="247" spans="12:14" x14ac:dyDescent="0.3">
      <c r="L247" t="str">
        <f t="shared" si="6"/>
        <v/>
      </c>
      <c r="N247" t="str">
        <f t="shared" si="7"/>
        <v/>
      </c>
    </row>
    <row r="248" spans="12:14" x14ac:dyDescent="0.3">
      <c r="L248" t="str">
        <f t="shared" si="6"/>
        <v/>
      </c>
      <c r="N248" t="str">
        <f t="shared" si="7"/>
        <v/>
      </c>
    </row>
    <row r="249" spans="12:14" x14ac:dyDescent="0.3">
      <c r="L249" t="str">
        <f t="shared" si="6"/>
        <v/>
      </c>
      <c r="N249" t="str">
        <f t="shared" si="7"/>
        <v/>
      </c>
    </row>
    <row r="250" spans="12:14" x14ac:dyDescent="0.3">
      <c r="L250" t="str">
        <f t="shared" si="6"/>
        <v/>
      </c>
      <c r="N250" t="str">
        <f t="shared" si="7"/>
        <v/>
      </c>
    </row>
    <row r="251" spans="12:14" x14ac:dyDescent="0.3">
      <c r="L251" t="str">
        <f t="shared" si="6"/>
        <v/>
      </c>
      <c r="N251" t="str">
        <f t="shared" si="7"/>
        <v/>
      </c>
    </row>
    <row r="252" spans="12:14" x14ac:dyDescent="0.3">
      <c r="L252" t="str">
        <f t="shared" si="6"/>
        <v/>
      </c>
      <c r="N252" t="str">
        <f t="shared" si="7"/>
        <v/>
      </c>
    </row>
    <row r="253" spans="12:14" x14ac:dyDescent="0.3">
      <c r="L253" t="str">
        <f t="shared" si="6"/>
        <v/>
      </c>
      <c r="N253" t="str">
        <f t="shared" si="7"/>
        <v/>
      </c>
    </row>
    <row r="254" spans="12:14" x14ac:dyDescent="0.3">
      <c r="L254" t="str">
        <f t="shared" si="6"/>
        <v/>
      </c>
      <c r="N254" t="str">
        <f t="shared" si="7"/>
        <v/>
      </c>
    </row>
    <row r="255" spans="12:14" x14ac:dyDescent="0.3">
      <c r="L255" t="str">
        <f t="shared" si="6"/>
        <v/>
      </c>
      <c r="N255" t="str">
        <f t="shared" si="7"/>
        <v/>
      </c>
    </row>
    <row r="256" spans="12:14" x14ac:dyDescent="0.3">
      <c r="L256" t="str">
        <f t="shared" si="6"/>
        <v/>
      </c>
      <c r="N256" t="str">
        <f t="shared" si="7"/>
        <v/>
      </c>
    </row>
    <row r="257" spans="12:14" x14ac:dyDescent="0.3">
      <c r="L257" t="str">
        <f t="shared" ref="L257:L320" si="8">IF(A257="","",IF(ISNUMBER(--LEFT(A257,FIND(" - ",A257&amp;" - ")-1)),LEFT(A257,FIND(" - ",A257&amp;" - ")-1),TRIM(A257)))</f>
        <v/>
      </c>
      <c r="N257" t="str">
        <f t="shared" ref="N257:N320" si="9">IF(L257="","",IF(ISNUMBER(INDEX(A257:H257,$P$1)),INDEX(A257:H257,$P$1),IFERROR(_xlfn.NUMBERVALUE(INDEX(A257:H257,$P$1),".",","),0)))</f>
        <v/>
      </c>
    </row>
    <row r="258" spans="12:14" x14ac:dyDescent="0.3">
      <c r="L258" t="str">
        <f t="shared" si="8"/>
        <v/>
      </c>
      <c r="N258" t="str">
        <f t="shared" si="9"/>
        <v/>
      </c>
    </row>
    <row r="259" spans="12:14" x14ac:dyDescent="0.3">
      <c r="L259" t="str">
        <f t="shared" si="8"/>
        <v/>
      </c>
      <c r="N259" t="str">
        <f t="shared" si="9"/>
        <v/>
      </c>
    </row>
    <row r="260" spans="12:14" x14ac:dyDescent="0.3">
      <c r="L260" t="str">
        <f t="shared" si="8"/>
        <v/>
      </c>
      <c r="N260" t="str">
        <f t="shared" si="9"/>
        <v/>
      </c>
    </row>
    <row r="261" spans="12:14" x14ac:dyDescent="0.3">
      <c r="L261" t="str">
        <f t="shared" si="8"/>
        <v/>
      </c>
      <c r="N261" t="str">
        <f t="shared" si="9"/>
        <v/>
      </c>
    </row>
    <row r="262" spans="12:14" x14ac:dyDescent="0.3">
      <c r="L262" t="str">
        <f t="shared" si="8"/>
        <v/>
      </c>
      <c r="N262" t="str">
        <f t="shared" si="9"/>
        <v/>
      </c>
    </row>
    <row r="263" spans="12:14" x14ac:dyDescent="0.3">
      <c r="L263" t="str">
        <f t="shared" si="8"/>
        <v/>
      </c>
      <c r="N263" t="str">
        <f t="shared" si="9"/>
        <v/>
      </c>
    </row>
    <row r="264" spans="12:14" x14ac:dyDescent="0.3">
      <c r="L264" t="str">
        <f t="shared" si="8"/>
        <v/>
      </c>
      <c r="N264" t="str">
        <f t="shared" si="9"/>
        <v/>
      </c>
    </row>
    <row r="265" spans="12:14" x14ac:dyDescent="0.3">
      <c r="L265" t="str">
        <f t="shared" si="8"/>
        <v/>
      </c>
      <c r="N265" t="str">
        <f t="shared" si="9"/>
        <v/>
      </c>
    </row>
    <row r="266" spans="12:14" x14ac:dyDescent="0.3">
      <c r="L266" t="str">
        <f t="shared" si="8"/>
        <v/>
      </c>
      <c r="N266" t="str">
        <f t="shared" si="9"/>
        <v/>
      </c>
    </row>
    <row r="267" spans="12:14" x14ac:dyDescent="0.3">
      <c r="L267" t="str">
        <f t="shared" si="8"/>
        <v/>
      </c>
      <c r="N267" t="str">
        <f t="shared" si="9"/>
        <v/>
      </c>
    </row>
    <row r="268" spans="12:14" x14ac:dyDescent="0.3">
      <c r="L268" t="str">
        <f t="shared" si="8"/>
        <v/>
      </c>
      <c r="N268" t="str">
        <f t="shared" si="9"/>
        <v/>
      </c>
    </row>
    <row r="269" spans="12:14" x14ac:dyDescent="0.3">
      <c r="L269" t="str">
        <f t="shared" si="8"/>
        <v/>
      </c>
      <c r="N269" t="str">
        <f t="shared" si="9"/>
        <v/>
      </c>
    </row>
    <row r="270" spans="12:14" x14ac:dyDescent="0.3">
      <c r="L270" t="str">
        <f t="shared" si="8"/>
        <v/>
      </c>
      <c r="N270" t="str">
        <f t="shared" si="9"/>
        <v/>
      </c>
    </row>
    <row r="271" spans="12:14" x14ac:dyDescent="0.3">
      <c r="L271" t="str">
        <f t="shared" si="8"/>
        <v/>
      </c>
      <c r="N271" t="str">
        <f t="shared" si="9"/>
        <v/>
      </c>
    </row>
    <row r="272" spans="12:14" x14ac:dyDescent="0.3">
      <c r="L272" t="str">
        <f t="shared" si="8"/>
        <v/>
      </c>
      <c r="N272" t="str">
        <f t="shared" si="9"/>
        <v/>
      </c>
    </row>
    <row r="273" spans="12:14" x14ac:dyDescent="0.3">
      <c r="L273" t="str">
        <f t="shared" si="8"/>
        <v/>
      </c>
      <c r="N273" t="str">
        <f t="shared" si="9"/>
        <v/>
      </c>
    </row>
    <row r="274" spans="12:14" x14ac:dyDescent="0.3">
      <c r="L274" t="str">
        <f t="shared" si="8"/>
        <v/>
      </c>
      <c r="N274" t="str">
        <f t="shared" si="9"/>
        <v/>
      </c>
    </row>
    <row r="275" spans="12:14" x14ac:dyDescent="0.3">
      <c r="L275" t="str">
        <f t="shared" si="8"/>
        <v/>
      </c>
      <c r="N275" t="str">
        <f t="shared" si="9"/>
        <v/>
      </c>
    </row>
    <row r="276" spans="12:14" x14ac:dyDescent="0.3">
      <c r="L276" t="str">
        <f t="shared" si="8"/>
        <v/>
      </c>
      <c r="N276" t="str">
        <f t="shared" si="9"/>
        <v/>
      </c>
    </row>
    <row r="277" spans="12:14" x14ac:dyDescent="0.3">
      <c r="L277" t="str">
        <f t="shared" si="8"/>
        <v/>
      </c>
      <c r="N277" t="str">
        <f t="shared" si="9"/>
        <v/>
      </c>
    </row>
    <row r="278" spans="12:14" x14ac:dyDescent="0.3">
      <c r="L278" t="str">
        <f t="shared" si="8"/>
        <v/>
      </c>
      <c r="N278" t="str">
        <f t="shared" si="9"/>
        <v/>
      </c>
    </row>
    <row r="279" spans="12:14" x14ac:dyDescent="0.3">
      <c r="L279" t="str">
        <f t="shared" si="8"/>
        <v/>
      </c>
      <c r="N279" t="str">
        <f t="shared" si="9"/>
        <v/>
      </c>
    </row>
    <row r="280" spans="12:14" x14ac:dyDescent="0.3">
      <c r="L280" t="str">
        <f t="shared" si="8"/>
        <v/>
      </c>
      <c r="N280" t="str">
        <f t="shared" si="9"/>
        <v/>
      </c>
    </row>
    <row r="281" spans="12:14" x14ac:dyDescent="0.3">
      <c r="L281" t="str">
        <f t="shared" si="8"/>
        <v/>
      </c>
      <c r="N281" t="str">
        <f t="shared" si="9"/>
        <v/>
      </c>
    </row>
    <row r="282" spans="12:14" x14ac:dyDescent="0.3">
      <c r="L282" t="str">
        <f t="shared" si="8"/>
        <v/>
      </c>
      <c r="N282" t="str">
        <f t="shared" si="9"/>
        <v/>
      </c>
    </row>
    <row r="283" spans="12:14" x14ac:dyDescent="0.3">
      <c r="L283" t="str">
        <f t="shared" si="8"/>
        <v/>
      </c>
      <c r="N283" t="str">
        <f t="shared" si="9"/>
        <v/>
      </c>
    </row>
    <row r="284" spans="12:14" x14ac:dyDescent="0.3">
      <c r="L284" t="str">
        <f t="shared" si="8"/>
        <v/>
      </c>
      <c r="N284" t="str">
        <f t="shared" si="9"/>
        <v/>
      </c>
    </row>
    <row r="285" spans="12:14" x14ac:dyDescent="0.3">
      <c r="L285" t="str">
        <f t="shared" si="8"/>
        <v/>
      </c>
      <c r="N285" t="str">
        <f t="shared" si="9"/>
        <v/>
      </c>
    </row>
    <row r="286" spans="12:14" x14ac:dyDescent="0.3">
      <c r="L286" t="str">
        <f t="shared" si="8"/>
        <v/>
      </c>
      <c r="N286" t="str">
        <f t="shared" si="9"/>
        <v/>
      </c>
    </row>
    <row r="287" spans="12:14" x14ac:dyDescent="0.3">
      <c r="L287" t="str">
        <f t="shared" si="8"/>
        <v/>
      </c>
      <c r="N287" t="str">
        <f t="shared" si="9"/>
        <v/>
      </c>
    </row>
    <row r="288" spans="12:14" x14ac:dyDescent="0.3">
      <c r="L288" t="str">
        <f t="shared" si="8"/>
        <v/>
      </c>
      <c r="N288" t="str">
        <f t="shared" si="9"/>
        <v/>
      </c>
    </row>
    <row r="289" spans="12:14" x14ac:dyDescent="0.3">
      <c r="L289" t="str">
        <f t="shared" si="8"/>
        <v/>
      </c>
      <c r="N289" t="str">
        <f t="shared" si="9"/>
        <v/>
      </c>
    </row>
    <row r="290" spans="12:14" x14ac:dyDescent="0.3">
      <c r="L290" t="str">
        <f t="shared" si="8"/>
        <v/>
      </c>
      <c r="N290" t="str">
        <f t="shared" si="9"/>
        <v/>
      </c>
    </row>
    <row r="291" spans="12:14" x14ac:dyDescent="0.3">
      <c r="L291" t="str">
        <f t="shared" si="8"/>
        <v/>
      </c>
      <c r="N291" t="str">
        <f t="shared" si="9"/>
        <v/>
      </c>
    </row>
    <row r="292" spans="12:14" x14ac:dyDescent="0.3">
      <c r="L292" t="str">
        <f t="shared" si="8"/>
        <v/>
      </c>
      <c r="N292" t="str">
        <f t="shared" si="9"/>
        <v/>
      </c>
    </row>
    <row r="293" spans="12:14" x14ac:dyDescent="0.3">
      <c r="L293" t="str">
        <f t="shared" si="8"/>
        <v/>
      </c>
      <c r="N293" t="str">
        <f t="shared" si="9"/>
        <v/>
      </c>
    </row>
    <row r="294" spans="12:14" x14ac:dyDescent="0.3">
      <c r="L294" t="str">
        <f t="shared" si="8"/>
        <v/>
      </c>
      <c r="N294" t="str">
        <f t="shared" si="9"/>
        <v/>
      </c>
    </row>
    <row r="295" spans="12:14" x14ac:dyDescent="0.3">
      <c r="L295" t="str">
        <f t="shared" si="8"/>
        <v/>
      </c>
      <c r="N295" t="str">
        <f t="shared" si="9"/>
        <v/>
      </c>
    </row>
    <row r="296" spans="12:14" x14ac:dyDescent="0.3">
      <c r="L296" t="str">
        <f t="shared" si="8"/>
        <v/>
      </c>
      <c r="N296" t="str">
        <f t="shared" si="9"/>
        <v/>
      </c>
    </row>
    <row r="297" spans="12:14" x14ac:dyDescent="0.3">
      <c r="L297" t="str">
        <f t="shared" si="8"/>
        <v/>
      </c>
      <c r="N297" t="str">
        <f t="shared" si="9"/>
        <v/>
      </c>
    </row>
    <row r="298" spans="12:14" x14ac:dyDescent="0.3">
      <c r="L298" t="str">
        <f t="shared" si="8"/>
        <v/>
      </c>
      <c r="N298" t="str">
        <f t="shared" si="9"/>
        <v/>
      </c>
    </row>
    <row r="299" spans="12:14" x14ac:dyDescent="0.3">
      <c r="L299" t="str">
        <f t="shared" si="8"/>
        <v/>
      </c>
      <c r="N299" t="str">
        <f t="shared" si="9"/>
        <v/>
      </c>
    </row>
    <row r="300" spans="12:14" x14ac:dyDescent="0.3">
      <c r="L300" t="str">
        <f t="shared" si="8"/>
        <v/>
      </c>
      <c r="N300" t="str">
        <f t="shared" si="9"/>
        <v/>
      </c>
    </row>
    <row r="301" spans="12:14" x14ac:dyDescent="0.3">
      <c r="L301" t="str">
        <f t="shared" si="8"/>
        <v/>
      </c>
      <c r="N301" t="str">
        <f t="shared" si="9"/>
        <v/>
      </c>
    </row>
    <row r="302" spans="12:14" x14ac:dyDescent="0.3">
      <c r="L302" t="str">
        <f t="shared" si="8"/>
        <v/>
      </c>
      <c r="N302" t="str">
        <f t="shared" si="9"/>
        <v/>
      </c>
    </row>
    <row r="303" spans="12:14" x14ac:dyDescent="0.3">
      <c r="L303" t="str">
        <f t="shared" si="8"/>
        <v/>
      </c>
      <c r="N303" t="str">
        <f t="shared" si="9"/>
        <v/>
      </c>
    </row>
    <row r="304" spans="12:14" x14ac:dyDescent="0.3">
      <c r="L304" t="str">
        <f t="shared" si="8"/>
        <v/>
      </c>
      <c r="N304" t="str">
        <f t="shared" si="9"/>
        <v/>
      </c>
    </row>
    <row r="305" spans="12:14" x14ac:dyDescent="0.3">
      <c r="L305" t="str">
        <f t="shared" si="8"/>
        <v/>
      </c>
      <c r="N305" t="str">
        <f t="shared" si="9"/>
        <v/>
      </c>
    </row>
    <row r="306" spans="12:14" x14ac:dyDescent="0.3">
      <c r="L306" t="str">
        <f t="shared" si="8"/>
        <v/>
      </c>
      <c r="N306" t="str">
        <f t="shared" si="9"/>
        <v/>
      </c>
    </row>
    <row r="307" spans="12:14" x14ac:dyDescent="0.3">
      <c r="L307" t="str">
        <f t="shared" si="8"/>
        <v/>
      </c>
      <c r="N307" t="str">
        <f t="shared" si="9"/>
        <v/>
      </c>
    </row>
    <row r="308" spans="12:14" x14ac:dyDescent="0.3">
      <c r="L308" t="str">
        <f t="shared" si="8"/>
        <v/>
      </c>
      <c r="N308" t="str">
        <f t="shared" si="9"/>
        <v/>
      </c>
    </row>
    <row r="309" spans="12:14" x14ac:dyDescent="0.3">
      <c r="L309" t="str">
        <f t="shared" si="8"/>
        <v/>
      </c>
      <c r="N309" t="str">
        <f t="shared" si="9"/>
        <v/>
      </c>
    </row>
    <row r="310" spans="12:14" x14ac:dyDescent="0.3">
      <c r="L310" t="str">
        <f t="shared" si="8"/>
        <v/>
      </c>
      <c r="N310" t="str">
        <f t="shared" si="9"/>
        <v/>
      </c>
    </row>
    <row r="311" spans="12:14" x14ac:dyDescent="0.3">
      <c r="L311" t="str">
        <f t="shared" si="8"/>
        <v/>
      </c>
      <c r="N311" t="str">
        <f t="shared" si="9"/>
        <v/>
      </c>
    </row>
    <row r="312" spans="12:14" x14ac:dyDescent="0.3">
      <c r="L312" t="str">
        <f t="shared" si="8"/>
        <v/>
      </c>
      <c r="N312" t="str">
        <f t="shared" si="9"/>
        <v/>
      </c>
    </row>
    <row r="313" spans="12:14" x14ac:dyDescent="0.3">
      <c r="L313" t="str">
        <f t="shared" si="8"/>
        <v/>
      </c>
      <c r="N313" t="str">
        <f t="shared" si="9"/>
        <v/>
      </c>
    </row>
    <row r="314" spans="12:14" x14ac:dyDescent="0.3">
      <c r="L314" t="str">
        <f t="shared" si="8"/>
        <v/>
      </c>
      <c r="N314" t="str">
        <f t="shared" si="9"/>
        <v/>
      </c>
    </row>
    <row r="315" spans="12:14" x14ac:dyDescent="0.3">
      <c r="L315" t="str">
        <f t="shared" si="8"/>
        <v/>
      </c>
      <c r="N315" t="str">
        <f t="shared" si="9"/>
        <v/>
      </c>
    </row>
    <row r="316" spans="12:14" x14ac:dyDescent="0.3">
      <c r="L316" t="str">
        <f t="shared" si="8"/>
        <v/>
      </c>
      <c r="N316" t="str">
        <f t="shared" si="9"/>
        <v/>
      </c>
    </row>
    <row r="317" spans="12:14" x14ac:dyDescent="0.3">
      <c r="L317" t="str">
        <f t="shared" si="8"/>
        <v/>
      </c>
      <c r="N317" t="str">
        <f t="shared" si="9"/>
        <v/>
      </c>
    </row>
    <row r="318" spans="12:14" x14ac:dyDescent="0.3">
      <c r="L318" t="str">
        <f t="shared" si="8"/>
        <v/>
      </c>
      <c r="N318" t="str">
        <f t="shared" si="9"/>
        <v/>
      </c>
    </row>
    <row r="319" spans="12:14" x14ac:dyDescent="0.3">
      <c r="L319" t="str">
        <f t="shared" si="8"/>
        <v/>
      </c>
      <c r="N319" t="str">
        <f t="shared" si="9"/>
        <v/>
      </c>
    </row>
    <row r="320" spans="12:14" x14ac:dyDescent="0.3">
      <c r="L320" t="str">
        <f t="shared" si="8"/>
        <v/>
      </c>
      <c r="N320" t="str">
        <f t="shared" si="9"/>
        <v/>
      </c>
    </row>
    <row r="321" spans="12:14" x14ac:dyDescent="0.3">
      <c r="L321" t="str">
        <f t="shared" ref="L321:L384" si="10">IF(A321="","",IF(ISNUMBER(--LEFT(A321,FIND(" - ",A321&amp;" - ")-1)),LEFT(A321,FIND(" - ",A321&amp;" - ")-1),TRIM(A321)))</f>
        <v/>
      </c>
      <c r="N321" t="str">
        <f t="shared" ref="N321:N384" si="11">IF(L321="","",IF(ISNUMBER(INDEX(A321:H321,$P$1)),INDEX(A321:H321,$P$1),IFERROR(_xlfn.NUMBERVALUE(INDEX(A321:H321,$P$1),".",","),0)))</f>
        <v/>
      </c>
    </row>
    <row r="322" spans="12:14" x14ac:dyDescent="0.3">
      <c r="L322" t="str">
        <f t="shared" si="10"/>
        <v/>
      </c>
      <c r="N322" t="str">
        <f t="shared" si="11"/>
        <v/>
      </c>
    </row>
    <row r="323" spans="12:14" x14ac:dyDescent="0.3">
      <c r="L323" t="str">
        <f t="shared" si="10"/>
        <v/>
      </c>
      <c r="N323" t="str">
        <f t="shared" si="11"/>
        <v/>
      </c>
    </row>
    <row r="324" spans="12:14" x14ac:dyDescent="0.3">
      <c r="L324" t="str">
        <f t="shared" si="10"/>
        <v/>
      </c>
      <c r="N324" t="str">
        <f t="shared" si="11"/>
        <v/>
      </c>
    </row>
    <row r="325" spans="12:14" x14ac:dyDescent="0.3">
      <c r="L325" t="str">
        <f t="shared" si="10"/>
        <v/>
      </c>
      <c r="N325" t="str">
        <f t="shared" si="11"/>
        <v/>
      </c>
    </row>
    <row r="326" spans="12:14" x14ac:dyDescent="0.3">
      <c r="L326" t="str">
        <f t="shared" si="10"/>
        <v/>
      </c>
      <c r="N326" t="str">
        <f t="shared" si="11"/>
        <v/>
      </c>
    </row>
    <row r="327" spans="12:14" x14ac:dyDescent="0.3">
      <c r="L327" t="str">
        <f t="shared" si="10"/>
        <v/>
      </c>
      <c r="N327" t="str">
        <f t="shared" si="11"/>
        <v/>
      </c>
    </row>
    <row r="328" spans="12:14" x14ac:dyDescent="0.3">
      <c r="L328" t="str">
        <f t="shared" si="10"/>
        <v/>
      </c>
      <c r="N328" t="str">
        <f t="shared" si="11"/>
        <v/>
      </c>
    </row>
    <row r="329" spans="12:14" x14ac:dyDescent="0.3">
      <c r="L329" t="str">
        <f t="shared" si="10"/>
        <v/>
      </c>
      <c r="N329" t="str">
        <f t="shared" si="11"/>
        <v/>
      </c>
    </row>
    <row r="330" spans="12:14" x14ac:dyDescent="0.3">
      <c r="L330" t="str">
        <f t="shared" si="10"/>
        <v/>
      </c>
      <c r="N330" t="str">
        <f t="shared" si="11"/>
        <v/>
      </c>
    </row>
    <row r="331" spans="12:14" x14ac:dyDescent="0.3">
      <c r="L331" t="str">
        <f t="shared" si="10"/>
        <v/>
      </c>
      <c r="N331" t="str">
        <f t="shared" si="11"/>
        <v/>
      </c>
    </row>
    <row r="332" spans="12:14" x14ac:dyDescent="0.3">
      <c r="L332" t="str">
        <f t="shared" si="10"/>
        <v/>
      </c>
      <c r="N332" t="str">
        <f t="shared" si="11"/>
        <v/>
      </c>
    </row>
    <row r="333" spans="12:14" x14ac:dyDescent="0.3">
      <c r="L333" t="str">
        <f t="shared" si="10"/>
        <v/>
      </c>
      <c r="N333" t="str">
        <f t="shared" si="11"/>
        <v/>
      </c>
    </row>
    <row r="334" spans="12:14" x14ac:dyDescent="0.3">
      <c r="L334" t="str">
        <f t="shared" si="10"/>
        <v/>
      </c>
      <c r="N334" t="str">
        <f t="shared" si="11"/>
        <v/>
      </c>
    </row>
    <row r="335" spans="12:14" x14ac:dyDescent="0.3">
      <c r="L335" t="str">
        <f t="shared" si="10"/>
        <v/>
      </c>
      <c r="N335" t="str">
        <f t="shared" si="11"/>
        <v/>
      </c>
    </row>
    <row r="336" spans="12:14" x14ac:dyDescent="0.3">
      <c r="L336" t="str">
        <f t="shared" si="10"/>
        <v/>
      </c>
      <c r="N336" t="str">
        <f t="shared" si="11"/>
        <v/>
      </c>
    </row>
    <row r="337" spans="12:14" x14ac:dyDescent="0.3">
      <c r="L337" t="str">
        <f t="shared" si="10"/>
        <v/>
      </c>
      <c r="N337" t="str">
        <f t="shared" si="11"/>
        <v/>
      </c>
    </row>
    <row r="338" spans="12:14" x14ac:dyDescent="0.3">
      <c r="L338" t="str">
        <f t="shared" si="10"/>
        <v/>
      </c>
      <c r="N338" t="str">
        <f t="shared" si="11"/>
        <v/>
      </c>
    </row>
    <row r="339" spans="12:14" x14ac:dyDescent="0.3">
      <c r="L339" t="str">
        <f t="shared" si="10"/>
        <v/>
      </c>
      <c r="N339" t="str">
        <f t="shared" si="11"/>
        <v/>
      </c>
    </row>
    <row r="340" spans="12:14" x14ac:dyDescent="0.3">
      <c r="L340" t="str">
        <f t="shared" si="10"/>
        <v/>
      </c>
      <c r="N340" t="str">
        <f t="shared" si="11"/>
        <v/>
      </c>
    </row>
    <row r="341" spans="12:14" x14ac:dyDescent="0.3">
      <c r="L341" t="str">
        <f t="shared" si="10"/>
        <v/>
      </c>
      <c r="N341" t="str">
        <f t="shared" si="11"/>
        <v/>
      </c>
    </row>
    <row r="342" spans="12:14" x14ac:dyDescent="0.3">
      <c r="L342" t="str">
        <f t="shared" si="10"/>
        <v/>
      </c>
      <c r="N342" t="str">
        <f t="shared" si="11"/>
        <v/>
      </c>
    </row>
    <row r="343" spans="12:14" x14ac:dyDescent="0.3">
      <c r="L343" t="str">
        <f t="shared" si="10"/>
        <v/>
      </c>
      <c r="N343" t="str">
        <f t="shared" si="11"/>
        <v/>
      </c>
    </row>
    <row r="344" spans="12:14" x14ac:dyDescent="0.3">
      <c r="L344" t="str">
        <f t="shared" si="10"/>
        <v/>
      </c>
      <c r="N344" t="str">
        <f t="shared" si="11"/>
        <v/>
      </c>
    </row>
    <row r="345" spans="12:14" x14ac:dyDescent="0.3">
      <c r="L345" t="str">
        <f t="shared" si="10"/>
        <v/>
      </c>
      <c r="N345" t="str">
        <f t="shared" si="11"/>
        <v/>
      </c>
    </row>
    <row r="346" spans="12:14" x14ac:dyDescent="0.3">
      <c r="L346" t="str">
        <f t="shared" si="10"/>
        <v/>
      </c>
      <c r="N346" t="str">
        <f t="shared" si="11"/>
        <v/>
      </c>
    </row>
    <row r="347" spans="12:14" x14ac:dyDescent="0.3">
      <c r="L347" t="str">
        <f t="shared" si="10"/>
        <v/>
      </c>
      <c r="N347" t="str">
        <f t="shared" si="11"/>
        <v/>
      </c>
    </row>
    <row r="348" spans="12:14" x14ac:dyDescent="0.3">
      <c r="L348" t="str">
        <f t="shared" si="10"/>
        <v/>
      </c>
      <c r="N348" t="str">
        <f t="shared" si="11"/>
        <v/>
      </c>
    </row>
    <row r="349" spans="12:14" x14ac:dyDescent="0.3">
      <c r="L349" t="str">
        <f t="shared" si="10"/>
        <v/>
      </c>
      <c r="N349" t="str">
        <f t="shared" si="11"/>
        <v/>
      </c>
    </row>
    <row r="350" spans="12:14" x14ac:dyDescent="0.3">
      <c r="L350" t="str">
        <f t="shared" si="10"/>
        <v/>
      </c>
      <c r="N350" t="str">
        <f t="shared" si="11"/>
        <v/>
      </c>
    </row>
    <row r="351" spans="12:14" x14ac:dyDescent="0.3">
      <c r="L351" t="str">
        <f t="shared" si="10"/>
        <v/>
      </c>
      <c r="N351" t="str">
        <f t="shared" si="11"/>
        <v/>
      </c>
    </row>
    <row r="352" spans="12:14" x14ac:dyDescent="0.3">
      <c r="L352" t="str">
        <f t="shared" si="10"/>
        <v/>
      </c>
      <c r="N352" t="str">
        <f t="shared" si="11"/>
        <v/>
      </c>
    </row>
    <row r="353" spans="12:14" x14ac:dyDescent="0.3">
      <c r="L353" t="str">
        <f t="shared" si="10"/>
        <v/>
      </c>
      <c r="N353" t="str">
        <f t="shared" si="11"/>
        <v/>
      </c>
    </row>
    <row r="354" spans="12:14" x14ac:dyDescent="0.3">
      <c r="L354" t="str">
        <f t="shared" si="10"/>
        <v/>
      </c>
      <c r="N354" t="str">
        <f t="shared" si="11"/>
        <v/>
      </c>
    </row>
    <row r="355" spans="12:14" x14ac:dyDescent="0.3">
      <c r="L355" t="str">
        <f t="shared" si="10"/>
        <v/>
      </c>
      <c r="N355" t="str">
        <f t="shared" si="11"/>
        <v/>
      </c>
    </row>
    <row r="356" spans="12:14" x14ac:dyDescent="0.3">
      <c r="L356" t="str">
        <f t="shared" si="10"/>
        <v/>
      </c>
      <c r="N356" t="str">
        <f t="shared" si="11"/>
        <v/>
      </c>
    </row>
    <row r="357" spans="12:14" x14ac:dyDescent="0.3">
      <c r="L357" t="str">
        <f t="shared" si="10"/>
        <v/>
      </c>
      <c r="N357" t="str">
        <f t="shared" si="11"/>
        <v/>
      </c>
    </row>
    <row r="358" spans="12:14" x14ac:dyDescent="0.3">
      <c r="L358" t="str">
        <f t="shared" si="10"/>
        <v/>
      </c>
      <c r="N358" t="str">
        <f t="shared" si="11"/>
        <v/>
      </c>
    </row>
    <row r="359" spans="12:14" x14ac:dyDescent="0.3">
      <c r="L359" t="str">
        <f t="shared" si="10"/>
        <v/>
      </c>
      <c r="N359" t="str">
        <f t="shared" si="11"/>
        <v/>
      </c>
    </row>
    <row r="360" spans="12:14" x14ac:dyDescent="0.3">
      <c r="L360" t="str">
        <f t="shared" si="10"/>
        <v/>
      </c>
      <c r="N360" t="str">
        <f t="shared" si="11"/>
        <v/>
      </c>
    </row>
    <row r="361" spans="12:14" x14ac:dyDescent="0.3">
      <c r="L361" t="str">
        <f t="shared" si="10"/>
        <v/>
      </c>
      <c r="N361" t="str">
        <f t="shared" si="11"/>
        <v/>
      </c>
    </row>
    <row r="362" spans="12:14" x14ac:dyDescent="0.3">
      <c r="L362" t="str">
        <f t="shared" si="10"/>
        <v/>
      </c>
      <c r="N362" t="str">
        <f t="shared" si="11"/>
        <v/>
      </c>
    </row>
    <row r="363" spans="12:14" x14ac:dyDescent="0.3">
      <c r="L363" t="str">
        <f t="shared" si="10"/>
        <v/>
      </c>
      <c r="N363" t="str">
        <f t="shared" si="11"/>
        <v/>
      </c>
    </row>
    <row r="364" spans="12:14" x14ac:dyDescent="0.3">
      <c r="L364" t="str">
        <f t="shared" si="10"/>
        <v/>
      </c>
      <c r="N364" t="str">
        <f t="shared" si="11"/>
        <v/>
      </c>
    </row>
    <row r="365" spans="12:14" x14ac:dyDescent="0.3">
      <c r="L365" t="str">
        <f t="shared" si="10"/>
        <v/>
      </c>
      <c r="N365" t="str">
        <f t="shared" si="11"/>
        <v/>
      </c>
    </row>
    <row r="366" spans="12:14" x14ac:dyDescent="0.3">
      <c r="L366" t="str">
        <f t="shared" si="10"/>
        <v/>
      </c>
      <c r="N366" t="str">
        <f t="shared" si="11"/>
        <v/>
      </c>
    </row>
    <row r="367" spans="12:14" x14ac:dyDescent="0.3">
      <c r="L367" t="str">
        <f t="shared" si="10"/>
        <v/>
      </c>
      <c r="N367" t="str">
        <f t="shared" si="11"/>
        <v/>
      </c>
    </row>
    <row r="368" spans="12:14" x14ac:dyDescent="0.3">
      <c r="L368" t="str">
        <f t="shared" si="10"/>
        <v/>
      </c>
      <c r="N368" t="str">
        <f t="shared" si="11"/>
        <v/>
      </c>
    </row>
    <row r="369" spans="12:14" x14ac:dyDescent="0.3">
      <c r="L369" t="str">
        <f t="shared" si="10"/>
        <v/>
      </c>
      <c r="N369" t="str">
        <f t="shared" si="11"/>
        <v/>
      </c>
    </row>
    <row r="370" spans="12:14" x14ac:dyDescent="0.3">
      <c r="L370" t="str">
        <f t="shared" si="10"/>
        <v/>
      </c>
      <c r="N370" t="str">
        <f t="shared" si="11"/>
        <v/>
      </c>
    </row>
    <row r="371" spans="12:14" x14ac:dyDescent="0.3">
      <c r="L371" t="str">
        <f t="shared" si="10"/>
        <v/>
      </c>
      <c r="N371" t="str">
        <f t="shared" si="11"/>
        <v/>
      </c>
    </row>
    <row r="372" spans="12:14" x14ac:dyDescent="0.3">
      <c r="L372" t="str">
        <f t="shared" si="10"/>
        <v/>
      </c>
      <c r="N372" t="str">
        <f t="shared" si="11"/>
        <v/>
      </c>
    </row>
    <row r="373" spans="12:14" x14ac:dyDescent="0.3">
      <c r="L373" t="str">
        <f t="shared" si="10"/>
        <v/>
      </c>
      <c r="N373" t="str">
        <f t="shared" si="11"/>
        <v/>
      </c>
    </row>
    <row r="374" spans="12:14" x14ac:dyDescent="0.3">
      <c r="L374" t="str">
        <f t="shared" si="10"/>
        <v/>
      </c>
      <c r="N374" t="str">
        <f t="shared" si="11"/>
        <v/>
      </c>
    </row>
    <row r="375" spans="12:14" x14ac:dyDescent="0.3">
      <c r="L375" t="str">
        <f t="shared" si="10"/>
        <v/>
      </c>
      <c r="N375" t="str">
        <f t="shared" si="11"/>
        <v/>
      </c>
    </row>
    <row r="376" spans="12:14" x14ac:dyDescent="0.3">
      <c r="L376" t="str">
        <f t="shared" si="10"/>
        <v/>
      </c>
      <c r="N376" t="str">
        <f t="shared" si="11"/>
        <v/>
      </c>
    </row>
    <row r="377" spans="12:14" x14ac:dyDescent="0.3">
      <c r="L377" t="str">
        <f t="shared" si="10"/>
        <v/>
      </c>
      <c r="N377" t="str">
        <f t="shared" si="11"/>
        <v/>
      </c>
    </row>
    <row r="378" spans="12:14" x14ac:dyDescent="0.3">
      <c r="L378" t="str">
        <f t="shared" si="10"/>
        <v/>
      </c>
      <c r="N378" t="str">
        <f t="shared" si="11"/>
        <v/>
      </c>
    </row>
    <row r="379" spans="12:14" x14ac:dyDescent="0.3">
      <c r="L379" t="str">
        <f t="shared" si="10"/>
        <v/>
      </c>
      <c r="N379" t="str">
        <f t="shared" si="11"/>
        <v/>
      </c>
    </row>
    <row r="380" spans="12:14" x14ac:dyDescent="0.3">
      <c r="L380" t="str">
        <f t="shared" si="10"/>
        <v/>
      </c>
      <c r="N380" t="str">
        <f t="shared" si="11"/>
        <v/>
      </c>
    </row>
    <row r="381" spans="12:14" x14ac:dyDescent="0.3">
      <c r="L381" t="str">
        <f t="shared" si="10"/>
        <v/>
      </c>
      <c r="N381" t="str">
        <f t="shared" si="11"/>
        <v/>
      </c>
    </row>
    <row r="382" spans="12:14" x14ac:dyDescent="0.3">
      <c r="L382" t="str">
        <f t="shared" si="10"/>
        <v/>
      </c>
      <c r="N382" t="str">
        <f t="shared" si="11"/>
        <v/>
      </c>
    </row>
    <row r="383" spans="12:14" x14ac:dyDescent="0.3">
      <c r="L383" t="str">
        <f t="shared" si="10"/>
        <v/>
      </c>
      <c r="N383" t="str">
        <f t="shared" si="11"/>
        <v/>
      </c>
    </row>
    <row r="384" spans="12:14" x14ac:dyDescent="0.3">
      <c r="L384" t="str">
        <f t="shared" si="10"/>
        <v/>
      </c>
      <c r="N384" t="str">
        <f t="shared" si="11"/>
        <v/>
      </c>
    </row>
    <row r="385" spans="12:14" x14ac:dyDescent="0.3">
      <c r="L385" t="str">
        <f t="shared" ref="L385:L448" si="12">IF(A385="","",IF(ISNUMBER(--LEFT(A385,FIND(" - ",A385&amp;" - ")-1)),LEFT(A385,FIND(" - ",A385&amp;" - ")-1),TRIM(A385)))</f>
        <v/>
      </c>
      <c r="N385" t="str">
        <f t="shared" ref="N385:N448" si="13">IF(L385="","",IF(ISNUMBER(INDEX(A385:H385,$P$1)),INDEX(A385:H385,$P$1),IFERROR(_xlfn.NUMBERVALUE(INDEX(A385:H385,$P$1),".",","),0)))</f>
        <v/>
      </c>
    </row>
    <row r="386" spans="12:14" x14ac:dyDescent="0.3">
      <c r="L386" t="str">
        <f t="shared" si="12"/>
        <v/>
      </c>
      <c r="N386" t="str">
        <f t="shared" si="13"/>
        <v/>
      </c>
    </row>
    <row r="387" spans="12:14" x14ac:dyDescent="0.3">
      <c r="L387" t="str">
        <f t="shared" si="12"/>
        <v/>
      </c>
      <c r="N387" t="str">
        <f t="shared" si="13"/>
        <v/>
      </c>
    </row>
    <row r="388" spans="12:14" x14ac:dyDescent="0.3">
      <c r="L388" t="str">
        <f t="shared" si="12"/>
        <v/>
      </c>
      <c r="N388" t="str">
        <f t="shared" si="13"/>
        <v/>
      </c>
    </row>
    <row r="389" spans="12:14" x14ac:dyDescent="0.3">
      <c r="L389" t="str">
        <f t="shared" si="12"/>
        <v/>
      </c>
      <c r="N389" t="str">
        <f t="shared" si="13"/>
        <v/>
      </c>
    </row>
    <row r="390" spans="12:14" x14ac:dyDescent="0.3">
      <c r="L390" t="str">
        <f t="shared" si="12"/>
        <v/>
      </c>
      <c r="N390" t="str">
        <f t="shared" si="13"/>
        <v/>
      </c>
    </row>
    <row r="391" spans="12:14" x14ac:dyDescent="0.3">
      <c r="L391" t="str">
        <f t="shared" si="12"/>
        <v/>
      </c>
      <c r="N391" t="str">
        <f t="shared" si="13"/>
        <v/>
      </c>
    </row>
    <row r="392" spans="12:14" x14ac:dyDescent="0.3">
      <c r="L392" t="str">
        <f t="shared" si="12"/>
        <v/>
      </c>
      <c r="N392" t="str">
        <f t="shared" si="13"/>
        <v/>
      </c>
    </row>
    <row r="393" spans="12:14" x14ac:dyDescent="0.3">
      <c r="L393" t="str">
        <f t="shared" si="12"/>
        <v/>
      </c>
      <c r="N393" t="str">
        <f t="shared" si="13"/>
        <v/>
      </c>
    </row>
    <row r="394" spans="12:14" x14ac:dyDescent="0.3">
      <c r="L394" t="str">
        <f t="shared" si="12"/>
        <v/>
      </c>
      <c r="N394" t="str">
        <f t="shared" si="13"/>
        <v/>
      </c>
    </row>
    <row r="395" spans="12:14" x14ac:dyDescent="0.3">
      <c r="L395" t="str">
        <f t="shared" si="12"/>
        <v/>
      </c>
      <c r="N395" t="str">
        <f t="shared" si="13"/>
        <v/>
      </c>
    </row>
    <row r="396" spans="12:14" x14ac:dyDescent="0.3">
      <c r="L396" t="str">
        <f t="shared" si="12"/>
        <v/>
      </c>
      <c r="N396" t="str">
        <f t="shared" si="13"/>
        <v/>
      </c>
    </row>
    <row r="397" spans="12:14" x14ac:dyDescent="0.3">
      <c r="L397" t="str">
        <f t="shared" si="12"/>
        <v/>
      </c>
      <c r="N397" t="str">
        <f t="shared" si="13"/>
        <v/>
      </c>
    </row>
    <row r="398" spans="12:14" x14ac:dyDescent="0.3">
      <c r="L398" t="str">
        <f t="shared" si="12"/>
        <v/>
      </c>
      <c r="N398" t="str">
        <f t="shared" si="13"/>
        <v/>
      </c>
    </row>
    <row r="399" spans="12:14" x14ac:dyDescent="0.3">
      <c r="L399" t="str">
        <f t="shared" si="12"/>
        <v/>
      </c>
      <c r="N399" t="str">
        <f t="shared" si="13"/>
        <v/>
      </c>
    </row>
    <row r="400" spans="12:14" x14ac:dyDescent="0.3">
      <c r="L400" t="str">
        <f t="shared" si="12"/>
        <v/>
      </c>
      <c r="N400" t="str">
        <f t="shared" si="13"/>
        <v/>
      </c>
    </row>
    <row r="401" spans="12:14" x14ac:dyDescent="0.3">
      <c r="L401" t="str">
        <f t="shared" si="12"/>
        <v/>
      </c>
      <c r="N401" t="str">
        <f t="shared" si="13"/>
        <v/>
      </c>
    </row>
    <row r="402" spans="12:14" x14ac:dyDescent="0.3">
      <c r="L402" t="str">
        <f t="shared" si="12"/>
        <v/>
      </c>
      <c r="N402" t="str">
        <f t="shared" si="13"/>
        <v/>
      </c>
    </row>
    <row r="403" spans="12:14" x14ac:dyDescent="0.3">
      <c r="L403" t="str">
        <f t="shared" si="12"/>
        <v/>
      </c>
      <c r="N403" t="str">
        <f t="shared" si="13"/>
        <v/>
      </c>
    </row>
    <row r="404" spans="12:14" x14ac:dyDescent="0.3">
      <c r="L404" t="str">
        <f t="shared" si="12"/>
        <v/>
      </c>
      <c r="N404" t="str">
        <f t="shared" si="13"/>
        <v/>
      </c>
    </row>
    <row r="405" spans="12:14" x14ac:dyDescent="0.3">
      <c r="L405" t="str">
        <f t="shared" si="12"/>
        <v/>
      </c>
      <c r="N405" t="str">
        <f t="shared" si="13"/>
        <v/>
      </c>
    </row>
    <row r="406" spans="12:14" x14ac:dyDescent="0.3">
      <c r="L406" t="str">
        <f t="shared" si="12"/>
        <v/>
      </c>
      <c r="N406" t="str">
        <f t="shared" si="13"/>
        <v/>
      </c>
    </row>
    <row r="407" spans="12:14" x14ac:dyDescent="0.3">
      <c r="L407" t="str">
        <f t="shared" si="12"/>
        <v/>
      </c>
      <c r="N407" t="str">
        <f t="shared" si="13"/>
        <v/>
      </c>
    </row>
    <row r="408" spans="12:14" x14ac:dyDescent="0.3">
      <c r="L408" t="str">
        <f t="shared" si="12"/>
        <v/>
      </c>
      <c r="N408" t="str">
        <f t="shared" si="13"/>
        <v/>
      </c>
    </row>
    <row r="409" spans="12:14" x14ac:dyDescent="0.3">
      <c r="L409" t="str">
        <f t="shared" si="12"/>
        <v/>
      </c>
      <c r="N409" t="str">
        <f t="shared" si="13"/>
        <v/>
      </c>
    </row>
    <row r="410" spans="12:14" x14ac:dyDescent="0.3">
      <c r="L410" t="str">
        <f t="shared" si="12"/>
        <v/>
      </c>
      <c r="N410" t="str">
        <f t="shared" si="13"/>
        <v/>
      </c>
    </row>
    <row r="411" spans="12:14" x14ac:dyDescent="0.3">
      <c r="L411" t="str">
        <f t="shared" si="12"/>
        <v/>
      </c>
      <c r="N411" t="str">
        <f t="shared" si="13"/>
        <v/>
      </c>
    </row>
    <row r="412" spans="12:14" x14ac:dyDescent="0.3">
      <c r="L412" t="str">
        <f t="shared" si="12"/>
        <v/>
      </c>
      <c r="N412" t="str">
        <f t="shared" si="13"/>
        <v/>
      </c>
    </row>
    <row r="413" spans="12:14" x14ac:dyDescent="0.3">
      <c r="L413" t="str">
        <f t="shared" si="12"/>
        <v/>
      </c>
      <c r="N413" t="str">
        <f t="shared" si="13"/>
        <v/>
      </c>
    </row>
    <row r="414" spans="12:14" x14ac:dyDescent="0.3">
      <c r="L414" t="str">
        <f t="shared" si="12"/>
        <v/>
      </c>
      <c r="N414" t="str">
        <f t="shared" si="13"/>
        <v/>
      </c>
    </row>
    <row r="415" spans="12:14" x14ac:dyDescent="0.3">
      <c r="L415" t="str">
        <f t="shared" si="12"/>
        <v/>
      </c>
      <c r="N415" t="str">
        <f t="shared" si="13"/>
        <v/>
      </c>
    </row>
    <row r="416" spans="12:14" x14ac:dyDescent="0.3">
      <c r="L416" t="str">
        <f t="shared" si="12"/>
        <v/>
      </c>
      <c r="N416" t="str">
        <f t="shared" si="13"/>
        <v/>
      </c>
    </row>
    <row r="417" spans="12:14" x14ac:dyDescent="0.3">
      <c r="L417" t="str">
        <f t="shared" si="12"/>
        <v/>
      </c>
      <c r="N417" t="str">
        <f t="shared" si="13"/>
        <v/>
      </c>
    </row>
    <row r="418" spans="12:14" x14ac:dyDescent="0.3">
      <c r="L418" t="str">
        <f t="shared" si="12"/>
        <v/>
      </c>
      <c r="N418" t="str">
        <f t="shared" si="13"/>
        <v/>
      </c>
    </row>
    <row r="419" spans="12:14" x14ac:dyDescent="0.3">
      <c r="L419" t="str">
        <f t="shared" si="12"/>
        <v/>
      </c>
      <c r="N419" t="str">
        <f t="shared" si="13"/>
        <v/>
      </c>
    </row>
    <row r="420" spans="12:14" x14ac:dyDescent="0.3">
      <c r="L420" t="str">
        <f t="shared" si="12"/>
        <v/>
      </c>
      <c r="N420" t="str">
        <f t="shared" si="13"/>
        <v/>
      </c>
    </row>
    <row r="421" spans="12:14" x14ac:dyDescent="0.3">
      <c r="L421" t="str">
        <f t="shared" si="12"/>
        <v/>
      </c>
      <c r="N421" t="str">
        <f t="shared" si="13"/>
        <v/>
      </c>
    </row>
    <row r="422" spans="12:14" x14ac:dyDescent="0.3">
      <c r="L422" t="str">
        <f t="shared" si="12"/>
        <v/>
      </c>
      <c r="N422" t="str">
        <f t="shared" si="13"/>
        <v/>
      </c>
    </row>
    <row r="423" spans="12:14" x14ac:dyDescent="0.3">
      <c r="L423" t="str">
        <f t="shared" si="12"/>
        <v/>
      </c>
      <c r="N423" t="str">
        <f t="shared" si="13"/>
        <v/>
      </c>
    </row>
    <row r="424" spans="12:14" x14ac:dyDescent="0.3">
      <c r="L424" t="str">
        <f t="shared" si="12"/>
        <v/>
      </c>
      <c r="N424" t="str">
        <f t="shared" si="13"/>
        <v/>
      </c>
    </row>
    <row r="425" spans="12:14" x14ac:dyDescent="0.3">
      <c r="L425" t="str">
        <f t="shared" si="12"/>
        <v/>
      </c>
      <c r="N425" t="str">
        <f t="shared" si="13"/>
        <v/>
      </c>
    </row>
    <row r="426" spans="12:14" x14ac:dyDescent="0.3">
      <c r="L426" t="str">
        <f t="shared" si="12"/>
        <v/>
      </c>
      <c r="N426" t="str">
        <f t="shared" si="13"/>
        <v/>
      </c>
    </row>
    <row r="427" spans="12:14" x14ac:dyDescent="0.3">
      <c r="L427" t="str">
        <f t="shared" si="12"/>
        <v/>
      </c>
      <c r="N427" t="str">
        <f t="shared" si="13"/>
        <v/>
      </c>
    </row>
    <row r="428" spans="12:14" x14ac:dyDescent="0.3">
      <c r="L428" t="str">
        <f t="shared" si="12"/>
        <v/>
      </c>
      <c r="N428" t="str">
        <f t="shared" si="13"/>
        <v/>
      </c>
    </row>
    <row r="429" spans="12:14" x14ac:dyDescent="0.3">
      <c r="L429" t="str">
        <f t="shared" si="12"/>
        <v/>
      </c>
      <c r="N429" t="str">
        <f t="shared" si="13"/>
        <v/>
      </c>
    </row>
    <row r="430" spans="12:14" x14ac:dyDescent="0.3">
      <c r="L430" t="str">
        <f t="shared" si="12"/>
        <v/>
      </c>
      <c r="N430" t="str">
        <f t="shared" si="13"/>
        <v/>
      </c>
    </row>
    <row r="431" spans="12:14" x14ac:dyDescent="0.3">
      <c r="L431" t="str">
        <f t="shared" si="12"/>
        <v/>
      </c>
      <c r="N431" t="str">
        <f t="shared" si="13"/>
        <v/>
      </c>
    </row>
    <row r="432" spans="12:14" x14ac:dyDescent="0.3">
      <c r="L432" t="str">
        <f t="shared" si="12"/>
        <v/>
      </c>
      <c r="N432" t="str">
        <f t="shared" si="13"/>
        <v/>
      </c>
    </row>
    <row r="433" spans="12:14" x14ac:dyDescent="0.3">
      <c r="L433" t="str">
        <f t="shared" si="12"/>
        <v/>
      </c>
      <c r="N433" t="str">
        <f t="shared" si="13"/>
        <v/>
      </c>
    </row>
    <row r="434" spans="12:14" x14ac:dyDescent="0.3">
      <c r="L434" t="str">
        <f t="shared" si="12"/>
        <v/>
      </c>
      <c r="N434" t="str">
        <f t="shared" si="13"/>
        <v/>
      </c>
    </row>
    <row r="435" spans="12:14" x14ac:dyDescent="0.3">
      <c r="L435" t="str">
        <f t="shared" si="12"/>
        <v/>
      </c>
      <c r="N435" t="str">
        <f t="shared" si="13"/>
        <v/>
      </c>
    </row>
    <row r="436" spans="12:14" x14ac:dyDescent="0.3">
      <c r="L436" t="str">
        <f t="shared" si="12"/>
        <v/>
      </c>
      <c r="N436" t="str">
        <f t="shared" si="13"/>
        <v/>
      </c>
    </row>
    <row r="437" spans="12:14" x14ac:dyDescent="0.3">
      <c r="L437" t="str">
        <f t="shared" si="12"/>
        <v/>
      </c>
      <c r="N437" t="str">
        <f t="shared" si="13"/>
        <v/>
      </c>
    </row>
    <row r="438" spans="12:14" x14ac:dyDescent="0.3">
      <c r="L438" t="str">
        <f t="shared" si="12"/>
        <v/>
      </c>
      <c r="N438" t="str">
        <f t="shared" si="13"/>
        <v/>
      </c>
    </row>
    <row r="439" spans="12:14" x14ac:dyDescent="0.3">
      <c r="L439" t="str">
        <f t="shared" si="12"/>
        <v/>
      </c>
      <c r="N439" t="str">
        <f t="shared" si="13"/>
        <v/>
      </c>
    </row>
    <row r="440" spans="12:14" x14ac:dyDescent="0.3">
      <c r="L440" t="str">
        <f t="shared" si="12"/>
        <v/>
      </c>
      <c r="N440" t="str">
        <f t="shared" si="13"/>
        <v/>
      </c>
    </row>
    <row r="441" spans="12:14" x14ac:dyDescent="0.3">
      <c r="L441" t="str">
        <f t="shared" si="12"/>
        <v/>
      </c>
      <c r="N441" t="str">
        <f t="shared" si="13"/>
        <v/>
      </c>
    </row>
    <row r="442" spans="12:14" x14ac:dyDescent="0.3">
      <c r="L442" t="str">
        <f t="shared" si="12"/>
        <v/>
      </c>
      <c r="N442" t="str">
        <f t="shared" si="13"/>
        <v/>
      </c>
    </row>
    <row r="443" spans="12:14" x14ac:dyDescent="0.3">
      <c r="L443" t="str">
        <f t="shared" si="12"/>
        <v/>
      </c>
      <c r="N443" t="str">
        <f t="shared" si="13"/>
        <v/>
      </c>
    </row>
    <row r="444" spans="12:14" x14ac:dyDescent="0.3">
      <c r="L444" t="str">
        <f t="shared" si="12"/>
        <v/>
      </c>
      <c r="N444" t="str">
        <f t="shared" si="13"/>
        <v/>
      </c>
    </row>
    <row r="445" spans="12:14" x14ac:dyDescent="0.3">
      <c r="L445" t="str">
        <f t="shared" si="12"/>
        <v/>
      </c>
      <c r="N445" t="str">
        <f t="shared" si="13"/>
        <v/>
      </c>
    </row>
    <row r="446" spans="12:14" x14ac:dyDescent="0.3">
      <c r="L446" t="str">
        <f t="shared" si="12"/>
        <v/>
      </c>
      <c r="N446" t="str">
        <f t="shared" si="13"/>
        <v/>
      </c>
    </row>
    <row r="447" spans="12:14" x14ac:dyDescent="0.3">
      <c r="L447" t="str">
        <f t="shared" si="12"/>
        <v/>
      </c>
      <c r="N447" t="str">
        <f t="shared" si="13"/>
        <v/>
      </c>
    </row>
    <row r="448" spans="12:14" x14ac:dyDescent="0.3">
      <c r="L448" t="str">
        <f t="shared" si="12"/>
        <v/>
      </c>
      <c r="N448" t="str">
        <f t="shared" si="13"/>
        <v/>
      </c>
    </row>
    <row r="449" spans="12:14" x14ac:dyDescent="0.3">
      <c r="L449" t="str">
        <f t="shared" ref="L449:L512" si="14">IF(A449="","",IF(ISNUMBER(--LEFT(A449,FIND(" - ",A449&amp;" - ")-1)),LEFT(A449,FIND(" - ",A449&amp;" - ")-1),TRIM(A449)))</f>
        <v/>
      </c>
      <c r="N449" t="str">
        <f t="shared" ref="N449:N512" si="15">IF(L449="","",IF(ISNUMBER(INDEX(A449:H449,$P$1)),INDEX(A449:H449,$P$1),IFERROR(_xlfn.NUMBERVALUE(INDEX(A449:H449,$P$1),".",","),0)))</f>
        <v/>
      </c>
    </row>
    <row r="450" spans="12:14" x14ac:dyDescent="0.3">
      <c r="L450" t="str">
        <f t="shared" si="14"/>
        <v/>
      </c>
      <c r="N450" t="str">
        <f t="shared" si="15"/>
        <v/>
      </c>
    </row>
    <row r="451" spans="12:14" x14ac:dyDescent="0.3">
      <c r="L451" t="str">
        <f t="shared" si="14"/>
        <v/>
      </c>
      <c r="N451" t="str">
        <f t="shared" si="15"/>
        <v/>
      </c>
    </row>
    <row r="452" spans="12:14" x14ac:dyDescent="0.3">
      <c r="L452" t="str">
        <f t="shared" si="14"/>
        <v/>
      </c>
      <c r="N452" t="str">
        <f t="shared" si="15"/>
        <v/>
      </c>
    </row>
    <row r="453" spans="12:14" x14ac:dyDescent="0.3">
      <c r="L453" t="str">
        <f t="shared" si="14"/>
        <v/>
      </c>
      <c r="N453" t="str">
        <f t="shared" si="15"/>
        <v/>
      </c>
    </row>
    <row r="454" spans="12:14" x14ac:dyDescent="0.3">
      <c r="L454" t="str">
        <f t="shared" si="14"/>
        <v/>
      </c>
      <c r="N454" t="str">
        <f t="shared" si="15"/>
        <v/>
      </c>
    </row>
    <row r="455" spans="12:14" x14ac:dyDescent="0.3">
      <c r="L455" t="str">
        <f t="shared" si="14"/>
        <v/>
      </c>
      <c r="N455" t="str">
        <f t="shared" si="15"/>
        <v/>
      </c>
    </row>
    <row r="456" spans="12:14" x14ac:dyDescent="0.3">
      <c r="L456" t="str">
        <f t="shared" si="14"/>
        <v/>
      </c>
      <c r="N456" t="str">
        <f t="shared" si="15"/>
        <v/>
      </c>
    </row>
    <row r="457" spans="12:14" x14ac:dyDescent="0.3">
      <c r="L457" t="str">
        <f t="shared" si="14"/>
        <v/>
      </c>
      <c r="N457" t="str">
        <f t="shared" si="15"/>
        <v/>
      </c>
    </row>
    <row r="458" spans="12:14" x14ac:dyDescent="0.3">
      <c r="L458" t="str">
        <f t="shared" si="14"/>
        <v/>
      </c>
      <c r="N458" t="str">
        <f t="shared" si="15"/>
        <v/>
      </c>
    </row>
    <row r="459" spans="12:14" x14ac:dyDescent="0.3">
      <c r="L459" t="str">
        <f t="shared" si="14"/>
        <v/>
      </c>
      <c r="N459" t="str">
        <f t="shared" si="15"/>
        <v/>
      </c>
    </row>
    <row r="460" spans="12:14" x14ac:dyDescent="0.3">
      <c r="L460" t="str">
        <f t="shared" si="14"/>
        <v/>
      </c>
      <c r="N460" t="str">
        <f t="shared" si="15"/>
        <v/>
      </c>
    </row>
    <row r="461" spans="12:14" x14ac:dyDescent="0.3">
      <c r="L461" t="str">
        <f t="shared" si="14"/>
        <v/>
      </c>
      <c r="N461" t="str">
        <f t="shared" si="15"/>
        <v/>
      </c>
    </row>
    <row r="462" spans="12:14" x14ac:dyDescent="0.3">
      <c r="L462" t="str">
        <f t="shared" si="14"/>
        <v/>
      </c>
      <c r="N462" t="str">
        <f t="shared" si="15"/>
        <v/>
      </c>
    </row>
    <row r="463" spans="12:14" x14ac:dyDescent="0.3">
      <c r="L463" t="str">
        <f t="shared" si="14"/>
        <v/>
      </c>
      <c r="N463" t="str">
        <f t="shared" si="15"/>
        <v/>
      </c>
    </row>
    <row r="464" spans="12:14" x14ac:dyDescent="0.3">
      <c r="L464" t="str">
        <f t="shared" si="14"/>
        <v/>
      </c>
      <c r="N464" t="str">
        <f t="shared" si="15"/>
        <v/>
      </c>
    </row>
    <row r="465" spans="12:14" x14ac:dyDescent="0.3">
      <c r="L465" t="str">
        <f t="shared" si="14"/>
        <v/>
      </c>
      <c r="N465" t="str">
        <f t="shared" si="15"/>
        <v/>
      </c>
    </row>
    <row r="466" spans="12:14" x14ac:dyDescent="0.3">
      <c r="L466" t="str">
        <f t="shared" si="14"/>
        <v/>
      </c>
      <c r="N466" t="str">
        <f t="shared" si="15"/>
        <v/>
      </c>
    </row>
    <row r="467" spans="12:14" x14ac:dyDescent="0.3">
      <c r="L467" t="str">
        <f t="shared" si="14"/>
        <v/>
      </c>
      <c r="N467" t="str">
        <f t="shared" si="15"/>
        <v/>
      </c>
    </row>
    <row r="468" spans="12:14" x14ac:dyDescent="0.3">
      <c r="L468" t="str">
        <f t="shared" si="14"/>
        <v/>
      </c>
      <c r="N468" t="str">
        <f t="shared" si="15"/>
        <v/>
      </c>
    </row>
    <row r="469" spans="12:14" x14ac:dyDescent="0.3">
      <c r="L469" t="str">
        <f t="shared" si="14"/>
        <v/>
      </c>
      <c r="N469" t="str">
        <f t="shared" si="15"/>
        <v/>
      </c>
    </row>
    <row r="470" spans="12:14" x14ac:dyDescent="0.3">
      <c r="L470" t="str">
        <f t="shared" si="14"/>
        <v/>
      </c>
      <c r="N470" t="str">
        <f t="shared" si="15"/>
        <v/>
      </c>
    </row>
    <row r="471" spans="12:14" x14ac:dyDescent="0.3">
      <c r="L471" t="str">
        <f t="shared" si="14"/>
        <v/>
      </c>
      <c r="N471" t="str">
        <f t="shared" si="15"/>
        <v/>
      </c>
    </row>
    <row r="472" spans="12:14" x14ac:dyDescent="0.3">
      <c r="L472" t="str">
        <f t="shared" si="14"/>
        <v/>
      </c>
      <c r="N472" t="str">
        <f t="shared" si="15"/>
        <v/>
      </c>
    </row>
    <row r="473" spans="12:14" x14ac:dyDescent="0.3">
      <c r="L473" t="str">
        <f t="shared" si="14"/>
        <v/>
      </c>
      <c r="N473" t="str">
        <f t="shared" si="15"/>
        <v/>
      </c>
    </row>
    <row r="474" spans="12:14" x14ac:dyDescent="0.3">
      <c r="L474" t="str">
        <f t="shared" si="14"/>
        <v/>
      </c>
      <c r="N474" t="str">
        <f t="shared" si="15"/>
        <v/>
      </c>
    </row>
    <row r="475" spans="12:14" x14ac:dyDescent="0.3">
      <c r="L475" t="str">
        <f t="shared" si="14"/>
        <v/>
      </c>
      <c r="N475" t="str">
        <f t="shared" si="15"/>
        <v/>
      </c>
    </row>
    <row r="476" spans="12:14" x14ac:dyDescent="0.3">
      <c r="L476" t="str">
        <f t="shared" si="14"/>
        <v/>
      </c>
      <c r="N476" t="str">
        <f t="shared" si="15"/>
        <v/>
      </c>
    </row>
    <row r="477" spans="12:14" x14ac:dyDescent="0.3">
      <c r="L477" t="str">
        <f t="shared" si="14"/>
        <v/>
      </c>
      <c r="N477" t="str">
        <f t="shared" si="15"/>
        <v/>
      </c>
    </row>
    <row r="478" spans="12:14" x14ac:dyDescent="0.3">
      <c r="L478" t="str">
        <f t="shared" si="14"/>
        <v/>
      </c>
      <c r="N478" t="str">
        <f t="shared" si="15"/>
        <v/>
      </c>
    </row>
    <row r="479" spans="12:14" x14ac:dyDescent="0.3">
      <c r="L479" t="str">
        <f t="shared" si="14"/>
        <v/>
      </c>
      <c r="N479" t="str">
        <f t="shared" si="15"/>
        <v/>
      </c>
    </row>
    <row r="480" spans="12:14" x14ac:dyDescent="0.3">
      <c r="L480" t="str">
        <f t="shared" si="14"/>
        <v/>
      </c>
      <c r="N480" t="str">
        <f t="shared" si="15"/>
        <v/>
      </c>
    </row>
    <row r="481" spans="12:14" x14ac:dyDescent="0.3">
      <c r="L481" t="str">
        <f t="shared" si="14"/>
        <v/>
      </c>
      <c r="N481" t="str">
        <f t="shared" si="15"/>
        <v/>
      </c>
    </row>
    <row r="482" spans="12:14" x14ac:dyDescent="0.3">
      <c r="L482" t="str">
        <f t="shared" si="14"/>
        <v/>
      </c>
      <c r="N482" t="str">
        <f t="shared" si="15"/>
        <v/>
      </c>
    </row>
    <row r="483" spans="12:14" x14ac:dyDescent="0.3">
      <c r="L483" t="str">
        <f t="shared" si="14"/>
        <v/>
      </c>
      <c r="N483" t="str">
        <f t="shared" si="15"/>
        <v/>
      </c>
    </row>
    <row r="484" spans="12:14" x14ac:dyDescent="0.3">
      <c r="L484" t="str">
        <f t="shared" si="14"/>
        <v/>
      </c>
      <c r="N484" t="str">
        <f t="shared" si="15"/>
        <v/>
      </c>
    </row>
    <row r="485" spans="12:14" x14ac:dyDescent="0.3">
      <c r="L485" t="str">
        <f t="shared" si="14"/>
        <v/>
      </c>
      <c r="N485" t="str">
        <f t="shared" si="15"/>
        <v/>
      </c>
    </row>
    <row r="486" spans="12:14" x14ac:dyDescent="0.3">
      <c r="L486" t="str">
        <f t="shared" si="14"/>
        <v/>
      </c>
      <c r="N486" t="str">
        <f t="shared" si="15"/>
        <v/>
      </c>
    </row>
    <row r="487" spans="12:14" x14ac:dyDescent="0.3">
      <c r="L487" t="str">
        <f t="shared" si="14"/>
        <v/>
      </c>
      <c r="N487" t="str">
        <f t="shared" si="15"/>
        <v/>
      </c>
    </row>
    <row r="488" spans="12:14" x14ac:dyDescent="0.3">
      <c r="L488" t="str">
        <f t="shared" si="14"/>
        <v/>
      </c>
      <c r="N488" t="str">
        <f t="shared" si="15"/>
        <v/>
      </c>
    </row>
    <row r="489" spans="12:14" x14ac:dyDescent="0.3">
      <c r="L489" t="str">
        <f t="shared" si="14"/>
        <v/>
      </c>
      <c r="N489" t="str">
        <f t="shared" si="15"/>
        <v/>
      </c>
    </row>
    <row r="490" spans="12:14" x14ac:dyDescent="0.3">
      <c r="L490" t="str">
        <f t="shared" si="14"/>
        <v/>
      </c>
      <c r="N490" t="str">
        <f t="shared" si="15"/>
        <v/>
      </c>
    </row>
    <row r="491" spans="12:14" x14ac:dyDescent="0.3">
      <c r="L491" t="str">
        <f t="shared" si="14"/>
        <v/>
      </c>
      <c r="N491" t="str">
        <f t="shared" si="15"/>
        <v/>
      </c>
    </row>
    <row r="492" spans="12:14" x14ac:dyDescent="0.3">
      <c r="L492" t="str">
        <f t="shared" si="14"/>
        <v/>
      </c>
      <c r="N492" t="str">
        <f t="shared" si="15"/>
        <v/>
      </c>
    </row>
    <row r="493" spans="12:14" x14ac:dyDescent="0.3">
      <c r="L493" t="str">
        <f t="shared" si="14"/>
        <v/>
      </c>
      <c r="N493" t="str">
        <f t="shared" si="15"/>
        <v/>
      </c>
    </row>
    <row r="494" spans="12:14" x14ac:dyDescent="0.3">
      <c r="L494" t="str">
        <f t="shared" si="14"/>
        <v/>
      </c>
      <c r="N494" t="str">
        <f t="shared" si="15"/>
        <v/>
      </c>
    </row>
    <row r="495" spans="12:14" x14ac:dyDescent="0.3">
      <c r="L495" t="str">
        <f t="shared" si="14"/>
        <v/>
      </c>
      <c r="N495" t="str">
        <f t="shared" si="15"/>
        <v/>
      </c>
    </row>
    <row r="496" spans="12:14" x14ac:dyDescent="0.3">
      <c r="L496" t="str">
        <f t="shared" si="14"/>
        <v/>
      </c>
      <c r="N496" t="str">
        <f t="shared" si="15"/>
        <v/>
      </c>
    </row>
    <row r="497" spans="12:14" x14ac:dyDescent="0.3">
      <c r="L497" t="str">
        <f t="shared" si="14"/>
        <v/>
      </c>
      <c r="N497" t="str">
        <f t="shared" si="15"/>
        <v/>
      </c>
    </row>
    <row r="498" spans="12:14" x14ac:dyDescent="0.3">
      <c r="L498" t="str">
        <f t="shared" si="14"/>
        <v/>
      </c>
      <c r="N498" t="str">
        <f t="shared" si="15"/>
        <v/>
      </c>
    </row>
    <row r="499" spans="12:14" x14ac:dyDescent="0.3">
      <c r="L499" t="str">
        <f t="shared" si="14"/>
        <v/>
      </c>
      <c r="N499" t="str">
        <f t="shared" si="15"/>
        <v/>
      </c>
    </row>
    <row r="500" spans="12:14" x14ac:dyDescent="0.3">
      <c r="L500" t="str">
        <f t="shared" si="14"/>
        <v/>
      </c>
      <c r="N500" t="str">
        <f t="shared" si="15"/>
        <v/>
      </c>
    </row>
    <row r="501" spans="12:14" x14ac:dyDescent="0.3">
      <c r="L501" t="str">
        <f t="shared" si="14"/>
        <v/>
      </c>
      <c r="N501" t="str">
        <f t="shared" si="15"/>
        <v/>
      </c>
    </row>
    <row r="502" spans="12:14" x14ac:dyDescent="0.3">
      <c r="L502" t="str">
        <f t="shared" si="14"/>
        <v/>
      </c>
      <c r="N502" t="str">
        <f t="shared" si="15"/>
        <v/>
      </c>
    </row>
    <row r="503" spans="12:14" x14ac:dyDescent="0.3">
      <c r="L503" t="str">
        <f t="shared" si="14"/>
        <v/>
      </c>
      <c r="N503" t="str">
        <f t="shared" si="15"/>
        <v/>
      </c>
    </row>
    <row r="504" spans="12:14" x14ac:dyDescent="0.3">
      <c r="L504" t="str">
        <f t="shared" si="14"/>
        <v/>
      </c>
      <c r="N504" t="str">
        <f t="shared" si="15"/>
        <v/>
      </c>
    </row>
    <row r="505" spans="12:14" x14ac:dyDescent="0.3">
      <c r="L505" t="str">
        <f t="shared" si="14"/>
        <v/>
      </c>
      <c r="N505" t="str">
        <f t="shared" si="15"/>
        <v/>
      </c>
    </row>
    <row r="506" spans="12:14" x14ac:dyDescent="0.3">
      <c r="L506" t="str">
        <f t="shared" si="14"/>
        <v/>
      </c>
      <c r="N506" t="str">
        <f t="shared" si="15"/>
        <v/>
      </c>
    </row>
    <row r="507" spans="12:14" x14ac:dyDescent="0.3">
      <c r="L507" t="str">
        <f t="shared" si="14"/>
        <v/>
      </c>
      <c r="N507" t="str">
        <f t="shared" si="15"/>
        <v/>
      </c>
    </row>
    <row r="508" spans="12:14" x14ac:dyDescent="0.3">
      <c r="L508" t="str">
        <f t="shared" si="14"/>
        <v/>
      </c>
      <c r="N508" t="str">
        <f t="shared" si="15"/>
        <v/>
      </c>
    </row>
    <row r="509" spans="12:14" x14ac:dyDescent="0.3">
      <c r="L509" t="str">
        <f t="shared" si="14"/>
        <v/>
      </c>
      <c r="N509" t="str">
        <f t="shared" si="15"/>
        <v/>
      </c>
    </row>
    <row r="510" spans="12:14" x14ac:dyDescent="0.3">
      <c r="L510" t="str">
        <f t="shared" si="14"/>
        <v/>
      </c>
      <c r="N510" t="str">
        <f t="shared" si="15"/>
        <v/>
      </c>
    </row>
    <row r="511" spans="12:14" x14ac:dyDescent="0.3">
      <c r="L511" t="str">
        <f t="shared" si="14"/>
        <v/>
      </c>
      <c r="N511" t="str">
        <f t="shared" si="15"/>
        <v/>
      </c>
    </row>
    <row r="512" spans="12:14" x14ac:dyDescent="0.3">
      <c r="L512" t="str">
        <f t="shared" si="14"/>
        <v/>
      </c>
      <c r="N512" t="str">
        <f t="shared" si="15"/>
        <v/>
      </c>
    </row>
    <row r="513" spans="12:14" x14ac:dyDescent="0.3">
      <c r="L513" t="str">
        <f t="shared" ref="L513:L576" si="16">IF(A513="","",IF(ISNUMBER(--LEFT(A513,FIND(" - ",A513&amp;" - ")-1)),LEFT(A513,FIND(" - ",A513&amp;" - ")-1),TRIM(A513)))</f>
        <v/>
      </c>
      <c r="N513" t="str">
        <f t="shared" ref="N513:N576" si="17">IF(L513="","",IF(ISNUMBER(INDEX(A513:H513,$P$1)),INDEX(A513:H513,$P$1),IFERROR(_xlfn.NUMBERVALUE(INDEX(A513:H513,$P$1),".",","),0)))</f>
        <v/>
      </c>
    </row>
    <row r="514" spans="12:14" x14ac:dyDescent="0.3">
      <c r="L514" t="str">
        <f t="shared" si="16"/>
        <v/>
      </c>
      <c r="N514" t="str">
        <f t="shared" si="17"/>
        <v/>
      </c>
    </row>
    <row r="515" spans="12:14" x14ac:dyDescent="0.3">
      <c r="L515" t="str">
        <f t="shared" si="16"/>
        <v/>
      </c>
      <c r="N515" t="str">
        <f t="shared" si="17"/>
        <v/>
      </c>
    </row>
    <row r="516" spans="12:14" x14ac:dyDescent="0.3">
      <c r="L516" t="str">
        <f t="shared" si="16"/>
        <v/>
      </c>
      <c r="N516" t="str">
        <f t="shared" si="17"/>
        <v/>
      </c>
    </row>
    <row r="517" spans="12:14" x14ac:dyDescent="0.3">
      <c r="L517" t="str">
        <f t="shared" si="16"/>
        <v/>
      </c>
      <c r="N517" t="str">
        <f t="shared" si="17"/>
        <v/>
      </c>
    </row>
    <row r="518" spans="12:14" x14ac:dyDescent="0.3">
      <c r="L518" t="str">
        <f t="shared" si="16"/>
        <v/>
      </c>
      <c r="N518" t="str">
        <f t="shared" si="17"/>
        <v/>
      </c>
    </row>
    <row r="519" spans="12:14" x14ac:dyDescent="0.3">
      <c r="L519" t="str">
        <f t="shared" si="16"/>
        <v/>
      </c>
      <c r="N519" t="str">
        <f t="shared" si="17"/>
        <v/>
      </c>
    </row>
    <row r="520" spans="12:14" x14ac:dyDescent="0.3">
      <c r="L520" t="str">
        <f t="shared" si="16"/>
        <v/>
      </c>
      <c r="N520" t="str">
        <f t="shared" si="17"/>
        <v/>
      </c>
    </row>
    <row r="521" spans="12:14" x14ac:dyDescent="0.3">
      <c r="L521" t="str">
        <f t="shared" si="16"/>
        <v/>
      </c>
      <c r="N521" t="str">
        <f t="shared" si="17"/>
        <v/>
      </c>
    </row>
    <row r="522" spans="12:14" x14ac:dyDescent="0.3">
      <c r="L522" t="str">
        <f t="shared" si="16"/>
        <v/>
      </c>
      <c r="N522" t="str">
        <f t="shared" si="17"/>
        <v/>
      </c>
    </row>
    <row r="523" spans="12:14" x14ac:dyDescent="0.3">
      <c r="L523" t="str">
        <f t="shared" si="16"/>
        <v/>
      </c>
      <c r="N523" t="str">
        <f t="shared" si="17"/>
        <v/>
      </c>
    </row>
    <row r="524" spans="12:14" x14ac:dyDescent="0.3">
      <c r="L524" t="str">
        <f t="shared" si="16"/>
        <v/>
      </c>
      <c r="N524" t="str">
        <f t="shared" si="17"/>
        <v/>
      </c>
    </row>
    <row r="525" spans="12:14" x14ac:dyDescent="0.3">
      <c r="L525" t="str">
        <f t="shared" si="16"/>
        <v/>
      </c>
      <c r="N525" t="str">
        <f t="shared" si="17"/>
        <v/>
      </c>
    </row>
    <row r="526" spans="12:14" x14ac:dyDescent="0.3">
      <c r="L526" t="str">
        <f t="shared" si="16"/>
        <v/>
      </c>
      <c r="N526" t="str">
        <f t="shared" si="17"/>
        <v/>
      </c>
    </row>
    <row r="527" spans="12:14" x14ac:dyDescent="0.3">
      <c r="L527" t="str">
        <f t="shared" si="16"/>
        <v/>
      </c>
      <c r="N527" t="str">
        <f t="shared" si="17"/>
        <v/>
      </c>
    </row>
    <row r="528" spans="12:14" x14ac:dyDescent="0.3">
      <c r="L528" t="str">
        <f t="shared" si="16"/>
        <v/>
      </c>
      <c r="N528" t="str">
        <f t="shared" si="17"/>
        <v/>
      </c>
    </row>
    <row r="529" spans="12:14" x14ac:dyDescent="0.3">
      <c r="L529" t="str">
        <f t="shared" si="16"/>
        <v/>
      </c>
      <c r="N529" t="str">
        <f t="shared" si="17"/>
        <v/>
      </c>
    </row>
    <row r="530" spans="12:14" x14ac:dyDescent="0.3">
      <c r="L530" t="str">
        <f t="shared" si="16"/>
        <v/>
      </c>
      <c r="N530" t="str">
        <f t="shared" si="17"/>
        <v/>
      </c>
    </row>
    <row r="531" spans="12:14" x14ac:dyDescent="0.3">
      <c r="L531" t="str">
        <f t="shared" si="16"/>
        <v/>
      </c>
      <c r="N531" t="str">
        <f t="shared" si="17"/>
        <v/>
      </c>
    </row>
    <row r="532" spans="12:14" x14ac:dyDescent="0.3">
      <c r="L532" t="str">
        <f t="shared" si="16"/>
        <v/>
      </c>
      <c r="N532" t="str">
        <f t="shared" si="17"/>
        <v/>
      </c>
    </row>
    <row r="533" spans="12:14" x14ac:dyDescent="0.3">
      <c r="L533" t="str">
        <f t="shared" si="16"/>
        <v/>
      </c>
      <c r="N533" t="str">
        <f t="shared" si="17"/>
        <v/>
      </c>
    </row>
    <row r="534" spans="12:14" x14ac:dyDescent="0.3">
      <c r="L534" t="str">
        <f t="shared" si="16"/>
        <v/>
      </c>
      <c r="N534" t="str">
        <f t="shared" si="17"/>
        <v/>
      </c>
    </row>
    <row r="535" spans="12:14" x14ac:dyDescent="0.3">
      <c r="L535" t="str">
        <f t="shared" si="16"/>
        <v/>
      </c>
      <c r="N535" t="str">
        <f t="shared" si="17"/>
        <v/>
      </c>
    </row>
    <row r="536" spans="12:14" x14ac:dyDescent="0.3">
      <c r="L536" t="str">
        <f t="shared" si="16"/>
        <v/>
      </c>
      <c r="N536" t="str">
        <f t="shared" si="17"/>
        <v/>
      </c>
    </row>
    <row r="537" spans="12:14" x14ac:dyDescent="0.3">
      <c r="L537" t="str">
        <f t="shared" si="16"/>
        <v/>
      </c>
      <c r="N537" t="str">
        <f t="shared" si="17"/>
        <v/>
      </c>
    </row>
    <row r="538" spans="12:14" x14ac:dyDescent="0.3">
      <c r="L538" t="str">
        <f t="shared" si="16"/>
        <v/>
      </c>
      <c r="N538" t="str">
        <f t="shared" si="17"/>
        <v/>
      </c>
    </row>
    <row r="539" spans="12:14" x14ac:dyDescent="0.3">
      <c r="L539" t="str">
        <f t="shared" si="16"/>
        <v/>
      </c>
      <c r="N539" t="str">
        <f t="shared" si="17"/>
        <v/>
      </c>
    </row>
    <row r="540" spans="12:14" x14ac:dyDescent="0.3">
      <c r="L540" t="str">
        <f t="shared" si="16"/>
        <v/>
      </c>
      <c r="N540" t="str">
        <f t="shared" si="17"/>
        <v/>
      </c>
    </row>
    <row r="541" spans="12:14" x14ac:dyDescent="0.3">
      <c r="L541" t="str">
        <f t="shared" si="16"/>
        <v/>
      </c>
      <c r="N541" t="str">
        <f t="shared" si="17"/>
        <v/>
      </c>
    </row>
    <row r="542" spans="12:14" x14ac:dyDescent="0.3">
      <c r="L542" t="str">
        <f t="shared" si="16"/>
        <v/>
      </c>
      <c r="N542" t="str">
        <f t="shared" si="17"/>
        <v/>
      </c>
    </row>
    <row r="543" spans="12:14" x14ac:dyDescent="0.3">
      <c r="L543" t="str">
        <f t="shared" si="16"/>
        <v/>
      </c>
      <c r="N543" t="str">
        <f t="shared" si="17"/>
        <v/>
      </c>
    </row>
    <row r="544" spans="12:14" x14ac:dyDescent="0.3">
      <c r="L544" t="str">
        <f t="shared" si="16"/>
        <v/>
      </c>
      <c r="N544" t="str">
        <f t="shared" si="17"/>
        <v/>
      </c>
    </row>
    <row r="545" spans="12:14" x14ac:dyDescent="0.3">
      <c r="L545" t="str">
        <f t="shared" si="16"/>
        <v/>
      </c>
      <c r="N545" t="str">
        <f t="shared" si="17"/>
        <v/>
      </c>
    </row>
    <row r="546" spans="12:14" x14ac:dyDescent="0.3">
      <c r="L546" t="str">
        <f t="shared" si="16"/>
        <v/>
      </c>
      <c r="N546" t="str">
        <f t="shared" si="17"/>
        <v/>
      </c>
    </row>
    <row r="547" spans="12:14" x14ac:dyDescent="0.3">
      <c r="L547" t="str">
        <f t="shared" si="16"/>
        <v/>
      </c>
      <c r="N547" t="str">
        <f t="shared" si="17"/>
        <v/>
      </c>
    </row>
    <row r="548" spans="12:14" x14ac:dyDescent="0.3">
      <c r="L548" t="str">
        <f t="shared" si="16"/>
        <v/>
      </c>
      <c r="N548" t="str">
        <f t="shared" si="17"/>
        <v/>
      </c>
    </row>
    <row r="549" spans="12:14" x14ac:dyDescent="0.3">
      <c r="L549" t="str">
        <f t="shared" si="16"/>
        <v/>
      </c>
      <c r="N549" t="str">
        <f t="shared" si="17"/>
        <v/>
      </c>
    </row>
    <row r="550" spans="12:14" x14ac:dyDescent="0.3">
      <c r="L550" t="str">
        <f t="shared" si="16"/>
        <v/>
      </c>
      <c r="N550" t="str">
        <f t="shared" si="17"/>
        <v/>
      </c>
    </row>
    <row r="551" spans="12:14" x14ac:dyDescent="0.3">
      <c r="L551" t="str">
        <f t="shared" si="16"/>
        <v/>
      </c>
      <c r="N551" t="str">
        <f t="shared" si="17"/>
        <v/>
      </c>
    </row>
    <row r="552" spans="12:14" x14ac:dyDescent="0.3">
      <c r="L552" t="str">
        <f t="shared" si="16"/>
        <v/>
      </c>
      <c r="N552" t="str">
        <f t="shared" si="17"/>
        <v/>
      </c>
    </row>
    <row r="553" spans="12:14" x14ac:dyDescent="0.3">
      <c r="L553" t="str">
        <f t="shared" si="16"/>
        <v/>
      </c>
      <c r="N553" t="str">
        <f t="shared" si="17"/>
        <v/>
      </c>
    </row>
    <row r="554" spans="12:14" x14ac:dyDescent="0.3">
      <c r="L554" t="str">
        <f t="shared" si="16"/>
        <v/>
      </c>
      <c r="N554" t="str">
        <f t="shared" si="17"/>
        <v/>
      </c>
    </row>
    <row r="555" spans="12:14" x14ac:dyDescent="0.3">
      <c r="L555" t="str">
        <f t="shared" si="16"/>
        <v/>
      </c>
      <c r="N555" t="str">
        <f t="shared" si="17"/>
        <v/>
      </c>
    </row>
    <row r="556" spans="12:14" x14ac:dyDescent="0.3">
      <c r="L556" t="str">
        <f t="shared" si="16"/>
        <v/>
      </c>
      <c r="N556" t="str">
        <f t="shared" si="17"/>
        <v/>
      </c>
    </row>
    <row r="557" spans="12:14" x14ac:dyDescent="0.3">
      <c r="L557" t="str">
        <f t="shared" si="16"/>
        <v/>
      </c>
      <c r="N557" t="str">
        <f t="shared" si="17"/>
        <v/>
      </c>
    </row>
    <row r="558" spans="12:14" x14ac:dyDescent="0.3">
      <c r="L558" t="str">
        <f t="shared" si="16"/>
        <v/>
      </c>
      <c r="N558" t="str">
        <f t="shared" si="17"/>
        <v/>
      </c>
    </row>
    <row r="559" spans="12:14" x14ac:dyDescent="0.3">
      <c r="L559" t="str">
        <f t="shared" si="16"/>
        <v/>
      </c>
      <c r="N559" t="str">
        <f t="shared" si="17"/>
        <v/>
      </c>
    </row>
    <row r="560" spans="12:14" x14ac:dyDescent="0.3">
      <c r="L560" t="str">
        <f t="shared" si="16"/>
        <v/>
      </c>
      <c r="N560" t="str">
        <f t="shared" si="17"/>
        <v/>
      </c>
    </row>
    <row r="561" spans="12:14" x14ac:dyDescent="0.3">
      <c r="L561" t="str">
        <f t="shared" si="16"/>
        <v/>
      </c>
      <c r="N561" t="str">
        <f t="shared" si="17"/>
        <v/>
      </c>
    </row>
    <row r="562" spans="12:14" x14ac:dyDescent="0.3">
      <c r="L562" t="str">
        <f t="shared" si="16"/>
        <v/>
      </c>
      <c r="N562" t="str">
        <f t="shared" si="17"/>
        <v/>
      </c>
    </row>
    <row r="563" spans="12:14" x14ac:dyDescent="0.3">
      <c r="L563" t="str">
        <f t="shared" si="16"/>
        <v/>
      </c>
      <c r="N563" t="str">
        <f t="shared" si="17"/>
        <v/>
      </c>
    </row>
    <row r="564" spans="12:14" x14ac:dyDescent="0.3">
      <c r="L564" t="str">
        <f t="shared" si="16"/>
        <v/>
      </c>
      <c r="N564" t="str">
        <f t="shared" si="17"/>
        <v/>
      </c>
    </row>
    <row r="565" spans="12:14" x14ac:dyDescent="0.3">
      <c r="L565" t="str">
        <f t="shared" si="16"/>
        <v/>
      </c>
      <c r="N565" t="str">
        <f t="shared" si="17"/>
        <v/>
      </c>
    </row>
    <row r="566" spans="12:14" x14ac:dyDescent="0.3">
      <c r="L566" t="str">
        <f t="shared" si="16"/>
        <v/>
      </c>
      <c r="N566" t="str">
        <f t="shared" si="17"/>
        <v/>
      </c>
    </row>
    <row r="567" spans="12:14" x14ac:dyDescent="0.3">
      <c r="L567" t="str">
        <f t="shared" si="16"/>
        <v/>
      </c>
      <c r="N567" t="str">
        <f t="shared" si="17"/>
        <v/>
      </c>
    </row>
    <row r="568" spans="12:14" x14ac:dyDescent="0.3">
      <c r="L568" t="str">
        <f t="shared" si="16"/>
        <v/>
      </c>
      <c r="N568" t="str">
        <f t="shared" si="17"/>
        <v/>
      </c>
    </row>
    <row r="569" spans="12:14" x14ac:dyDescent="0.3">
      <c r="L569" t="str">
        <f t="shared" si="16"/>
        <v/>
      </c>
      <c r="N569" t="str">
        <f t="shared" si="17"/>
        <v/>
      </c>
    </row>
    <row r="570" spans="12:14" x14ac:dyDescent="0.3">
      <c r="L570" t="str">
        <f t="shared" si="16"/>
        <v/>
      </c>
      <c r="N570" t="str">
        <f t="shared" si="17"/>
        <v/>
      </c>
    </row>
    <row r="571" spans="12:14" x14ac:dyDescent="0.3">
      <c r="L571" t="str">
        <f t="shared" si="16"/>
        <v/>
      </c>
      <c r="N571" t="str">
        <f t="shared" si="17"/>
        <v/>
      </c>
    </row>
    <row r="572" spans="12:14" x14ac:dyDescent="0.3">
      <c r="L572" t="str">
        <f t="shared" si="16"/>
        <v/>
      </c>
      <c r="N572" t="str">
        <f t="shared" si="17"/>
        <v/>
      </c>
    </row>
    <row r="573" spans="12:14" x14ac:dyDescent="0.3">
      <c r="L573" t="str">
        <f t="shared" si="16"/>
        <v/>
      </c>
      <c r="N573" t="str">
        <f t="shared" si="17"/>
        <v/>
      </c>
    </row>
    <row r="574" spans="12:14" x14ac:dyDescent="0.3">
      <c r="L574" t="str">
        <f t="shared" si="16"/>
        <v/>
      </c>
      <c r="N574" t="str">
        <f t="shared" si="17"/>
        <v/>
      </c>
    </row>
    <row r="575" spans="12:14" x14ac:dyDescent="0.3">
      <c r="L575" t="str">
        <f t="shared" si="16"/>
        <v/>
      </c>
      <c r="N575" t="str">
        <f t="shared" si="17"/>
        <v/>
      </c>
    </row>
    <row r="576" spans="12:14" x14ac:dyDescent="0.3">
      <c r="L576" t="str">
        <f t="shared" si="16"/>
        <v/>
      </c>
      <c r="N576" t="str">
        <f t="shared" si="17"/>
        <v/>
      </c>
    </row>
    <row r="577" spans="12:14" x14ac:dyDescent="0.3">
      <c r="L577" t="str">
        <f t="shared" ref="L577:L640" si="18">IF(A577="","",IF(ISNUMBER(--LEFT(A577,FIND(" - ",A577&amp;" - ")-1)),LEFT(A577,FIND(" - ",A577&amp;" - ")-1),TRIM(A577)))</f>
        <v/>
      </c>
      <c r="N577" t="str">
        <f t="shared" ref="N577:N640" si="19">IF(L577="","",IF(ISNUMBER(INDEX(A577:H577,$P$1)),INDEX(A577:H577,$P$1),IFERROR(_xlfn.NUMBERVALUE(INDEX(A577:H577,$P$1),".",","),0)))</f>
        <v/>
      </c>
    </row>
    <row r="578" spans="12:14" x14ac:dyDescent="0.3">
      <c r="L578" t="str">
        <f t="shared" si="18"/>
        <v/>
      </c>
      <c r="N578" t="str">
        <f t="shared" si="19"/>
        <v/>
      </c>
    </row>
    <row r="579" spans="12:14" x14ac:dyDescent="0.3">
      <c r="L579" t="str">
        <f t="shared" si="18"/>
        <v/>
      </c>
      <c r="N579" t="str">
        <f t="shared" si="19"/>
        <v/>
      </c>
    </row>
    <row r="580" spans="12:14" x14ac:dyDescent="0.3">
      <c r="L580" t="str">
        <f t="shared" si="18"/>
        <v/>
      </c>
      <c r="N580" t="str">
        <f t="shared" si="19"/>
        <v/>
      </c>
    </row>
    <row r="581" spans="12:14" x14ac:dyDescent="0.3">
      <c r="L581" t="str">
        <f t="shared" si="18"/>
        <v/>
      </c>
      <c r="N581" t="str">
        <f t="shared" si="19"/>
        <v/>
      </c>
    </row>
    <row r="582" spans="12:14" x14ac:dyDescent="0.3">
      <c r="L582" t="str">
        <f t="shared" si="18"/>
        <v/>
      </c>
      <c r="N582" t="str">
        <f t="shared" si="19"/>
        <v/>
      </c>
    </row>
    <row r="583" spans="12:14" x14ac:dyDescent="0.3">
      <c r="L583" t="str">
        <f t="shared" si="18"/>
        <v/>
      </c>
      <c r="N583" t="str">
        <f t="shared" si="19"/>
        <v/>
      </c>
    </row>
    <row r="584" spans="12:14" x14ac:dyDescent="0.3">
      <c r="L584" t="str">
        <f t="shared" si="18"/>
        <v/>
      </c>
      <c r="N584" t="str">
        <f t="shared" si="19"/>
        <v/>
      </c>
    </row>
    <row r="585" spans="12:14" x14ac:dyDescent="0.3">
      <c r="L585" t="str">
        <f t="shared" si="18"/>
        <v/>
      </c>
      <c r="N585" t="str">
        <f t="shared" si="19"/>
        <v/>
      </c>
    </row>
    <row r="586" spans="12:14" x14ac:dyDescent="0.3">
      <c r="L586" t="str">
        <f t="shared" si="18"/>
        <v/>
      </c>
      <c r="N586" t="str">
        <f t="shared" si="19"/>
        <v/>
      </c>
    </row>
    <row r="587" spans="12:14" x14ac:dyDescent="0.3">
      <c r="L587" t="str">
        <f t="shared" si="18"/>
        <v/>
      </c>
      <c r="N587" t="str">
        <f t="shared" si="19"/>
        <v/>
      </c>
    </row>
    <row r="588" spans="12:14" x14ac:dyDescent="0.3">
      <c r="L588" t="str">
        <f t="shared" si="18"/>
        <v/>
      </c>
      <c r="N588" t="str">
        <f t="shared" si="19"/>
        <v/>
      </c>
    </row>
    <row r="589" spans="12:14" x14ac:dyDescent="0.3">
      <c r="L589" t="str">
        <f t="shared" si="18"/>
        <v/>
      </c>
      <c r="N589" t="str">
        <f t="shared" si="19"/>
        <v/>
      </c>
    </row>
    <row r="590" spans="12:14" x14ac:dyDescent="0.3">
      <c r="L590" t="str">
        <f t="shared" si="18"/>
        <v/>
      </c>
      <c r="N590" t="str">
        <f t="shared" si="19"/>
        <v/>
      </c>
    </row>
    <row r="591" spans="12:14" x14ac:dyDescent="0.3">
      <c r="L591" t="str">
        <f t="shared" si="18"/>
        <v/>
      </c>
      <c r="N591" t="str">
        <f t="shared" si="19"/>
        <v/>
      </c>
    </row>
    <row r="592" spans="12:14" x14ac:dyDescent="0.3">
      <c r="L592" t="str">
        <f t="shared" si="18"/>
        <v/>
      </c>
      <c r="N592" t="str">
        <f t="shared" si="19"/>
        <v/>
      </c>
    </row>
    <row r="593" spans="12:14" x14ac:dyDescent="0.3">
      <c r="L593" t="str">
        <f t="shared" si="18"/>
        <v/>
      </c>
      <c r="N593" t="str">
        <f t="shared" si="19"/>
        <v/>
      </c>
    </row>
    <row r="594" spans="12:14" x14ac:dyDescent="0.3">
      <c r="L594" t="str">
        <f t="shared" si="18"/>
        <v/>
      </c>
      <c r="N594" t="str">
        <f t="shared" si="19"/>
        <v/>
      </c>
    </row>
    <row r="595" spans="12:14" x14ac:dyDescent="0.3">
      <c r="L595" t="str">
        <f t="shared" si="18"/>
        <v/>
      </c>
      <c r="N595" t="str">
        <f t="shared" si="19"/>
        <v/>
      </c>
    </row>
    <row r="596" spans="12:14" x14ac:dyDescent="0.3">
      <c r="L596" t="str">
        <f t="shared" si="18"/>
        <v/>
      </c>
      <c r="N596" t="str">
        <f t="shared" si="19"/>
        <v/>
      </c>
    </row>
    <row r="597" spans="12:14" x14ac:dyDescent="0.3">
      <c r="L597" t="str">
        <f t="shared" si="18"/>
        <v/>
      </c>
      <c r="N597" t="str">
        <f t="shared" si="19"/>
        <v/>
      </c>
    </row>
    <row r="598" spans="12:14" x14ac:dyDescent="0.3">
      <c r="L598" t="str">
        <f t="shared" si="18"/>
        <v/>
      </c>
      <c r="N598" t="str">
        <f t="shared" si="19"/>
        <v/>
      </c>
    </row>
    <row r="599" spans="12:14" x14ac:dyDescent="0.3">
      <c r="L599" t="str">
        <f t="shared" si="18"/>
        <v/>
      </c>
      <c r="N599" t="str">
        <f t="shared" si="19"/>
        <v/>
      </c>
    </row>
    <row r="600" spans="12:14" x14ac:dyDescent="0.3">
      <c r="L600" t="str">
        <f t="shared" si="18"/>
        <v/>
      </c>
      <c r="N600" t="str">
        <f t="shared" si="19"/>
        <v/>
      </c>
    </row>
    <row r="601" spans="12:14" x14ac:dyDescent="0.3">
      <c r="L601" t="str">
        <f t="shared" si="18"/>
        <v/>
      </c>
      <c r="N601" t="str">
        <f t="shared" si="19"/>
        <v/>
      </c>
    </row>
    <row r="602" spans="12:14" x14ac:dyDescent="0.3">
      <c r="L602" t="str">
        <f t="shared" si="18"/>
        <v/>
      </c>
      <c r="N602" t="str">
        <f t="shared" si="19"/>
        <v/>
      </c>
    </row>
    <row r="603" spans="12:14" x14ac:dyDescent="0.3">
      <c r="L603" t="str">
        <f t="shared" si="18"/>
        <v/>
      </c>
      <c r="N603" t="str">
        <f t="shared" si="19"/>
        <v/>
      </c>
    </row>
    <row r="604" spans="12:14" x14ac:dyDescent="0.3">
      <c r="L604" t="str">
        <f t="shared" si="18"/>
        <v/>
      </c>
      <c r="N604" t="str">
        <f t="shared" si="19"/>
        <v/>
      </c>
    </row>
    <row r="605" spans="12:14" x14ac:dyDescent="0.3">
      <c r="L605" t="str">
        <f t="shared" si="18"/>
        <v/>
      </c>
      <c r="N605" t="str">
        <f t="shared" si="19"/>
        <v/>
      </c>
    </row>
    <row r="606" spans="12:14" x14ac:dyDescent="0.3">
      <c r="L606" t="str">
        <f t="shared" si="18"/>
        <v/>
      </c>
      <c r="N606" t="str">
        <f t="shared" si="19"/>
        <v/>
      </c>
    </row>
    <row r="607" spans="12:14" x14ac:dyDescent="0.3">
      <c r="L607" t="str">
        <f t="shared" si="18"/>
        <v/>
      </c>
      <c r="N607" t="str">
        <f t="shared" si="19"/>
        <v/>
      </c>
    </row>
    <row r="608" spans="12:14" x14ac:dyDescent="0.3">
      <c r="L608" t="str">
        <f t="shared" si="18"/>
        <v/>
      </c>
      <c r="N608" t="str">
        <f t="shared" si="19"/>
        <v/>
      </c>
    </row>
    <row r="609" spans="12:14" x14ac:dyDescent="0.3">
      <c r="L609" t="str">
        <f t="shared" si="18"/>
        <v/>
      </c>
      <c r="N609" t="str">
        <f t="shared" si="19"/>
        <v/>
      </c>
    </row>
    <row r="610" spans="12:14" x14ac:dyDescent="0.3">
      <c r="L610" t="str">
        <f t="shared" si="18"/>
        <v/>
      </c>
      <c r="N610" t="str">
        <f t="shared" si="19"/>
        <v/>
      </c>
    </row>
    <row r="611" spans="12:14" x14ac:dyDescent="0.3">
      <c r="L611" t="str">
        <f t="shared" si="18"/>
        <v/>
      </c>
      <c r="N611" t="str">
        <f t="shared" si="19"/>
        <v/>
      </c>
    </row>
    <row r="612" spans="12:14" x14ac:dyDescent="0.3">
      <c r="L612" t="str">
        <f t="shared" si="18"/>
        <v/>
      </c>
      <c r="N612" t="str">
        <f t="shared" si="19"/>
        <v/>
      </c>
    </row>
    <row r="613" spans="12:14" x14ac:dyDescent="0.3">
      <c r="L613" t="str">
        <f t="shared" si="18"/>
        <v/>
      </c>
      <c r="N613" t="str">
        <f t="shared" si="19"/>
        <v/>
      </c>
    </row>
    <row r="614" spans="12:14" x14ac:dyDescent="0.3">
      <c r="L614" t="str">
        <f t="shared" si="18"/>
        <v/>
      </c>
      <c r="N614" t="str">
        <f t="shared" si="19"/>
        <v/>
      </c>
    </row>
    <row r="615" spans="12:14" x14ac:dyDescent="0.3">
      <c r="L615" t="str">
        <f t="shared" si="18"/>
        <v/>
      </c>
      <c r="N615" t="str">
        <f t="shared" si="19"/>
        <v/>
      </c>
    </row>
    <row r="616" spans="12:14" x14ac:dyDescent="0.3">
      <c r="L616" t="str">
        <f t="shared" si="18"/>
        <v/>
      </c>
      <c r="N616" t="str">
        <f t="shared" si="19"/>
        <v/>
      </c>
    </row>
    <row r="617" spans="12:14" x14ac:dyDescent="0.3">
      <c r="L617" t="str">
        <f t="shared" si="18"/>
        <v/>
      </c>
      <c r="N617" t="str">
        <f t="shared" si="19"/>
        <v/>
      </c>
    </row>
    <row r="618" spans="12:14" x14ac:dyDescent="0.3">
      <c r="L618" t="str">
        <f t="shared" si="18"/>
        <v/>
      </c>
      <c r="N618" t="str">
        <f t="shared" si="19"/>
        <v/>
      </c>
    </row>
    <row r="619" spans="12:14" x14ac:dyDescent="0.3">
      <c r="L619" t="str">
        <f t="shared" si="18"/>
        <v/>
      </c>
      <c r="N619" t="str">
        <f t="shared" si="19"/>
        <v/>
      </c>
    </row>
    <row r="620" spans="12:14" x14ac:dyDescent="0.3">
      <c r="L620" t="str">
        <f t="shared" si="18"/>
        <v/>
      </c>
      <c r="N620" t="str">
        <f t="shared" si="19"/>
        <v/>
      </c>
    </row>
    <row r="621" spans="12:14" x14ac:dyDescent="0.3">
      <c r="L621" t="str">
        <f t="shared" si="18"/>
        <v/>
      </c>
      <c r="N621" t="str">
        <f t="shared" si="19"/>
        <v/>
      </c>
    </row>
    <row r="622" spans="12:14" x14ac:dyDescent="0.3">
      <c r="L622" t="str">
        <f t="shared" si="18"/>
        <v/>
      </c>
      <c r="N622" t="str">
        <f t="shared" si="19"/>
        <v/>
      </c>
    </row>
    <row r="623" spans="12:14" x14ac:dyDescent="0.3">
      <c r="L623" t="str">
        <f t="shared" si="18"/>
        <v/>
      </c>
      <c r="N623" t="str">
        <f t="shared" si="19"/>
        <v/>
      </c>
    </row>
    <row r="624" spans="12:14" x14ac:dyDescent="0.3">
      <c r="L624" t="str">
        <f t="shared" si="18"/>
        <v/>
      </c>
      <c r="N624" t="str">
        <f t="shared" si="19"/>
        <v/>
      </c>
    </row>
    <row r="625" spans="12:14" x14ac:dyDescent="0.3">
      <c r="L625" t="str">
        <f t="shared" si="18"/>
        <v/>
      </c>
      <c r="N625" t="str">
        <f t="shared" si="19"/>
        <v/>
      </c>
    </row>
    <row r="626" spans="12:14" x14ac:dyDescent="0.3">
      <c r="L626" t="str">
        <f t="shared" si="18"/>
        <v/>
      </c>
      <c r="N626" t="str">
        <f t="shared" si="19"/>
        <v/>
      </c>
    </row>
    <row r="627" spans="12:14" x14ac:dyDescent="0.3">
      <c r="L627" t="str">
        <f t="shared" si="18"/>
        <v/>
      </c>
      <c r="N627" t="str">
        <f t="shared" si="19"/>
        <v/>
      </c>
    </row>
    <row r="628" spans="12:14" x14ac:dyDescent="0.3">
      <c r="L628" t="str">
        <f t="shared" si="18"/>
        <v/>
      </c>
      <c r="N628" t="str">
        <f t="shared" si="19"/>
        <v/>
      </c>
    </row>
    <row r="629" spans="12:14" x14ac:dyDescent="0.3">
      <c r="L629" t="str">
        <f t="shared" si="18"/>
        <v/>
      </c>
      <c r="N629" t="str">
        <f t="shared" si="19"/>
        <v/>
      </c>
    </row>
    <row r="630" spans="12:14" x14ac:dyDescent="0.3">
      <c r="L630" t="str">
        <f t="shared" si="18"/>
        <v/>
      </c>
      <c r="N630" t="str">
        <f t="shared" si="19"/>
        <v/>
      </c>
    </row>
    <row r="631" spans="12:14" x14ac:dyDescent="0.3">
      <c r="L631" t="str">
        <f t="shared" si="18"/>
        <v/>
      </c>
      <c r="N631" t="str">
        <f t="shared" si="19"/>
        <v/>
      </c>
    </row>
    <row r="632" spans="12:14" x14ac:dyDescent="0.3">
      <c r="L632" t="str">
        <f t="shared" si="18"/>
        <v/>
      </c>
      <c r="N632" t="str">
        <f t="shared" si="19"/>
        <v/>
      </c>
    </row>
    <row r="633" spans="12:14" x14ac:dyDescent="0.3">
      <c r="L633" t="str">
        <f t="shared" si="18"/>
        <v/>
      </c>
      <c r="N633" t="str">
        <f t="shared" si="19"/>
        <v/>
      </c>
    </row>
    <row r="634" spans="12:14" x14ac:dyDescent="0.3">
      <c r="L634" t="str">
        <f t="shared" si="18"/>
        <v/>
      </c>
      <c r="N634" t="str">
        <f t="shared" si="19"/>
        <v/>
      </c>
    </row>
    <row r="635" spans="12:14" x14ac:dyDescent="0.3">
      <c r="L635" t="str">
        <f t="shared" si="18"/>
        <v/>
      </c>
      <c r="N635" t="str">
        <f t="shared" si="19"/>
        <v/>
      </c>
    </row>
    <row r="636" spans="12:14" x14ac:dyDescent="0.3">
      <c r="L636" t="str">
        <f t="shared" si="18"/>
        <v/>
      </c>
      <c r="N636" t="str">
        <f t="shared" si="19"/>
        <v/>
      </c>
    </row>
    <row r="637" spans="12:14" x14ac:dyDescent="0.3">
      <c r="L637" t="str">
        <f t="shared" si="18"/>
        <v/>
      </c>
      <c r="N637" t="str">
        <f t="shared" si="19"/>
        <v/>
      </c>
    </row>
    <row r="638" spans="12:14" x14ac:dyDescent="0.3">
      <c r="L638" t="str">
        <f t="shared" si="18"/>
        <v/>
      </c>
      <c r="N638" t="str">
        <f t="shared" si="19"/>
        <v/>
      </c>
    </row>
    <row r="639" spans="12:14" x14ac:dyDescent="0.3">
      <c r="L639" t="str">
        <f t="shared" si="18"/>
        <v/>
      </c>
      <c r="N639" t="str">
        <f t="shared" si="19"/>
        <v/>
      </c>
    </row>
    <row r="640" spans="12:14" x14ac:dyDescent="0.3">
      <c r="L640" t="str">
        <f t="shared" si="18"/>
        <v/>
      </c>
      <c r="N640" t="str">
        <f t="shared" si="19"/>
        <v/>
      </c>
    </row>
    <row r="641" spans="12:14" x14ac:dyDescent="0.3">
      <c r="L641" t="str">
        <f t="shared" ref="L641:L704" si="20">IF(A641="","",IF(ISNUMBER(--LEFT(A641,FIND(" - ",A641&amp;" - ")-1)),LEFT(A641,FIND(" - ",A641&amp;" - ")-1),TRIM(A641)))</f>
        <v/>
      </c>
      <c r="N641" t="str">
        <f t="shared" ref="N641:N704" si="21">IF(L641="","",IF(ISNUMBER(INDEX(A641:H641,$P$1)),INDEX(A641:H641,$P$1),IFERROR(_xlfn.NUMBERVALUE(INDEX(A641:H641,$P$1),".",","),0)))</f>
        <v/>
      </c>
    </row>
    <row r="642" spans="12:14" x14ac:dyDescent="0.3">
      <c r="L642" t="str">
        <f t="shared" si="20"/>
        <v/>
      </c>
      <c r="N642" t="str">
        <f t="shared" si="21"/>
        <v/>
      </c>
    </row>
    <row r="643" spans="12:14" x14ac:dyDescent="0.3">
      <c r="L643" t="str">
        <f t="shared" si="20"/>
        <v/>
      </c>
      <c r="N643" t="str">
        <f t="shared" si="21"/>
        <v/>
      </c>
    </row>
    <row r="644" spans="12:14" x14ac:dyDescent="0.3">
      <c r="L644" t="str">
        <f t="shared" si="20"/>
        <v/>
      </c>
      <c r="N644" t="str">
        <f t="shared" si="21"/>
        <v/>
      </c>
    </row>
    <row r="645" spans="12:14" x14ac:dyDescent="0.3">
      <c r="L645" t="str">
        <f t="shared" si="20"/>
        <v/>
      </c>
      <c r="N645" t="str">
        <f t="shared" si="21"/>
        <v/>
      </c>
    </row>
    <row r="646" spans="12:14" x14ac:dyDescent="0.3">
      <c r="L646" t="str">
        <f t="shared" si="20"/>
        <v/>
      </c>
      <c r="N646" t="str">
        <f t="shared" si="21"/>
        <v/>
      </c>
    </row>
    <row r="647" spans="12:14" x14ac:dyDescent="0.3">
      <c r="L647" t="str">
        <f t="shared" si="20"/>
        <v/>
      </c>
      <c r="N647" t="str">
        <f t="shared" si="21"/>
        <v/>
      </c>
    </row>
    <row r="648" spans="12:14" x14ac:dyDescent="0.3">
      <c r="L648" t="str">
        <f t="shared" si="20"/>
        <v/>
      </c>
      <c r="N648" t="str">
        <f t="shared" si="21"/>
        <v/>
      </c>
    </row>
    <row r="649" spans="12:14" x14ac:dyDescent="0.3">
      <c r="L649" t="str">
        <f t="shared" si="20"/>
        <v/>
      </c>
      <c r="N649" t="str">
        <f t="shared" si="21"/>
        <v/>
      </c>
    </row>
    <row r="650" spans="12:14" x14ac:dyDescent="0.3">
      <c r="L650" t="str">
        <f t="shared" si="20"/>
        <v/>
      </c>
      <c r="N650" t="str">
        <f t="shared" si="21"/>
        <v/>
      </c>
    </row>
    <row r="651" spans="12:14" x14ac:dyDescent="0.3">
      <c r="L651" t="str">
        <f t="shared" si="20"/>
        <v/>
      </c>
      <c r="N651" t="str">
        <f t="shared" si="21"/>
        <v/>
      </c>
    </row>
    <row r="652" spans="12:14" x14ac:dyDescent="0.3">
      <c r="L652" t="str">
        <f t="shared" si="20"/>
        <v/>
      </c>
      <c r="N652" t="str">
        <f t="shared" si="21"/>
        <v/>
      </c>
    </row>
    <row r="653" spans="12:14" x14ac:dyDescent="0.3">
      <c r="L653" t="str">
        <f t="shared" si="20"/>
        <v/>
      </c>
      <c r="N653" t="str">
        <f t="shared" si="21"/>
        <v/>
      </c>
    </row>
    <row r="654" spans="12:14" x14ac:dyDescent="0.3">
      <c r="L654" t="str">
        <f t="shared" si="20"/>
        <v/>
      </c>
      <c r="N654" t="str">
        <f t="shared" si="21"/>
        <v/>
      </c>
    </row>
    <row r="655" spans="12:14" x14ac:dyDescent="0.3">
      <c r="L655" t="str">
        <f t="shared" si="20"/>
        <v/>
      </c>
      <c r="N655" t="str">
        <f t="shared" si="21"/>
        <v/>
      </c>
    </row>
    <row r="656" spans="12:14" x14ac:dyDescent="0.3">
      <c r="L656" t="str">
        <f t="shared" si="20"/>
        <v/>
      </c>
      <c r="N656" t="str">
        <f t="shared" si="21"/>
        <v/>
      </c>
    </row>
    <row r="657" spans="12:14" x14ac:dyDescent="0.3">
      <c r="L657" t="str">
        <f t="shared" si="20"/>
        <v/>
      </c>
      <c r="N657" t="str">
        <f t="shared" si="21"/>
        <v/>
      </c>
    </row>
    <row r="658" spans="12:14" x14ac:dyDescent="0.3">
      <c r="L658" t="str">
        <f t="shared" si="20"/>
        <v/>
      </c>
      <c r="N658" t="str">
        <f t="shared" si="21"/>
        <v/>
      </c>
    </row>
    <row r="659" spans="12:14" x14ac:dyDescent="0.3">
      <c r="L659" t="str">
        <f t="shared" si="20"/>
        <v/>
      </c>
      <c r="N659" t="str">
        <f t="shared" si="21"/>
        <v/>
      </c>
    </row>
    <row r="660" spans="12:14" x14ac:dyDescent="0.3">
      <c r="L660" t="str">
        <f t="shared" si="20"/>
        <v/>
      </c>
      <c r="N660" t="str">
        <f t="shared" si="21"/>
        <v/>
      </c>
    </row>
    <row r="661" spans="12:14" x14ac:dyDescent="0.3">
      <c r="L661" t="str">
        <f t="shared" si="20"/>
        <v/>
      </c>
      <c r="N661" t="str">
        <f t="shared" si="21"/>
        <v/>
      </c>
    </row>
    <row r="662" spans="12:14" x14ac:dyDescent="0.3">
      <c r="L662" t="str">
        <f t="shared" si="20"/>
        <v/>
      </c>
      <c r="N662" t="str">
        <f t="shared" si="21"/>
        <v/>
      </c>
    </row>
    <row r="663" spans="12:14" x14ac:dyDescent="0.3">
      <c r="L663" t="str">
        <f t="shared" si="20"/>
        <v/>
      </c>
      <c r="N663" t="str">
        <f t="shared" si="21"/>
        <v/>
      </c>
    </row>
    <row r="664" spans="12:14" x14ac:dyDescent="0.3">
      <c r="L664" t="str">
        <f t="shared" si="20"/>
        <v/>
      </c>
      <c r="N664" t="str">
        <f t="shared" si="21"/>
        <v/>
      </c>
    </row>
    <row r="665" spans="12:14" x14ac:dyDescent="0.3">
      <c r="L665" t="str">
        <f t="shared" si="20"/>
        <v/>
      </c>
      <c r="N665" t="str">
        <f t="shared" si="21"/>
        <v/>
      </c>
    </row>
    <row r="666" spans="12:14" x14ac:dyDescent="0.3">
      <c r="L666" t="str">
        <f t="shared" si="20"/>
        <v/>
      </c>
      <c r="N666" t="str">
        <f t="shared" si="21"/>
        <v/>
      </c>
    </row>
    <row r="667" spans="12:14" x14ac:dyDescent="0.3">
      <c r="L667" t="str">
        <f t="shared" si="20"/>
        <v/>
      </c>
      <c r="N667" t="str">
        <f t="shared" si="21"/>
        <v/>
      </c>
    </row>
    <row r="668" spans="12:14" x14ac:dyDescent="0.3">
      <c r="L668" t="str">
        <f t="shared" si="20"/>
        <v/>
      </c>
      <c r="N668" t="str">
        <f t="shared" si="21"/>
        <v/>
      </c>
    </row>
    <row r="669" spans="12:14" x14ac:dyDescent="0.3">
      <c r="L669" t="str">
        <f t="shared" si="20"/>
        <v/>
      </c>
      <c r="N669" t="str">
        <f t="shared" si="21"/>
        <v/>
      </c>
    </row>
    <row r="670" spans="12:14" x14ac:dyDescent="0.3">
      <c r="L670" t="str">
        <f t="shared" si="20"/>
        <v/>
      </c>
      <c r="N670" t="str">
        <f t="shared" si="21"/>
        <v/>
      </c>
    </row>
    <row r="671" spans="12:14" x14ac:dyDescent="0.3">
      <c r="L671" t="str">
        <f t="shared" si="20"/>
        <v/>
      </c>
      <c r="N671" t="str">
        <f t="shared" si="21"/>
        <v/>
      </c>
    </row>
    <row r="672" spans="12:14" x14ac:dyDescent="0.3">
      <c r="L672" t="str">
        <f t="shared" si="20"/>
        <v/>
      </c>
      <c r="N672" t="str">
        <f t="shared" si="21"/>
        <v/>
      </c>
    </row>
    <row r="673" spans="12:14" x14ac:dyDescent="0.3">
      <c r="L673" t="str">
        <f t="shared" si="20"/>
        <v/>
      </c>
      <c r="N673" t="str">
        <f t="shared" si="21"/>
        <v/>
      </c>
    </row>
    <row r="674" spans="12:14" x14ac:dyDescent="0.3">
      <c r="L674" t="str">
        <f t="shared" si="20"/>
        <v/>
      </c>
      <c r="N674" t="str">
        <f t="shared" si="21"/>
        <v/>
      </c>
    </row>
    <row r="675" spans="12:14" x14ac:dyDescent="0.3">
      <c r="L675" t="str">
        <f t="shared" si="20"/>
        <v/>
      </c>
      <c r="N675" t="str">
        <f t="shared" si="21"/>
        <v/>
      </c>
    </row>
    <row r="676" spans="12:14" x14ac:dyDescent="0.3">
      <c r="L676" t="str">
        <f t="shared" si="20"/>
        <v/>
      </c>
      <c r="N676" t="str">
        <f t="shared" si="21"/>
        <v/>
      </c>
    </row>
    <row r="677" spans="12:14" x14ac:dyDescent="0.3">
      <c r="L677" t="str">
        <f t="shared" si="20"/>
        <v/>
      </c>
      <c r="N677" t="str">
        <f t="shared" si="21"/>
        <v/>
      </c>
    </row>
    <row r="678" spans="12:14" x14ac:dyDescent="0.3">
      <c r="L678" t="str">
        <f t="shared" si="20"/>
        <v/>
      </c>
      <c r="N678" t="str">
        <f t="shared" si="21"/>
        <v/>
      </c>
    </row>
    <row r="679" spans="12:14" x14ac:dyDescent="0.3">
      <c r="L679" t="str">
        <f t="shared" si="20"/>
        <v/>
      </c>
      <c r="N679" t="str">
        <f t="shared" si="21"/>
        <v/>
      </c>
    </row>
    <row r="680" spans="12:14" x14ac:dyDescent="0.3">
      <c r="L680" t="str">
        <f t="shared" si="20"/>
        <v/>
      </c>
      <c r="N680" t="str">
        <f t="shared" si="21"/>
        <v/>
      </c>
    </row>
    <row r="681" spans="12:14" x14ac:dyDescent="0.3">
      <c r="L681" t="str">
        <f t="shared" si="20"/>
        <v/>
      </c>
      <c r="N681" t="str">
        <f t="shared" si="21"/>
        <v/>
      </c>
    </row>
    <row r="682" spans="12:14" x14ac:dyDescent="0.3">
      <c r="L682" t="str">
        <f t="shared" si="20"/>
        <v/>
      </c>
      <c r="N682" t="str">
        <f t="shared" si="21"/>
        <v/>
      </c>
    </row>
    <row r="683" spans="12:14" x14ac:dyDescent="0.3">
      <c r="L683" t="str">
        <f t="shared" si="20"/>
        <v/>
      </c>
      <c r="N683" t="str">
        <f t="shared" si="21"/>
        <v/>
      </c>
    </row>
    <row r="684" spans="12:14" x14ac:dyDescent="0.3">
      <c r="L684" t="str">
        <f t="shared" si="20"/>
        <v/>
      </c>
      <c r="N684" t="str">
        <f t="shared" si="21"/>
        <v/>
      </c>
    </row>
    <row r="685" spans="12:14" x14ac:dyDescent="0.3">
      <c r="L685" t="str">
        <f t="shared" si="20"/>
        <v/>
      </c>
      <c r="N685" t="str">
        <f t="shared" si="21"/>
        <v/>
      </c>
    </row>
    <row r="686" spans="12:14" x14ac:dyDescent="0.3">
      <c r="L686" t="str">
        <f t="shared" si="20"/>
        <v/>
      </c>
      <c r="N686" t="str">
        <f t="shared" si="21"/>
        <v/>
      </c>
    </row>
    <row r="687" spans="12:14" x14ac:dyDescent="0.3">
      <c r="L687" t="str">
        <f t="shared" si="20"/>
        <v/>
      </c>
      <c r="N687" t="str">
        <f t="shared" si="21"/>
        <v/>
      </c>
    </row>
    <row r="688" spans="12:14" x14ac:dyDescent="0.3">
      <c r="L688" t="str">
        <f t="shared" si="20"/>
        <v/>
      </c>
      <c r="N688" t="str">
        <f t="shared" si="21"/>
        <v/>
      </c>
    </row>
    <row r="689" spans="12:14" x14ac:dyDescent="0.3">
      <c r="L689" t="str">
        <f t="shared" si="20"/>
        <v/>
      </c>
      <c r="N689" t="str">
        <f t="shared" si="21"/>
        <v/>
      </c>
    </row>
    <row r="690" spans="12:14" x14ac:dyDescent="0.3">
      <c r="L690" t="str">
        <f t="shared" si="20"/>
        <v/>
      </c>
      <c r="N690" t="str">
        <f t="shared" si="21"/>
        <v/>
      </c>
    </row>
    <row r="691" spans="12:14" x14ac:dyDescent="0.3">
      <c r="L691" t="str">
        <f t="shared" si="20"/>
        <v/>
      </c>
      <c r="N691" t="str">
        <f t="shared" si="21"/>
        <v/>
      </c>
    </row>
    <row r="692" spans="12:14" x14ac:dyDescent="0.3">
      <c r="L692" t="str">
        <f t="shared" si="20"/>
        <v/>
      </c>
      <c r="N692" t="str">
        <f t="shared" si="21"/>
        <v/>
      </c>
    </row>
    <row r="693" spans="12:14" x14ac:dyDescent="0.3">
      <c r="L693" t="str">
        <f t="shared" si="20"/>
        <v/>
      </c>
      <c r="N693" t="str">
        <f t="shared" si="21"/>
        <v/>
      </c>
    </row>
    <row r="694" spans="12:14" x14ac:dyDescent="0.3">
      <c r="L694" t="str">
        <f t="shared" si="20"/>
        <v/>
      </c>
      <c r="N694" t="str">
        <f t="shared" si="21"/>
        <v/>
      </c>
    </row>
    <row r="695" spans="12:14" x14ac:dyDescent="0.3">
      <c r="L695" t="str">
        <f t="shared" si="20"/>
        <v/>
      </c>
      <c r="N695" t="str">
        <f t="shared" si="21"/>
        <v/>
      </c>
    </row>
    <row r="696" spans="12:14" x14ac:dyDescent="0.3">
      <c r="L696" t="str">
        <f t="shared" si="20"/>
        <v/>
      </c>
      <c r="N696" t="str">
        <f t="shared" si="21"/>
        <v/>
      </c>
    </row>
    <row r="697" spans="12:14" x14ac:dyDescent="0.3">
      <c r="L697" t="str">
        <f t="shared" si="20"/>
        <v/>
      </c>
      <c r="N697" t="str">
        <f t="shared" si="21"/>
        <v/>
      </c>
    </row>
    <row r="698" spans="12:14" x14ac:dyDescent="0.3">
      <c r="L698" t="str">
        <f t="shared" si="20"/>
        <v/>
      </c>
      <c r="N698" t="str">
        <f t="shared" si="21"/>
        <v/>
      </c>
    </row>
    <row r="699" spans="12:14" x14ac:dyDescent="0.3">
      <c r="L699" t="str">
        <f t="shared" si="20"/>
        <v/>
      </c>
      <c r="N699" t="str">
        <f t="shared" si="21"/>
        <v/>
      </c>
    </row>
    <row r="700" spans="12:14" x14ac:dyDescent="0.3">
      <c r="L700" t="str">
        <f t="shared" si="20"/>
        <v/>
      </c>
      <c r="N700" t="str">
        <f t="shared" si="21"/>
        <v/>
      </c>
    </row>
    <row r="701" spans="12:14" x14ac:dyDescent="0.3">
      <c r="L701" t="str">
        <f t="shared" si="20"/>
        <v/>
      </c>
      <c r="N701" t="str">
        <f t="shared" si="21"/>
        <v/>
      </c>
    </row>
    <row r="702" spans="12:14" x14ac:dyDescent="0.3">
      <c r="L702" t="str">
        <f t="shared" si="20"/>
        <v/>
      </c>
      <c r="N702" t="str">
        <f t="shared" si="21"/>
        <v/>
      </c>
    </row>
    <row r="703" spans="12:14" x14ac:dyDescent="0.3">
      <c r="L703" t="str">
        <f t="shared" si="20"/>
        <v/>
      </c>
      <c r="N703" t="str">
        <f t="shared" si="21"/>
        <v/>
      </c>
    </row>
    <row r="704" spans="12:14" x14ac:dyDescent="0.3">
      <c r="L704" t="str">
        <f t="shared" si="20"/>
        <v/>
      </c>
      <c r="N704" t="str">
        <f t="shared" si="21"/>
        <v/>
      </c>
    </row>
    <row r="705" spans="12:14" x14ac:dyDescent="0.3">
      <c r="L705" t="str">
        <f t="shared" ref="L705:L768" si="22">IF(A705="","",IF(ISNUMBER(--LEFT(A705,FIND(" - ",A705&amp;" - ")-1)),LEFT(A705,FIND(" - ",A705&amp;" - ")-1),TRIM(A705)))</f>
        <v/>
      </c>
      <c r="N705" t="str">
        <f t="shared" ref="N705:N768" si="23">IF(L705="","",IF(ISNUMBER(INDEX(A705:H705,$P$1)),INDEX(A705:H705,$P$1),IFERROR(_xlfn.NUMBERVALUE(INDEX(A705:H705,$P$1),".",","),0)))</f>
        <v/>
      </c>
    </row>
    <row r="706" spans="12:14" x14ac:dyDescent="0.3">
      <c r="L706" t="str">
        <f t="shared" si="22"/>
        <v/>
      </c>
      <c r="N706" t="str">
        <f t="shared" si="23"/>
        <v/>
      </c>
    </row>
    <row r="707" spans="12:14" x14ac:dyDescent="0.3">
      <c r="L707" t="str">
        <f t="shared" si="22"/>
        <v/>
      </c>
      <c r="N707" t="str">
        <f t="shared" si="23"/>
        <v/>
      </c>
    </row>
    <row r="708" spans="12:14" x14ac:dyDescent="0.3">
      <c r="L708" t="str">
        <f t="shared" si="22"/>
        <v/>
      </c>
      <c r="N708" t="str">
        <f t="shared" si="23"/>
        <v/>
      </c>
    </row>
    <row r="709" spans="12:14" x14ac:dyDescent="0.3">
      <c r="L709" t="str">
        <f t="shared" si="22"/>
        <v/>
      </c>
      <c r="N709" t="str">
        <f t="shared" si="23"/>
        <v/>
      </c>
    </row>
    <row r="710" spans="12:14" x14ac:dyDescent="0.3">
      <c r="L710" t="str">
        <f t="shared" si="22"/>
        <v/>
      </c>
      <c r="N710" t="str">
        <f t="shared" si="23"/>
        <v/>
      </c>
    </row>
    <row r="711" spans="12:14" x14ac:dyDescent="0.3">
      <c r="L711" t="str">
        <f t="shared" si="22"/>
        <v/>
      </c>
      <c r="N711" t="str">
        <f t="shared" si="23"/>
        <v/>
      </c>
    </row>
    <row r="712" spans="12:14" x14ac:dyDescent="0.3">
      <c r="L712" t="str">
        <f t="shared" si="22"/>
        <v/>
      </c>
      <c r="N712" t="str">
        <f t="shared" si="23"/>
        <v/>
      </c>
    </row>
    <row r="713" spans="12:14" x14ac:dyDescent="0.3">
      <c r="L713" t="str">
        <f t="shared" si="22"/>
        <v/>
      </c>
      <c r="N713" t="str">
        <f t="shared" si="23"/>
        <v/>
      </c>
    </row>
    <row r="714" spans="12:14" x14ac:dyDescent="0.3">
      <c r="L714" t="str">
        <f t="shared" si="22"/>
        <v/>
      </c>
      <c r="N714" t="str">
        <f t="shared" si="23"/>
        <v/>
      </c>
    </row>
    <row r="715" spans="12:14" x14ac:dyDescent="0.3">
      <c r="L715" t="str">
        <f t="shared" si="22"/>
        <v/>
      </c>
      <c r="N715" t="str">
        <f t="shared" si="23"/>
        <v/>
      </c>
    </row>
    <row r="716" spans="12:14" x14ac:dyDescent="0.3">
      <c r="L716" t="str">
        <f t="shared" si="22"/>
        <v/>
      </c>
      <c r="N716" t="str">
        <f t="shared" si="23"/>
        <v/>
      </c>
    </row>
    <row r="717" spans="12:14" x14ac:dyDescent="0.3">
      <c r="L717" t="str">
        <f t="shared" si="22"/>
        <v/>
      </c>
      <c r="N717" t="str">
        <f t="shared" si="23"/>
        <v/>
      </c>
    </row>
    <row r="718" spans="12:14" x14ac:dyDescent="0.3">
      <c r="L718" t="str">
        <f t="shared" si="22"/>
        <v/>
      </c>
      <c r="N718" t="str">
        <f t="shared" si="23"/>
        <v/>
      </c>
    </row>
    <row r="719" spans="12:14" x14ac:dyDescent="0.3">
      <c r="L719" t="str">
        <f t="shared" si="22"/>
        <v/>
      </c>
      <c r="N719" t="str">
        <f t="shared" si="23"/>
        <v/>
      </c>
    </row>
    <row r="720" spans="12:14" x14ac:dyDescent="0.3">
      <c r="L720" t="str">
        <f t="shared" si="22"/>
        <v/>
      </c>
      <c r="N720" t="str">
        <f t="shared" si="23"/>
        <v/>
      </c>
    </row>
    <row r="721" spans="12:14" x14ac:dyDescent="0.3">
      <c r="L721" t="str">
        <f t="shared" si="22"/>
        <v/>
      </c>
      <c r="N721" t="str">
        <f t="shared" si="23"/>
        <v/>
      </c>
    </row>
    <row r="722" spans="12:14" x14ac:dyDescent="0.3">
      <c r="L722" t="str">
        <f t="shared" si="22"/>
        <v/>
      </c>
      <c r="N722" t="str">
        <f t="shared" si="23"/>
        <v/>
      </c>
    </row>
    <row r="723" spans="12:14" x14ac:dyDescent="0.3">
      <c r="L723" t="str">
        <f t="shared" si="22"/>
        <v/>
      </c>
      <c r="N723" t="str">
        <f t="shared" si="23"/>
        <v/>
      </c>
    </row>
    <row r="724" spans="12:14" x14ac:dyDescent="0.3">
      <c r="L724" t="str">
        <f t="shared" si="22"/>
        <v/>
      </c>
      <c r="N724" t="str">
        <f t="shared" si="23"/>
        <v/>
      </c>
    </row>
    <row r="725" spans="12:14" x14ac:dyDescent="0.3">
      <c r="L725" t="str">
        <f t="shared" si="22"/>
        <v/>
      </c>
      <c r="N725" t="str">
        <f t="shared" si="23"/>
        <v/>
      </c>
    </row>
    <row r="726" spans="12:14" x14ac:dyDescent="0.3">
      <c r="L726" t="str">
        <f t="shared" si="22"/>
        <v/>
      </c>
      <c r="N726" t="str">
        <f t="shared" si="23"/>
        <v/>
      </c>
    </row>
    <row r="727" spans="12:14" x14ac:dyDescent="0.3">
      <c r="L727" t="str">
        <f t="shared" si="22"/>
        <v/>
      </c>
      <c r="N727" t="str">
        <f t="shared" si="23"/>
        <v/>
      </c>
    </row>
    <row r="728" spans="12:14" x14ac:dyDescent="0.3">
      <c r="L728" t="str">
        <f t="shared" si="22"/>
        <v/>
      </c>
      <c r="N728" t="str">
        <f t="shared" si="23"/>
        <v/>
      </c>
    </row>
    <row r="729" spans="12:14" x14ac:dyDescent="0.3">
      <c r="L729" t="str">
        <f t="shared" si="22"/>
        <v/>
      </c>
      <c r="N729" t="str">
        <f t="shared" si="23"/>
        <v/>
      </c>
    </row>
    <row r="730" spans="12:14" x14ac:dyDescent="0.3">
      <c r="L730" t="str">
        <f t="shared" si="22"/>
        <v/>
      </c>
      <c r="N730" t="str">
        <f t="shared" si="23"/>
        <v/>
      </c>
    </row>
    <row r="731" spans="12:14" x14ac:dyDescent="0.3">
      <c r="L731" t="str">
        <f t="shared" si="22"/>
        <v/>
      </c>
      <c r="N731" t="str">
        <f t="shared" si="23"/>
        <v/>
      </c>
    </row>
    <row r="732" spans="12:14" x14ac:dyDescent="0.3">
      <c r="L732" t="str">
        <f t="shared" si="22"/>
        <v/>
      </c>
      <c r="N732" t="str">
        <f t="shared" si="23"/>
        <v/>
      </c>
    </row>
    <row r="733" spans="12:14" x14ac:dyDescent="0.3">
      <c r="L733" t="str">
        <f t="shared" si="22"/>
        <v/>
      </c>
      <c r="N733" t="str">
        <f t="shared" si="23"/>
        <v/>
      </c>
    </row>
    <row r="734" spans="12:14" x14ac:dyDescent="0.3">
      <c r="L734" t="str">
        <f t="shared" si="22"/>
        <v/>
      </c>
      <c r="N734" t="str">
        <f t="shared" si="23"/>
        <v/>
      </c>
    </row>
    <row r="735" spans="12:14" x14ac:dyDescent="0.3">
      <c r="L735" t="str">
        <f t="shared" si="22"/>
        <v/>
      </c>
      <c r="N735" t="str">
        <f t="shared" si="23"/>
        <v/>
      </c>
    </row>
    <row r="736" spans="12:14" x14ac:dyDescent="0.3">
      <c r="L736" t="str">
        <f t="shared" si="22"/>
        <v/>
      </c>
      <c r="N736" t="str">
        <f t="shared" si="23"/>
        <v/>
      </c>
    </row>
    <row r="737" spans="12:14" x14ac:dyDescent="0.3">
      <c r="L737" t="str">
        <f t="shared" si="22"/>
        <v/>
      </c>
      <c r="N737" t="str">
        <f t="shared" si="23"/>
        <v/>
      </c>
    </row>
    <row r="738" spans="12:14" x14ac:dyDescent="0.3">
      <c r="L738" t="str">
        <f t="shared" si="22"/>
        <v/>
      </c>
      <c r="N738" t="str">
        <f t="shared" si="23"/>
        <v/>
      </c>
    </row>
    <row r="739" spans="12:14" x14ac:dyDescent="0.3">
      <c r="L739" t="str">
        <f t="shared" si="22"/>
        <v/>
      </c>
      <c r="N739" t="str">
        <f t="shared" si="23"/>
        <v/>
      </c>
    </row>
    <row r="740" spans="12:14" x14ac:dyDescent="0.3">
      <c r="L740" t="str">
        <f t="shared" si="22"/>
        <v/>
      </c>
      <c r="N740" t="str">
        <f t="shared" si="23"/>
        <v/>
      </c>
    </row>
    <row r="741" spans="12:14" x14ac:dyDescent="0.3">
      <c r="L741" t="str">
        <f t="shared" si="22"/>
        <v/>
      </c>
      <c r="N741" t="str">
        <f t="shared" si="23"/>
        <v/>
      </c>
    </row>
    <row r="742" spans="12:14" x14ac:dyDescent="0.3">
      <c r="L742" t="str">
        <f t="shared" si="22"/>
        <v/>
      </c>
      <c r="N742" t="str">
        <f t="shared" si="23"/>
        <v/>
      </c>
    </row>
    <row r="743" spans="12:14" x14ac:dyDescent="0.3">
      <c r="L743" t="str">
        <f t="shared" si="22"/>
        <v/>
      </c>
      <c r="N743" t="str">
        <f t="shared" si="23"/>
        <v/>
      </c>
    </row>
    <row r="744" spans="12:14" x14ac:dyDescent="0.3">
      <c r="L744" t="str">
        <f t="shared" si="22"/>
        <v/>
      </c>
      <c r="N744" t="str">
        <f t="shared" si="23"/>
        <v/>
      </c>
    </row>
    <row r="745" spans="12:14" x14ac:dyDescent="0.3">
      <c r="L745" t="str">
        <f t="shared" si="22"/>
        <v/>
      </c>
      <c r="N745" t="str">
        <f t="shared" si="23"/>
        <v/>
      </c>
    </row>
    <row r="746" spans="12:14" x14ac:dyDescent="0.3">
      <c r="L746" t="str">
        <f t="shared" si="22"/>
        <v/>
      </c>
      <c r="N746" t="str">
        <f t="shared" si="23"/>
        <v/>
      </c>
    </row>
    <row r="747" spans="12:14" x14ac:dyDescent="0.3">
      <c r="L747" t="str">
        <f t="shared" si="22"/>
        <v/>
      </c>
      <c r="N747" t="str">
        <f t="shared" si="23"/>
        <v/>
      </c>
    </row>
    <row r="748" spans="12:14" x14ac:dyDescent="0.3">
      <c r="L748" t="str">
        <f t="shared" si="22"/>
        <v/>
      </c>
      <c r="N748" t="str">
        <f t="shared" si="23"/>
        <v/>
      </c>
    </row>
    <row r="749" spans="12:14" x14ac:dyDescent="0.3">
      <c r="L749" t="str">
        <f t="shared" si="22"/>
        <v/>
      </c>
      <c r="N749" t="str">
        <f t="shared" si="23"/>
        <v/>
      </c>
    </row>
    <row r="750" spans="12:14" x14ac:dyDescent="0.3">
      <c r="L750" t="str">
        <f t="shared" si="22"/>
        <v/>
      </c>
      <c r="N750" t="str">
        <f t="shared" si="23"/>
        <v/>
      </c>
    </row>
    <row r="751" spans="12:14" x14ac:dyDescent="0.3">
      <c r="L751" t="str">
        <f t="shared" si="22"/>
        <v/>
      </c>
      <c r="N751" t="str">
        <f t="shared" si="23"/>
        <v/>
      </c>
    </row>
    <row r="752" spans="12:14" x14ac:dyDescent="0.3">
      <c r="L752" t="str">
        <f t="shared" si="22"/>
        <v/>
      </c>
      <c r="N752" t="str">
        <f t="shared" si="23"/>
        <v/>
      </c>
    </row>
    <row r="753" spans="12:14" x14ac:dyDescent="0.3">
      <c r="L753" t="str">
        <f t="shared" si="22"/>
        <v/>
      </c>
      <c r="N753" t="str">
        <f t="shared" si="23"/>
        <v/>
      </c>
    </row>
    <row r="754" spans="12:14" x14ac:dyDescent="0.3">
      <c r="L754" t="str">
        <f t="shared" si="22"/>
        <v/>
      </c>
      <c r="N754" t="str">
        <f t="shared" si="23"/>
        <v/>
      </c>
    </row>
    <row r="755" spans="12:14" x14ac:dyDescent="0.3">
      <c r="L755" t="str">
        <f t="shared" si="22"/>
        <v/>
      </c>
      <c r="N755" t="str">
        <f t="shared" si="23"/>
        <v/>
      </c>
    </row>
    <row r="756" spans="12:14" x14ac:dyDescent="0.3">
      <c r="L756" t="str">
        <f t="shared" si="22"/>
        <v/>
      </c>
      <c r="N756" t="str">
        <f t="shared" si="23"/>
        <v/>
      </c>
    </row>
    <row r="757" spans="12:14" x14ac:dyDescent="0.3">
      <c r="L757" t="str">
        <f t="shared" si="22"/>
        <v/>
      </c>
      <c r="N757" t="str">
        <f t="shared" si="23"/>
        <v/>
      </c>
    </row>
    <row r="758" spans="12:14" x14ac:dyDescent="0.3">
      <c r="L758" t="str">
        <f t="shared" si="22"/>
        <v/>
      </c>
      <c r="N758" t="str">
        <f t="shared" si="23"/>
        <v/>
      </c>
    </row>
    <row r="759" spans="12:14" x14ac:dyDescent="0.3">
      <c r="L759" t="str">
        <f t="shared" si="22"/>
        <v/>
      </c>
      <c r="N759" t="str">
        <f t="shared" si="23"/>
        <v/>
      </c>
    </row>
    <row r="760" spans="12:14" x14ac:dyDescent="0.3">
      <c r="L760" t="str">
        <f t="shared" si="22"/>
        <v/>
      </c>
      <c r="N760" t="str">
        <f t="shared" si="23"/>
        <v/>
      </c>
    </row>
    <row r="761" spans="12:14" x14ac:dyDescent="0.3">
      <c r="L761" t="str">
        <f t="shared" si="22"/>
        <v/>
      </c>
      <c r="N761" t="str">
        <f t="shared" si="23"/>
        <v/>
      </c>
    </row>
    <row r="762" spans="12:14" x14ac:dyDescent="0.3">
      <c r="L762" t="str">
        <f t="shared" si="22"/>
        <v/>
      </c>
      <c r="N762" t="str">
        <f t="shared" si="23"/>
        <v/>
      </c>
    </row>
    <row r="763" spans="12:14" x14ac:dyDescent="0.3">
      <c r="L763" t="str">
        <f t="shared" si="22"/>
        <v/>
      </c>
      <c r="N763" t="str">
        <f t="shared" si="23"/>
        <v/>
      </c>
    </row>
    <row r="764" spans="12:14" x14ac:dyDescent="0.3">
      <c r="L764" t="str">
        <f t="shared" si="22"/>
        <v/>
      </c>
      <c r="N764" t="str">
        <f t="shared" si="23"/>
        <v/>
      </c>
    </row>
    <row r="765" spans="12:14" x14ac:dyDescent="0.3">
      <c r="L765" t="str">
        <f t="shared" si="22"/>
        <v/>
      </c>
      <c r="N765" t="str">
        <f t="shared" si="23"/>
        <v/>
      </c>
    </row>
    <row r="766" spans="12:14" x14ac:dyDescent="0.3">
      <c r="L766" t="str">
        <f t="shared" si="22"/>
        <v/>
      </c>
      <c r="N766" t="str">
        <f t="shared" si="23"/>
        <v/>
      </c>
    </row>
    <row r="767" spans="12:14" x14ac:dyDescent="0.3">
      <c r="L767" t="str">
        <f t="shared" si="22"/>
        <v/>
      </c>
      <c r="N767" t="str">
        <f t="shared" si="23"/>
        <v/>
      </c>
    </row>
    <row r="768" spans="12:14" x14ac:dyDescent="0.3">
      <c r="L768" t="str">
        <f t="shared" si="22"/>
        <v/>
      </c>
      <c r="N768" t="str">
        <f t="shared" si="23"/>
        <v/>
      </c>
    </row>
    <row r="769" spans="12:14" x14ac:dyDescent="0.3">
      <c r="L769" t="str">
        <f t="shared" ref="L769:L832" si="24">IF(A769="","",IF(ISNUMBER(--LEFT(A769,FIND(" - ",A769&amp;" - ")-1)),LEFT(A769,FIND(" - ",A769&amp;" - ")-1),TRIM(A769)))</f>
        <v/>
      </c>
      <c r="N769" t="str">
        <f t="shared" ref="N769:N832" si="25">IF(L769="","",IF(ISNUMBER(INDEX(A769:H769,$P$1)),INDEX(A769:H769,$P$1),IFERROR(_xlfn.NUMBERVALUE(INDEX(A769:H769,$P$1),".",","),0)))</f>
        <v/>
      </c>
    </row>
    <row r="770" spans="12:14" x14ac:dyDescent="0.3">
      <c r="L770" t="str">
        <f t="shared" si="24"/>
        <v/>
      </c>
      <c r="N770" t="str">
        <f t="shared" si="25"/>
        <v/>
      </c>
    </row>
    <row r="771" spans="12:14" x14ac:dyDescent="0.3">
      <c r="L771" t="str">
        <f t="shared" si="24"/>
        <v/>
      </c>
      <c r="N771" t="str">
        <f t="shared" si="25"/>
        <v/>
      </c>
    </row>
    <row r="772" spans="12:14" x14ac:dyDescent="0.3">
      <c r="L772" t="str">
        <f t="shared" si="24"/>
        <v/>
      </c>
      <c r="N772" t="str">
        <f t="shared" si="25"/>
        <v/>
      </c>
    </row>
    <row r="773" spans="12:14" x14ac:dyDescent="0.3">
      <c r="L773" t="str">
        <f t="shared" si="24"/>
        <v/>
      </c>
      <c r="N773" t="str">
        <f t="shared" si="25"/>
        <v/>
      </c>
    </row>
    <row r="774" spans="12:14" x14ac:dyDescent="0.3">
      <c r="L774" t="str">
        <f t="shared" si="24"/>
        <v/>
      </c>
      <c r="N774" t="str">
        <f t="shared" si="25"/>
        <v/>
      </c>
    </row>
    <row r="775" spans="12:14" x14ac:dyDescent="0.3">
      <c r="L775" t="str">
        <f t="shared" si="24"/>
        <v/>
      </c>
      <c r="N775" t="str">
        <f t="shared" si="25"/>
        <v/>
      </c>
    </row>
    <row r="776" spans="12:14" x14ac:dyDescent="0.3">
      <c r="L776" t="str">
        <f t="shared" si="24"/>
        <v/>
      </c>
      <c r="N776" t="str">
        <f t="shared" si="25"/>
        <v/>
      </c>
    </row>
    <row r="777" spans="12:14" x14ac:dyDescent="0.3">
      <c r="L777" t="str">
        <f t="shared" si="24"/>
        <v/>
      </c>
      <c r="N777" t="str">
        <f t="shared" si="25"/>
        <v/>
      </c>
    </row>
    <row r="778" spans="12:14" x14ac:dyDescent="0.3">
      <c r="L778" t="str">
        <f t="shared" si="24"/>
        <v/>
      </c>
      <c r="N778" t="str">
        <f t="shared" si="25"/>
        <v/>
      </c>
    </row>
    <row r="779" spans="12:14" x14ac:dyDescent="0.3">
      <c r="L779" t="str">
        <f t="shared" si="24"/>
        <v/>
      </c>
      <c r="N779" t="str">
        <f t="shared" si="25"/>
        <v/>
      </c>
    </row>
    <row r="780" spans="12:14" x14ac:dyDescent="0.3">
      <c r="L780" t="str">
        <f t="shared" si="24"/>
        <v/>
      </c>
      <c r="N780" t="str">
        <f t="shared" si="25"/>
        <v/>
      </c>
    </row>
    <row r="781" spans="12:14" x14ac:dyDescent="0.3">
      <c r="L781" t="str">
        <f t="shared" si="24"/>
        <v/>
      </c>
      <c r="N781" t="str">
        <f t="shared" si="25"/>
        <v/>
      </c>
    </row>
    <row r="782" spans="12:14" x14ac:dyDescent="0.3">
      <c r="L782" t="str">
        <f t="shared" si="24"/>
        <v/>
      </c>
      <c r="N782" t="str">
        <f t="shared" si="25"/>
        <v/>
      </c>
    </row>
    <row r="783" spans="12:14" x14ac:dyDescent="0.3">
      <c r="L783" t="str">
        <f t="shared" si="24"/>
        <v/>
      </c>
      <c r="N783" t="str">
        <f t="shared" si="25"/>
        <v/>
      </c>
    </row>
    <row r="784" spans="12:14" x14ac:dyDescent="0.3">
      <c r="L784" t="str">
        <f t="shared" si="24"/>
        <v/>
      </c>
      <c r="N784" t="str">
        <f t="shared" si="25"/>
        <v/>
      </c>
    </row>
    <row r="785" spans="12:14" x14ac:dyDescent="0.3">
      <c r="L785" t="str">
        <f t="shared" si="24"/>
        <v/>
      </c>
      <c r="N785" t="str">
        <f t="shared" si="25"/>
        <v/>
      </c>
    </row>
    <row r="786" spans="12:14" x14ac:dyDescent="0.3">
      <c r="L786" t="str">
        <f t="shared" si="24"/>
        <v/>
      </c>
      <c r="N786" t="str">
        <f t="shared" si="25"/>
        <v/>
      </c>
    </row>
    <row r="787" spans="12:14" x14ac:dyDescent="0.3">
      <c r="L787" t="str">
        <f t="shared" si="24"/>
        <v/>
      </c>
      <c r="N787" t="str">
        <f t="shared" si="25"/>
        <v/>
      </c>
    </row>
    <row r="788" spans="12:14" x14ac:dyDescent="0.3">
      <c r="L788" t="str">
        <f t="shared" si="24"/>
        <v/>
      </c>
      <c r="N788" t="str">
        <f t="shared" si="25"/>
        <v/>
      </c>
    </row>
    <row r="789" spans="12:14" x14ac:dyDescent="0.3">
      <c r="L789" t="str">
        <f t="shared" si="24"/>
        <v/>
      </c>
      <c r="N789" t="str">
        <f t="shared" si="25"/>
        <v/>
      </c>
    </row>
    <row r="790" spans="12:14" x14ac:dyDescent="0.3">
      <c r="L790" t="str">
        <f t="shared" si="24"/>
        <v/>
      </c>
      <c r="N790" t="str">
        <f t="shared" si="25"/>
        <v/>
      </c>
    </row>
    <row r="791" spans="12:14" x14ac:dyDescent="0.3">
      <c r="L791" t="str">
        <f t="shared" si="24"/>
        <v/>
      </c>
      <c r="N791" t="str">
        <f t="shared" si="25"/>
        <v/>
      </c>
    </row>
    <row r="792" spans="12:14" x14ac:dyDescent="0.3">
      <c r="L792" t="str">
        <f t="shared" si="24"/>
        <v/>
      </c>
      <c r="N792" t="str">
        <f t="shared" si="25"/>
        <v/>
      </c>
    </row>
    <row r="793" spans="12:14" x14ac:dyDescent="0.3">
      <c r="L793" t="str">
        <f t="shared" si="24"/>
        <v/>
      </c>
      <c r="N793" t="str">
        <f t="shared" si="25"/>
        <v/>
      </c>
    </row>
    <row r="794" spans="12:14" x14ac:dyDescent="0.3">
      <c r="L794" t="str">
        <f t="shared" si="24"/>
        <v/>
      </c>
      <c r="N794" t="str">
        <f t="shared" si="25"/>
        <v/>
      </c>
    </row>
    <row r="795" spans="12:14" x14ac:dyDescent="0.3">
      <c r="L795" t="str">
        <f t="shared" si="24"/>
        <v/>
      </c>
      <c r="N795" t="str">
        <f t="shared" si="25"/>
        <v/>
      </c>
    </row>
    <row r="796" spans="12:14" x14ac:dyDescent="0.3">
      <c r="L796" t="str">
        <f t="shared" si="24"/>
        <v/>
      </c>
      <c r="N796" t="str">
        <f t="shared" si="25"/>
        <v/>
      </c>
    </row>
    <row r="797" spans="12:14" x14ac:dyDescent="0.3">
      <c r="L797" t="str">
        <f t="shared" si="24"/>
        <v/>
      </c>
      <c r="N797" t="str">
        <f t="shared" si="25"/>
        <v/>
      </c>
    </row>
    <row r="798" spans="12:14" x14ac:dyDescent="0.3">
      <c r="L798" t="str">
        <f t="shared" si="24"/>
        <v/>
      </c>
      <c r="N798" t="str">
        <f t="shared" si="25"/>
        <v/>
      </c>
    </row>
    <row r="799" spans="12:14" x14ac:dyDescent="0.3">
      <c r="L799" t="str">
        <f t="shared" si="24"/>
        <v/>
      </c>
      <c r="N799" t="str">
        <f t="shared" si="25"/>
        <v/>
      </c>
    </row>
    <row r="800" spans="12:14" x14ac:dyDescent="0.3">
      <c r="L800" t="str">
        <f t="shared" si="24"/>
        <v/>
      </c>
      <c r="N800" t="str">
        <f t="shared" si="25"/>
        <v/>
      </c>
    </row>
    <row r="801" spans="12:14" x14ac:dyDescent="0.3">
      <c r="L801" t="str">
        <f t="shared" si="24"/>
        <v/>
      </c>
      <c r="N801" t="str">
        <f t="shared" si="25"/>
        <v/>
      </c>
    </row>
    <row r="802" spans="12:14" x14ac:dyDescent="0.3">
      <c r="L802" t="str">
        <f t="shared" si="24"/>
        <v/>
      </c>
      <c r="N802" t="str">
        <f t="shared" si="25"/>
        <v/>
      </c>
    </row>
    <row r="803" spans="12:14" x14ac:dyDescent="0.3">
      <c r="L803" t="str">
        <f t="shared" si="24"/>
        <v/>
      </c>
      <c r="N803" t="str">
        <f t="shared" si="25"/>
        <v/>
      </c>
    </row>
    <row r="804" spans="12:14" x14ac:dyDescent="0.3">
      <c r="L804" t="str">
        <f t="shared" si="24"/>
        <v/>
      </c>
      <c r="N804" t="str">
        <f t="shared" si="25"/>
        <v/>
      </c>
    </row>
    <row r="805" spans="12:14" x14ac:dyDescent="0.3">
      <c r="L805" t="str">
        <f t="shared" si="24"/>
        <v/>
      </c>
      <c r="N805" t="str">
        <f t="shared" si="25"/>
        <v/>
      </c>
    </row>
    <row r="806" spans="12:14" x14ac:dyDescent="0.3">
      <c r="L806" t="str">
        <f t="shared" si="24"/>
        <v/>
      </c>
      <c r="N806" t="str">
        <f t="shared" si="25"/>
        <v/>
      </c>
    </row>
    <row r="807" spans="12:14" x14ac:dyDescent="0.3">
      <c r="L807" t="str">
        <f t="shared" si="24"/>
        <v/>
      </c>
      <c r="N807" t="str">
        <f t="shared" si="25"/>
        <v/>
      </c>
    </row>
    <row r="808" spans="12:14" x14ac:dyDescent="0.3">
      <c r="L808" t="str">
        <f t="shared" si="24"/>
        <v/>
      </c>
      <c r="N808" t="str">
        <f t="shared" si="25"/>
        <v/>
      </c>
    </row>
    <row r="809" spans="12:14" x14ac:dyDescent="0.3">
      <c r="L809" t="str">
        <f t="shared" si="24"/>
        <v/>
      </c>
      <c r="N809" t="str">
        <f t="shared" si="25"/>
        <v/>
      </c>
    </row>
    <row r="810" spans="12:14" x14ac:dyDescent="0.3">
      <c r="L810" t="str">
        <f t="shared" si="24"/>
        <v/>
      </c>
      <c r="N810" t="str">
        <f t="shared" si="25"/>
        <v/>
      </c>
    </row>
    <row r="811" spans="12:14" x14ac:dyDescent="0.3">
      <c r="L811" t="str">
        <f t="shared" si="24"/>
        <v/>
      </c>
      <c r="N811" t="str">
        <f t="shared" si="25"/>
        <v/>
      </c>
    </row>
    <row r="812" spans="12:14" x14ac:dyDescent="0.3">
      <c r="L812" t="str">
        <f t="shared" si="24"/>
        <v/>
      </c>
      <c r="N812" t="str">
        <f t="shared" si="25"/>
        <v/>
      </c>
    </row>
    <row r="813" spans="12:14" x14ac:dyDescent="0.3">
      <c r="L813" t="str">
        <f t="shared" si="24"/>
        <v/>
      </c>
      <c r="N813" t="str">
        <f t="shared" si="25"/>
        <v/>
      </c>
    </row>
    <row r="814" spans="12:14" x14ac:dyDescent="0.3">
      <c r="L814" t="str">
        <f t="shared" si="24"/>
        <v/>
      </c>
      <c r="N814" t="str">
        <f t="shared" si="25"/>
        <v/>
      </c>
    </row>
    <row r="815" spans="12:14" x14ac:dyDescent="0.3">
      <c r="L815" t="str">
        <f t="shared" si="24"/>
        <v/>
      </c>
      <c r="N815" t="str">
        <f t="shared" si="25"/>
        <v/>
      </c>
    </row>
    <row r="816" spans="12:14" x14ac:dyDescent="0.3">
      <c r="L816" t="str">
        <f t="shared" si="24"/>
        <v/>
      </c>
      <c r="N816" t="str">
        <f t="shared" si="25"/>
        <v/>
      </c>
    </row>
    <row r="817" spans="12:14" x14ac:dyDescent="0.3">
      <c r="L817" t="str">
        <f t="shared" si="24"/>
        <v/>
      </c>
      <c r="N817" t="str">
        <f t="shared" si="25"/>
        <v/>
      </c>
    </row>
    <row r="818" spans="12:14" x14ac:dyDescent="0.3">
      <c r="L818" t="str">
        <f t="shared" si="24"/>
        <v/>
      </c>
      <c r="N818" t="str">
        <f t="shared" si="25"/>
        <v/>
      </c>
    </row>
    <row r="819" spans="12:14" x14ac:dyDescent="0.3">
      <c r="L819" t="str">
        <f t="shared" si="24"/>
        <v/>
      </c>
      <c r="N819" t="str">
        <f t="shared" si="25"/>
        <v/>
      </c>
    </row>
    <row r="820" spans="12:14" x14ac:dyDescent="0.3">
      <c r="L820" t="str">
        <f t="shared" si="24"/>
        <v/>
      </c>
      <c r="N820" t="str">
        <f t="shared" si="25"/>
        <v/>
      </c>
    </row>
    <row r="821" spans="12:14" x14ac:dyDescent="0.3">
      <c r="L821" t="str">
        <f t="shared" si="24"/>
        <v/>
      </c>
      <c r="N821" t="str">
        <f t="shared" si="25"/>
        <v/>
      </c>
    </row>
    <row r="822" spans="12:14" x14ac:dyDescent="0.3">
      <c r="L822" t="str">
        <f t="shared" si="24"/>
        <v/>
      </c>
      <c r="N822" t="str">
        <f t="shared" si="25"/>
        <v/>
      </c>
    </row>
    <row r="823" spans="12:14" x14ac:dyDescent="0.3">
      <c r="L823" t="str">
        <f t="shared" si="24"/>
        <v/>
      </c>
      <c r="N823" t="str">
        <f t="shared" si="25"/>
        <v/>
      </c>
    </row>
    <row r="824" spans="12:14" x14ac:dyDescent="0.3">
      <c r="L824" t="str">
        <f t="shared" si="24"/>
        <v/>
      </c>
      <c r="N824" t="str">
        <f t="shared" si="25"/>
        <v/>
      </c>
    </row>
    <row r="825" spans="12:14" x14ac:dyDescent="0.3">
      <c r="L825" t="str">
        <f t="shared" si="24"/>
        <v/>
      </c>
      <c r="N825" t="str">
        <f t="shared" si="25"/>
        <v/>
      </c>
    </row>
    <row r="826" spans="12:14" x14ac:dyDescent="0.3">
      <c r="L826" t="str">
        <f t="shared" si="24"/>
        <v/>
      </c>
      <c r="N826" t="str">
        <f t="shared" si="25"/>
        <v/>
      </c>
    </row>
    <row r="827" spans="12:14" x14ac:dyDescent="0.3">
      <c r="L827" t="str">
        <f t="shared" si="24"/>
        <v/>
      </c>
      <c r="N827" t="str">
        <f t="shared" si="25"/>
        <v/>
      </c>
    </row>
    <row r="828" spans="12:14" x14ac:dyDescent="0.3">
      <c r="L828" t="str">
        <f t="shared" si="24"/>
        <v/>
      </c>
      <c r="N828" t="str">
        <f t="shared" si="25"/>
        <v/>
      </c>
    </row>
    <row r="829" spans="12:14" x14ac:dyDescent="0.3">
      <c r="L829" t="str">
        <f t="shared" si="24"/>
        <v/>
      </c>
      <c r="N829" t="str">
        <f t="shared" si="25"/>
        <v/>
      </c>
    </row>
    <row r="830" spans="12:14" x14ac:dyDescent="0.3">
      <c r="L830" t="str">
        <f t="shared" si="24"/>
        <v/>
      </c>
      <c r="N830" t="str">
        <f t="shared" si="25"/>
        <v/>
      </c>
    </row>
    <row r="831" spans="12:14" x14ac:dyDescent="0.3">
      <c r="L831" t="str">
        <f t="shared" si="24"/>
        <v/>
      </c>
      <c r="N831" t="str">
        <f t="shared" si="25"/>
        <v/>
      </c>
    </row>
    <row r="832" spans="12:14" x14ac:dyDescent="0.3">
      <c r="L832" t="str">
        <f t="shared" si="24"/>
        <v/>
      </c>
      <c r="N832" t="str">
        <f t="shared" si="25"/>
        <v/>
      </c>
    </row>
    <row r="833" spans="12:14" x14ac:dyDescent="0.3">
      <c r="L833" t="str">
        <f t="shared" ref="L833:L896" si="26">IF(A833="","",IF(ISNUMBER(--LEFT(A833,FIND(" - ",A833&amp;" - ")-1)),LEFT(A833,FIND(" - ",A833&amp;" - ")-1),TRIM(A833)))</f>
        <v/>
      </c>
      <c r="N833" t="str">
        <f t="shared" ref="N833:N896" si="27">IF(L833="","",IF(ISNUMBER(INDEX(A833:H833,$P$1)),INDEX(A833:H833,$P$1),IFERROR(_xlfn.NUMBERVALUE(INDEX(A833:H833,$P$1),".",","),0)))</f>
        <v/>
      </c>
    </row>
    <row r="834" spans="12:14" x14ac:dyDescent="0.3">
      <c r="L834" t="str">
        <f t="shared" si="26"/>
        <v/>
      </c>
      <c r="N834" t="str">
        <f t="shared" si="27"/>
        <v/>
      </c>
    </row>
    <row r="835" spans="12:14" x14ac:dyDescent="0.3">
      <c r="L835" t="str">
        <f t="shared" si="26"/>
        <v/>
      </c>
      <c r="N835" t="str">
        <f t="shared" si="27"/>
        <v/>
      </c>
    </row>
    <row r="836" spans="12:14" x14ac:dyDescent="0.3">
      <c r="L836" t="str">
        <f t="shared" si="26"/>
        <v/>
      </c>
      <c r="N836" t="str">
        <f t="shared" si="27"/>
        <v/>
      </c>
    </row>
    <row r="837" spans="12:14" x14ac:dyDescent="0.3">
      <c r="L837" t="str">
        <f t="shared" si="26"/>
        <v/>
      </c>
      <c r="N837" t="str">
        <f t="shared" si="27"/>
        <v/>
      </c>
    </row>
    <row r="838" spans="12:14" x14ac:dyDescent="0.3">
      <c r="L838" t="str">
        <f t="shared" si="26"/>
        <v/>
      </c>
      <c r="N838" t="str">
        <f t="shared" si="27"/>
        <v/>
      </c>
    </row>
    <row r="839" spans="12:14" x14ac:dyDescent="0.3">
      <c r="L839" t="str">
        <f t="shared" si="26"/>
        <v/>
      </c>
      <c r="N839" t="str">
        <f t="shared" si="27"/>
        <v/>
      </c>
    </row>
    <row r="840" spans="12:14" x14ac:dyDescent="0.3">
      <c r="L840" t="str">
        <f t="shared" si="26"/>
        <v/>
      </c>
      <c r="N840" t="str">
        <f t="shared" si="27"/>
        <v/>
      </c>
    </row>
    <row r="841" spans="12:14" x14ac:dyDescent="0.3">
      <c r="L841" t="str">
        <f t="shared" si="26"/>
        <v/>
      </c>
      <c r="N841" t="str">
        <f t="shared" si="27"/>
        <v/>
      </c>
    </row>
    <row r="842" spans="12:14" x14ac:dyDescent="0.3">
      <c r="L842" t="str">
        <f t="shared" si="26"/>
        <v/>
      </c>
      <c r="N842" t="str">
        <f t="shared" si="27"/>
        <v/>
      </c>
    </row>
    <row r="843" spans="12:14" x14ac:dyDescent="0.3">
      <c r="L843" t="str">
        <f t="shared" si="26"/>
        <v/>
      </c>
      <c r="N843" t="str">
        <f t="shared" si="27"/>
        <v/>
      </c>
    </row>
    <row r="844" spans="12:14" x14ac:dyDescent="0.3">
      <c r="L844" t="str">
        <f t="shared" si="26"/>
        <v/>
      </c>
      <c r="N844" t="str">
        <f t="shared" si="27"/>
        <v/>
      </c>
    </row>
    <row r="845" spans="12:14" x14ac:dyDescent="0.3">
      <c r="L845" t="str">
        <f t="shared" si="26"/>
        <v/>
      </c>
      <c r="N845" t="str">
        <f t="shared" si="27"/>
        <v/>
      </c>
    </row>
    <row r="846" spans="12:14" x14ac:dyDescent="0.3">
      <c r="L846" t="str">
        <f t="shared" si="26"/>
        <v/>
      </c>
      <c r="N846" t="str">
        <f t="shared" si="27"/>
        <v/>
      </c>
    </row>
    <row r="847" spans="12:14" x14ac:dyDescent="0.3">
      <c r="L847" t="str">
        <f t="shared" si="26"/>
        <v/>
      </c>
      <c r="N847" t="str">
        <f t="shared" si="27"/>
        <v/>
      </c>
    </row>
    <row r="848" spans="12:14" x14ac:dyDescent="0.3">
      <c r="L848" t="str">
        <f t="shared" si="26"/>
        <v/>
      </c>
      <c r="N848" t="str">
        <f t="shared" si="27"/>
        <v/>
      </c>
    </row>
    <row r="849" spans="12:14" x14ac:dyDescent="0.3">
      <c r="L849" t="str">
        <f t="shared" si="26"/>
        <v/>
      </c>
      <c r="N849" t="str">
        <f t="shared" si="27"/>
        <v/>
      </c>
    </row>
    <row r="850" spans="12:14" x14ac:dyDescent="0.3">
      <c r="L850" t="str">
        <f t="shared" si="26"/>
        <v/>
      </c>
      <c r="N850" t="str">
        <f t="shared" si="27"/>
        <v/>
      </c>
    </row>
    <row r="851" spans="12:14" x14ac:dyDescent="0.3">
      <c r="L851" t="str">
        <f t="shared" si="26"/>
        <v/>
      </c>
      <c r="N851" t="str">
        <f t="shared" si="27"/>
        <v/>
      </c>
    </row>
    <row r="852" spans="12:14" x14ac:dyDescent="0.3">
      <c r="L852" t="str">
        <f t="shared" si="26"/>
        <v/>
      </c>
      <c r="N852" t="str">
        <f t="shared" si="27"/>
        <v/>
      </c>
    </row>
    <row r="853" spans="12:14" x14ac:dyDescent="0.3">
      <c r="L853" t="str">
        <f t="shared" si="26"/>
        <v/>
      </c>
      <c r="N853" t="str">
        <f t="shared" si="27"/>
        <v/>
      </c>
    </row>
    <row r="854" spans="12:14" x14ac:dyDescent="0.3">
      <c r="L854" t="str">
        <f t="shared" si="26"/>
        <v/>
      </c>
      <c r="N854" t="str">
        <f t="shared" si="27"/>
        <v/>
      </c>
    </row>
    <row r="855" spans="12:14" x14ac:dyDescent="0.3">
      <c r="L855" t="str">
        <f t="shared" si="26"/>
        <v/>
      </c>
      <c r="N855" t="str">
        <f t="shared" si="27"/>
        <v/>
      </c>
    </row>
    <row r="856" spans="12:14" x14ac:dyDescent="0.3">
      <c r="L856" t="str">
        <f t="shared" si="26"/>
        <v/>
      </c>
      <c r="N856" t="str">
        <f t="shared" si="27"/>
        <v/>
      </c>
    </row>
    <row r="857" spans="12:14" x14ac:dyDescent="0.3">
      <c r="L857" t="str">
        <f t="shared" si="26"/>
        <v/>
      </c>
      <c r="N857" t="str">
        <f t="shared" si="27"/>
        <v/>
      </c>
    </row>
    <row r="858" spans="12:14" x14ac:dyDescent="0.3">
      <c r="L858" t="str">
        <f t="shared" si="26"/>
        <v/>
      </c>
      <c r="N858" t="str">
        <f t="shared" si="27"/>
        <v/>
      </c>
    </row>
    <row r="859" spans="12:14" x14ac:dyDescent="0.3">
      <c r="L859" t="str">
        <f t="shared" si="26"/>
        <v/>
      </c>
      <c r="N859" t="str">
        <f t="shared" si="27"/>
        <v/>
      </c>
    </row>
    <row r="860" spans="12:14" x14ac:dyDescent="0.3">
      <c r="L860" t="str">
        <f t="shared" si="26"/>
        <v/>
      </c>
      <c r="N860" t="str">
        <f t="shared" si="27"/>
        <v/>
      </c>
    </row>
    <row r="861" spans="12:14" x14ac:dyDescent="0.3">
      <c r="L861" t="str">
        <f t="shared" si="26"/>
        <v/>
      </c>
      <c r="N861" t="str">
        <f t="shared" si="27"/>
        <v/>
      </c>
    </row>
    <row r="862" spans="12:14" x14ac:dyDescent="0.3">
      <c r="L862" t="str">
        <f t="shared" si="26"/>
        <v/>
      </c>
      <c r="N862" t="str">
        <f t="shared" si="27"/>
        <v/>
      </c>
    </row>
    <row r="863" spans="12:14" x14ac:dyDescent="0.3">
      <c r="L863" t="str">
        <f t="shared" si="26"/>
        <v/>
      </c>
      <c r="N863" t="str">
        <f t="shared" si="27"/>
        <v/>
      </c>
    </row>
    <row r="864" spans="12:14" x14ac:dyDescent="0.3">
      <c r="L864" t="str">
        <f t="shared" si="26"/>
        <v/>
      </c>
      <c r="N864" t="str">
        <f t="shared" si="27"/>
        <v/>
      </c>
    </row>
    <row r="865" spans="12:14" x14ac:dyDescent="0.3">
      <c r="L865" t="str">
        <f t="shared" si="26"/>
        <v/>
      </c>
      <c r="N865" t="str">
        <f t="shared" si="27"/>
        <v/>
      </c>
    </row>
    <row r="866" spans="12:14" x14ac:dyDescent="0.3">
      <c r="L866" t="str">
        <f t="shared" si="26"/>
        <v/>
      </c>
      <c r="N866" t="str">
        <f t="shared" si="27"/>
        <v/>
      </c>
    </row>
    <row r="867" spans="12:14" x14ac:dyDescent="0.3">
      <c r="L867" t="str">
        <f t="shared" si="26"/>
        <v/>
      </c>
      <c r="N867" t="str">
        <f t="shared" si="27"/>
        <v/>
      </c>
    </row>
    <row r="868" spans="12:14" x14ac:dyDescent="0.3">
      <c r="L868" t="str">
        <f t="shared" si="26"/>
        <v/>
      </c>
      <c r="N868" t="str">
        <f t="shared" si="27"/>
        <v/>
      </c>
    </row>
    <row r="869" spans="12:14" x14ac:dyDescent="0.3">
      <c r="L869" t="str">
        <f t="shared" si="26"/>
        <v/>
      </c>
      <c r="N869" t="str">
        <f t="shared" si="27"/>
        <v/>
      </c>
    </row>
    <row r="870" spans="12:14" x14ac:dyDescent="0.3">
      <c r="L870" t="str">
        <f t="shared" si="26"/>
        <v/>
      </c>
      <c r="N870" t="str">
        <f t="shared" si="27"/>
        <v/>
      </c>
    </row>
    <row r="871" spans="12:14" x14ac:dyDescent="0.3">
      <c r="L871" t="str">
        <f t="shared" si="26"/>
        <v/>
      </c>
      <c r="N871" t="str">
        <f t="shared" si="27"/>
        <v/>
      </c>
    </row>
    <row r="872" spans="12:14" x14ac:dyDescent="0.3">
      <c r="L872" t="str">
        <f t="shared" si="26"/>
        <v/>
      </c>
      <c r="N872" t="str">
        <f t="shared" si="27"/>
        <v/>
      </c>
    </row>
    <row r="873" spans="12:14" x14ac:dyDescent="0.3">
      <c r="L873" t="str">
        <f t="shared" si="26"/>
        <v/>
      </c>
      <c r="N873" t="str">
        <f t="shared" si="27"/>
        <v/>
      </c>
    </row>
    <row r="874" spans="12:14" x14ac:dyDescent="0.3">
      <c r="L874" t="str">
        <f t="shared" si="26"/>
        <v/>
      </c>
      <c r="N874" t="str">
        <f t="shared" si="27"/>
        <v/>
      </c>
    </row>
    <row r="875" spans="12:14" x14ac:dyDescent="0.3">
      <c r="L875" t="str">
        <f t="shared" si="26"/>
        <v/>
      </c>
      <c r="N875" t="str">
        <f t="shared" si="27"/>
        <v/>
      </c>
    </row>
    <row r="876" spans="12:14" x14ac:dyDescent="0.3">
      <c r="L876" t="str">
        <f t="shared" si="26"/>
        <v/>
      </c>
      <c r="N876" t="str">
        <f t="shared" si="27"/>
        <v/>
      </c>
    </row>
    <row r="877" spans="12:14" x14ac:dyDescent="0.3">
      <c r="L877" t="str">
        <f t="shared" si="26"/>
        <v/>
      </c>
      <c r="N877" t="str">
        <f t="shared" si="27"/>
        <v/>
      </c>
    </row>
    <row r="878" spans="12:14" x14ac:dyDescent="0.3">
      <c r="L878" t="str">
        <f t="shared" si="26"/>
        <v/>
      </c>
      <c r="N878" t="str">
        <f t="shared" si="27"/>
        <v/>
      </c>
    </row>
    <row r="879" spans="12:14" x14ac:dyDescent="0.3">
      <c r="L879" t="str">
        <f t="shared" si="26"/>
        <v/>
      </c>
      <c r="N879" t="str">
        <f t="shared" si="27"/>
        <v/>
      </c>
    </row>
    <row r="880" spans="12:14" x14ac:dyDescent="0.3">
      <c r="L880" t="str">
        <f t="shared" si="26"/>
        <v/>
      </c>
      <c r="N880" t="str">
        <f t="shared" si="27"/>
        <v/>
      </c>
    </row>
    <row r="881" spans="12:14" x14ac:dyDescent="0.3">
      <c r="L881" t="str">
        <f t="shared" si="26"/>
        <v/>
      </c>
      <c r="N881" t="str">
        <f t="shared" si="27"/>
        <v/>
      </c>
    </row>
    <row r="882" spans="12:14" x14ac:dyDescent="0.3">
      <c r="L882" t="str">
        <f t="shared" si="26"/>
        <v/>
      </c>
      <c r="N882" t="str">
        <f t="shared" si="27"/>
        <v/>
      </c>
    </row>
    <row r="883" spans="12:14" x14ac:dyDescent="0.3">
      <c r="L883" t="str">
        <f t="shared" si="26"/>
        <v/>
      </c>
      <c r="N883" t="str">
        <f t="shared" si="27"/>
        <v/>
      </c>
    </row>
    <row r="884" spans="12:14" x14ac:dyDescent="0.3">
      <c r="L884" t="str">
        <f t="shared" si="26"/>
        <v/>
      </c>
      <c r="N884" t="str">
        <f t="shared" si="27"/>
        <v/>
      </c>
    </row>
    <row r="885" spans="12:14" x14ac:dyDescent="0.3">
      <c r="L885" t="str">
        <f t="shared" si="26"/>
        <v/>
      </c>
      <c r="N885" t="str">
        <f t="shared" si="27"/>
        <v/>
      </c>
    </row>
    <row r="886" spans="12:14" x14ac:dyDescent="0.3">
      <c r="L886" t="str">
        <f t="shared" si="26"/>
        <v/>
      </c>
      <c r="N886" t="str">
        <f t="shared" si="27"/>
        <v/>
      </c>
    </row>
    <row r="887" spans="12:14" x14ac:dyDescent="0.3">
      <c r="L887" t="str">
        <f t="shared" si="26"/>
        <v/>
      </c>
      <c r="N887" t="str">
        <f t="shared" si="27"/>
        <v/>
      </c>
    </row>
    <row r="888" spans="12:14" x14ac:dyDescent="0.3">
      <c r="L888" t="str">
        <f t="shared" si="26"/>
        <v/>
      </c>
      <c r="N888" t="str">
        <f t="shared" si="27"/>
        <v/>
      </c>
    </row>
    <row r="889" spans="12:14" x14ac:dyDescent="0.3">
      <c r="L889" t="str">
        <f t="shared" si="26"/>
        <v/>
      </c>
      <c r="N889" t="str">
        <f t="shared" si="27"/>
        <v/>
      </c>
    </row>
    <row r="890" spans="12:14" x14ac:dyDescent="0.3">
      <c r="L890" t="str">
        <f t="shared" si="26"/>
        <v/>
      </c>
      <c r="N890" t="str">
        <f t="shared" si="27"/>
        <v/>
      </c>
    </row>
    <row r="891" spans="12:14" x14ac:dyDescent="0.3">
      <c r="L891" t="str">
        <f t="shared" si="26"/>
        <v/>
      </c>
      <c r="N891" t="str">
        <f t="shared" si="27"/>
        <v/>
      </c>
    </row>
    <row r="892" spans="12:14" x14ac:dyDescent="0.3">
      <c r="L892" t="str">
        <f t="shared" si="26"/>
        <v/>
      </c>
      <c r="N892" t="str">
        <f t="shared" si="27"/>
        <v/>
      </c>
    </row>
    <row r="893" spans="12:14" x14ac:dyDescent="0.3">
      <c r="L893" t="str">
        <f t="shared" si="26"/>
        <v/>
      </c>
      <c r="N893" t="str">
        <f t="shared" si="27"/>
        <v/>
      </c>
    </row>
    <row r="894" spans="12:14" x14ac:dyDescent="0.3">
      <c r="L894" t="str">
        <f t="shared" si="26"/>
        <v/>
      </c>
      <c r="N894" t="str">
        <f t="shared" si="27"/>
        <v/>
      </c>
    </row>
    <row r="895" spans="12:14" x14ac:dyDescent="0.3">
      <c r="L895" t="str">
        <f t="shared" si="26"/>
        <v/>
      </c>
      <c r="N895" t="str">
        <f t="shared" si="27"/>
        <v/>
      </c>
    </row>
    <row r="896" spans="12:14" x14ac:dyDescent="0.3">
      <c r="L896" t="str">
        <f t="shared" si="26"/>
        <v/>
      </c>
      <c r="N896" t="str">
        <f t="shared" si="27"/>
        <v/>
      </c>
    </row>
    <row r="897" spans="12:14" x14ac:dyDescent="0.3">
      <c r="L897" t="str">
        <f t="shared" ref="L897:L960" si="28">IF(A897="","",IF(ISNUMBER(--LEFT(A897,FIND(" - ",A897&amp;" - ")-1)),LEFT(A897,FIND(" - ",A897&amp;" - ")-1),TRIM(A897)))</f>
        <v/>
      </c>
      <c r="N897" t="str">
        <f t="shared" ref="N897:N960" si="29">IF(L897="","",IF(ISNUMBER(INDEX(A897:H897,$P$1)),INDEX(A897:H897,$P$1),IFERROR(_xlfn.NUMBERVALUE(INDEX(A897:H897,$P$1),".",","),0)))</f>
        <v/>
      </c>
    </row>
    <row r="898" spans="12:14" x14ac:dyDescent="0.3">
      <c r="L898" t="str">
        <f t="shared" si="28"/>
        <v/>
      </c>
      <c r="N898" t="str">
        <f t="shared" si="29"/>
        <v/>
      </c>
    </row>
    <row r="899" spans="12:14" x14ac:dyDescent="0.3">
      <c r="L899" t="str">
        <f t="shared" si="28"/>
        <v/>
      </c>
      <c r="N899" t="str">
        <f t="shared" si="29"/>
        <v/>
      </c>
    </row>
    <row r="900" spans="12:14" x14ac:dyDescent="0.3">
      <c r="L900" t="str">
        <f t="shared" si="28"/>
        <v/>
      </c>
      <c r="N900" t="str">
        <f t="shared" si="29"/>
        <v/>
      </c>
    </row>
    <row r="901" spans="12:14" x14ac:dyDescent="0.3">
      <c r="L901" t="str">
        <f t="shared" si="28"/>
        <v/>
      </c>
      <c r="N901" t="str">
        <f t="shared" si="29"/>
        <v/>
      </c>
    </row>
    <row r="902" spans="12:14" x14ac:dyDescent="0.3">
      <c r="L902" t="str">
        <f t="shared" si="28"/>
        <v/>
      </c>
      <c r="N902" t="str">
        <f t="shared" si="29"/>
        <v/>
      </c>
    </row>
    <row r="903" spans="12:14" x14ac:dyDescent="0.3">
      <c r="L903" t="str">
        <f t="shared" si="28"/>
        <v/>
      </c>
      <c r="N903" t="str">
        <f t="shared" si="29"/>
        <v/>
      </c>
    </row>
    <row r="904" spans="12:14" x14ac:dyDescent="0.3">
      <c r="L904" t="str">
        <f t="shared" si="28"/>
        <v/>
      </c>
      <c r="N904" t="str">
        <f t="shared" si="29"/>
        <v/>
      </c>
    </row>
    <row r="905" spans="12:14" x14ac:dyDescent="0.3">
      <c r="L905" t="str">
        <f t="shared" si="28"/>
        <v/>
      </c>
      <c r="N905" t="str">
        <f t="shared" si="29"/>
        <v/>
      </c>
    </row>
    <row r="906" spans="12:14" x14ac:dyDescent="0.3">
      <c r="L906" t="str">
        <f t="shared" si="28"/>
        <v/>
      </c>
      <c r="N906" t="str">
        <f t="shared" si="29"/>
        <v/>
      </c>
    </row>
    <row r="907" spans="12:14" x14ac:dyDescent="0.3">
      <c r="L907" t="str">
        <f t="shared" si="28"/>
        <v/>
      </c>
      <c r="N907" t="str">
        <f t="shared" si="29"/>
        <v/>
      </c>
    </row>
    <row r="908" spans="12:14" x14ac:dyDescent="0.3">
      <c r="L908" t="str">
        <f t="shared" si="28"/>
        <v/>
      </c>
      <c r="N908" t="str">
        <f t="shared" si="29"/>
        <v/>
      </c>
    </row>
    <row r="909" spans="12:14" x14ac:dyDescent="0.3">
      <c r="L909" t="str">
        <f t="shared" si="28"/>
        <v/>
      </c>
      <c r="N909" t="str">
        <f t="shared" si="29"/>
        <v/>
      </c>
    </row>
    <row r="910" spans="12:14" x14ac:dyDescent="0.3">
      <c r="L910" t="str">
        <f t="shared" si="28"/>
        <v/>
      </c>
      <c r="N910" t="str">
        <f t="shared" si="29"/>
        <v/>
      </c>
    </row>
    <row r="911" spans="12:14" x14ac:dyDescent="0.3">
      <c r="L911" t="str">
        <f t="shared" si="28"/>
        <v/>
      </c>
      <c r="N911" t="str">
        <f t="shared" si="29"/>
        <v/>
      </c>
    </row>
    <row r="912" spans="12:14" x14ac:dyDescent="0.3">
      <c r="L912" t="str">
        <f t="shared" si="28"/>
        <v/>
      </c>
      <c r="N912" t="str">
        <f t="shared" si="29"/>
        <v/>
      </c>
    </row>
    <row r="913" spans="12:14" x14ac:dyDescent="0.3">
      <c r="L913" t="str">
        <f t="shared" si="28"/>
        <v/>
      </c>
      <c r="N913" t="str">
        <f t="shared" si="29"/>
        <v/>
      </c>
    </row>
    <row r="914" spans="12:14" x14ac:dyDescent="0.3">
      <c r="L914" t="str">
        <f t="shared" si="28"/>
        <v/>
      </c>
      <c r="N914" t="str">
        <f t="shared" si="29"/>
        <v/>
      </c>
    </row>
    <row r="915" spans="12:14" x14ac:dyDescent="0.3">
      <c r="L915" t="str">
        <f t="shared" si="28"/>
        <v/>
      </c>
      <c r="N915" t="str">
        <f t="shared" si="29"/>
        <v/>
      </c>
    </row>
    <row r="916" spans="12:14" x14ac:dyDescent="0.3">
      <c r="L916" t="str">
        <f t="shared" si="28"/>
        <v/>
      </c>
      <c r="N916" t="str">
        <f t="shared" si="29"/>
        <v/>
      </c>
    </row>
    <row r="917" spans="12:14" x14ac:dyDescent="0.3">
      <c r="L917" t="str">
        <f t="shared" si="28"/>
        <v/>
      </c>
      <c r="N917" t="str">
        <f t="shared" si="29"/>
        <v/>
      </c>
    </row>
    <row r="918" spans="12:14" x14ac:dyDescent="0.3">
      <c r="L918" t="str">
        <f t="shared" si="28"/>
        <v/>
      </c>
      <c r="N918" t="str">
        <f t="shared" si="29"/>
        <v/>
      </c>
    </row>
    <row r="919" spans="12:14" x14ac:dyDescent="0.3">
      <c r="L919" t="str">
        <f t="shared" si="28"/>
        <v/>
      </c>
      <c r="N919" t="str">
        <f t="shared" si="29"/>
        <v/>
      </c>
    </row>
    <row r="920" spans="12:14" x14ac:dyDescent="0.3">
      <c r="L920" t="str">
        <f t="shared" si="28"/>
        <v/>
      </c>
      <c r="N920" t="str">
        <f t="shared" si="29"/>
        <v/>
      </c>
    </row>
    <row r="921" spans="12:14" x14ac:dyDescent="0.3">
      <c r="L921" t="str">
        <f t="shared" si="28"/>
        <v/>
      </c>
      <c r="N921" t="str">
        <f t="shared" si="29"/>
        <v/>
      </c>
    </row>
    <row r="922" spans="12:14" x14ac:dyDescent="0.3">
      <c r="L922" t="str">
        <f t="shared" si="28"/>
        <v/>
      </c>
      <c r="N922" t="str">
        <f t="shared" si="29"/>
        <v/>
      </c>
    </row>
    <row r="923" spans="12:14" x14ac:dyDescent="0.3">
      <c r="L923" t="str">
        <f t="shared" si="28"/>
        <v/>
      </c>
      <c r="N923" t="str">
        <f t="shared" si="29"/>
        <v/>
      </c>
    </row>
    <row r="924" spans="12:14" x14ac:dyDescent="0.3">
      <c r="L924" t="str">
        <f t="shared" si="28"/>
        <v/>
      </c>
      <c r="N924" t="str">
        <f t="shared" si="29"/>
        <v/>
      </c>
    </row>
    <row r="925" spans="12:14" x14ac:dyDescent="0.3">
      <c r="L925" t="str">
        <f t="shared" si="28"/>
        <v/>
      </c>
      <c r="N925" t="str">
        <f t="shared" si="29"/>
        <v/>
      </c>
    </row>
    <row r="926" spans="12:14" x14ac:dyDescent="0.3">
      <c r="L926" t="str">
        <f t="shared" si="28"/>
        <v/>
      </c>
      <c r="N926" t="str">
        <f t="shared" si="29"/>
        <v/>
      </c>
    </row>
    <row r="927" spans="12:14" x14ac:dyDescent="0.3">
      <c r="L927" t="str">
        <f t="shared" si="28"/>
        <v/>
      </c>
      <c r="N927" t="str">
        <f t="shared" si="29"/>
        <v/>
      </c>
    </row>
    <row r="928" spans="12:14" x14ac:dyDescent="0.3">
      <c r="L928" t="str">
        <f t="shared" si="28"/>
        <v/>
      </c>
      <c r="N928" t="str">
        <f t="shared" si="29"/>
        <v/>
      </c>
    </row>
    <row r="929" spans="12:14" x14ac:dyDescent="0.3">
      <c r="L929" t="str">
        <f t="shared" si="28"/>
        <v/>
      </c>
      <c r="N929" t="str">
        <f t="shared" si="29"/>
        <v/>
      </c>
    </row>
    <row r="930" spans="12:14" x14ac:dyDescent="0.3">
      <c r="L930" t="str">
        <f t="shared" si="28"/>
        <v/>
      </c>
      <c r="N930" t="str">
        <f t="shared" si="29"/>
        <v/>
      </c>
    </row>
    <row r="931" spans="12:14" x14ac:dyDescent="0.3">
      <c r="L931" t="str">
        <f t="shared" si="28"/>
        <v/>
      </c>
      <c r="N931" t="str">
        <f t="shared" si="29"/>
        <v/>
      </c>
    </row>
    <row r="932" spans="12:14" x14ac:dyDescent="0.3">
      <c r="L932" t="str">
        <f t="shared" si="28"/>
        <v/>
      </c>
      <c r="N932" t="str">
        <f t="shared" si="29"/>
        <v/>
      </c>
    </row>
    <row r="933" spans="12:14" x14ac:dyDescent="0.3">
      <c r="L933" t="str">
        <f t="shared" si="28"/>
        <v/>
      </c>
      <c r="N933" t="str">
        <f t="shared" si="29"/>
        <v/>
      </c>
    </row>
    <row r="934" spans="12:14" x14ac:dyDescent="0.3">
      <c r="L934" t="str">
        <f t="shared" si="28"/>
        <v/>
      </c>
      <c r="N934" t="str">
        <f t="shared" si="29"/>
        <v/>
      </c>
    </row>
    <row r="935" spans="12:14" x14ac:dyDescent="0.3">
      <c r="L935" t="str">
        <f t="shared" si="28"/>
        <v/>
      </c>
      <c r="N935" t="str">
        <f t="shared" si="29"/>
        <v/>
      </c>
    </row>
    <row r="936" spans="12:14" x14ac:dyDescent="0.3">
      <c r="L936" t="str">
        <f t="shared" si="28"/>
        <v/>
      </c>
      <c r="N936" t="str">
        <f t="shared" si="29"/>
        <v/>
      </c>
    </row>
    <row r="937" spans="12:14" x14ac:dyDescent="0.3">
      <c r="L937" t="str">
        <f t="shared" si="28"/>
        <v/>
      </c>
      <c r="N937" t="str">
        <f t="shared" si="29"/>
        <v/>
      </c>
    </row>
    <row r="938" spans="12:14" x14ac:dyDescent="0.3">
      <c r="L938" t="str">
        <f t="shared" si="28"/>
        <v/>
      </c>
      <c r="N938" t="str">
        <f t="shared" si="29"/>
        <v/>
      </c>
    </row>
    <row r="939" spans="12:14" x14ac:dyDescent="0.3">
      <c r="L939" t="str">
        <f t="shared" si="28"/>
        <v/>
      </c>
      <c r="N939" t="str">
        <f t="shared" si="29"/>
        <v/>
      </c>
    </row>
    <row r="940" spans="12:14" x14ac:dyDescent="0.3">
      <c r="L940" t="str">
        <f t="shared" si="28"/>
        <v/>
      </c>
      <c r="N940" t="str">
        <f t="shared" si="29"/>
        <v/>
      </c>
    </row>
    <row r="941" spans="12:14" x14ac:dyDescent="0.3">
      <c r="L941" t="str">
        <f t="shared" si="28"/>
        <v/>
      </c>
      <c r="N941" t="str">
        <f t="shared" si="29"/>
        <v/>
      </c>
    </row>
    <row r="942" spans="12:14" x14ac:dyDescent="0.3">
      <c r="L942" t="str">
        <f t="shared" si="28"/>
        <v/>
      </c>
      <c r="N942" t="str">
        <f t="shared" si="29"/>
        <v/>
      </c>
    </row>
    <row r="943" spans="12:14" x14ac:dyDescent="0.3">
      <c r="L943" t="str">
        <f t="shared" si="28"/>
        <v/>
      </c>
      <c r="N943" t="str">
        <f t="shared" si="29"/>
        <v/>
      </c>
    </row>
    <row r="944" spans="12:14" x14ac:dyDescent="0.3">
      <c r="L944" t="str">
        <f t="shared" si="28"/>
        <v/>
      </c>
      <c r="N944" t="str">
        <f t="shared" si="29"/>
        <v/>
      </c>
    </row>
    <row r="945" spans="12:14" x14ac:dyDescent="0.3">
      <c r="L945" t="str">
        <f t="shared" si="28"/>
        <v/>
      </c>
      <c r="N945" t="str">
        <f t="shared" si="29"/>
        <v/>
      </c>
    </row>
    <row r="946" spans="12:14" x14ac:dyDescent="0.3">
      <c r="L946" t="str">
        <f t="shared" si="28"/>
        <v/>
      </c>
      <c r="N946" t="str">
        <f t="shared" si="29"/>
        <v/>
      </c>
    </row>
    <row r="947" spans="12:14" x14ac:dyDescent="0.3">
      <c r="L947" t="str">
        <f t="shared" si="28"/>
        <v/>
      </c>
      <c r="N947" t="str">
        <f t="shared" si="29"/>
        <v/>
      </c>
    </row>
    <row r="948" spans="12:14" x14ac:dyDescent="0.3">
      <c r="L948" t="str">
        <f t="shared" si="28"/>
        <v/>
      </c>
      <c r="N948" t="str">
        <f t="shared" si="29"/>
        <v/>
      </c>
    </row>
    <row r="949" spans="12:14" x14ac:dyDescent="0.3">
      <c r="L949" t="str">
        <f t="shared" si="28"/>
        <v/>
      </c>
      <c r="N949" t="str">
        <f t="shared" si="29"/>
        <v/>
      </c>
    </row>
    <row r="950" spans="12:14" x14ac:dyDescent="0.3">
      <c r="L950" t="str">
        <f t="shared" si="28"/>
        <v/>
      </c>
      <c r="N950" t="str">
        <f t="shared" si="29"/>
        <v/>
      </c>
    </row>
    <row r="951" spans="12:14" x14ac:dyDescent="0.3">
      <c r="L951" t="str">
        <f t="shared" si="28"/>
        <v/>
      </c>
      <c r="N951" t="str">
        <f t="shared" si="29"/>
        <v/>
      </c>
    </row>
    <row r="952" spans="12:14" x14ac:dyDescent="0.3">
      <c r="L952" t="str">
        <f t="shared" si="28"/>
        <v/>
      </c>
      <c r="N952" t="str">
        <f t="shared" si="29"/>
        <v/>
      </c>
    </row>
    <row r="953" spans="12:14" x14ac:dyDescent="0.3">
      <c r="L953" t="str">
        <f t="shared" si="28"/>
        <v/>
      </c>
      <c r="N953" t="str">
        <f t="shared" si="29"/>
        <v/>
      </c>
    </row>
    <row r="954" spans="12:14" x14ac:dyDescent="0.3">
      <c r="L954" t="str">
        <f t="shared" si="28"/>
        <v/>
      </c>
      <c r="N954" t="str">
        <f t="shared" si="29"/>
        <v/>
      </c>
    </row>
    <row r="955" spans="12:14" x14ac:dyDescent="0.3">
      <c r="L955" t="str">
        <f t="shared" si="28"/>
        <v/>
      </c>
      <c r="N955" t="str">
        <f t="shared" si="29"/>
        <v/>
      </c>
    </row>
    <row r="956" spans="12:14" x14ac:dyDescent="0.3">
      <c r="L956" t="str">
        <f t="shared" si="28"/>
        <v/>
      </c>
      <c r="N956" t="str">
        <f t="shared" si="29"/>
        <v/>
      </c>
    </row>
    <row r="957" spans="12:14" x14ac:dyDescent="0.3">
      <c r="L957" t="str">
        <f t="shared" si="28"/>
        <v/>
      </c>
      <c r="N957" t="str">
        <f t="shared" si="29"/>
        <v/>
      </c>
    </row>
    <row r="958" spans="12:14" x14ac:dyDescent="0.3">
      <c r="L958" t="str">
        <f t="shared" si="28"/>
        <v/>
      </c>
      <c r="N958" t="str">
        <f t="shared" si="29"/>
        <v/>
      </c>
    </row>
    <row r="959" spans="12:14" x14ac:dyDescent="0.3">
      <c r="L959" t="str">
        <f t="shared" si="28"/>
        <v/>
      </c>
      <c r="N959" t="str">
        <f t="shared" si="29"/>
        <v/>
      </c>
    </row>
    <row r="960" spans="12:14" x14ac:dyDescent="0.3">
      <c r="L960" t="str">
        <f t="shared" si="28"/>
        <v/>
      </c>
      <c r="N960" t="str">
        <f t="shared" si="29"/>
        <v/>
      </c>
    </row>
    <row r="961" spans="12:14" x14ac:dyDescent="0.3">
      <c r="L961" t="str">
        <f t="shared" ref="L961:L1024" si="30">IF(A961="","",IF(ISNUMBER(--LEFT(A961,FIND(" - ",A961&amp;" - ")-1)),LEFT(A961,FIND(" - ",A961&amp;" - ")-1),TRIM(A961)))</f>
        <v/>
      </c>
      <c r="N961" t="str">
        <f t="shared" ref="N961:N1024" si="31">IF(L961="","",IF(ISNUMBER(INDEX(A961:H961,$P$1)),INDEX(A961:H961,$P$1),IFERROR(_xlfn.NUMBERVALUE(INDEX(A961:H961,$P$1),".",","),0)))</f>
        <v/>
      </c>
    </row>
    <row r="962" spans="12:14" x14ac:dyDescent="0.3">
      <c r="L962" t="str">
        <f t="shared" si="30"/>
        <v/>
      </c>
      <c r="N962" t="str">
        <f t="shared" si="31"/>
        <v/>
      </c>
    </row>
    <row r="963" spans="12:14" x14ac:dyDescent="0.3">
      <c r="L963" t="str">
        <f t="shared" si="30"/>
        <v/>
      </c>
      <c r="N963" t="str">
        <f t="shared" si="31"/>
        <v/>
      </c>
    </row>
    <row r="964" spans="12:14" x14ac:dyDescent="0.3">
      <c r="L964" t="str">
        <f t="shared" si="30"/>
        <v/>
      </c>
      <c r="N964" t="str">
        <f t="shared" si="31"/>
        <v/>
      </c>
    </row>
    <row r="965" spans="12:14" x14ac:dyDescent="0.3">
      <c r="L965" t="str">
        <f t="shared" si="30"/>
        <v/>
      </c>
      <c r="N965" t="str">
        <f t="shared" si="31"/>
        <v/>
      </c>
    </row>
    <row r="966" spans="12:14" x14ac:dyDescent="0.3">
      <c r="L966" t="str">
        <f t="shared" si="30"/>
        <v/>
      </c>
      <c r="N966" t="str">
        <f t="shared" si="31"/>
        <v/>
      </c>
    </row>
    <row r="967" spans="12:14" x14ac:dyDescent="0.3">
      <c r="L967" t="str">
        <f t="shared" si="30"/>
        <v/>
      </c>
      <c r="N967" t="str">
        <f t="shared" si="31"/>
        <v/>
      </c>
    </row>
    <row r="968" spans="12:14" x14ac:dyDescent="0.3">
      <c r="L968" t="str">
        <f t="shared" si="30"/>
        <v/>
      </c>
      <c r="N968" t="str">
        <f t="shared" si="31"/>
        <v/>
      </c>
    </row>
    <row r="969" spans="12:14" x14ac:dyDescent="0.3">
      <c r="L969" t="str">
        <f t="shared" si="30"/>
        <v/>
      </c>
      <c r="N969" t="str">
        <f t="shared" si="31"/>
        <v/>
      </c>
    </row>
    <row r="970" spans="12:14" x14ac:dyDescent="0.3">
      <c r="L970" t="str">
        <f t="shared" si="30"/>
        <v/>
      </c>
      <c r="N970" t="str">
        <f t="shared" si="31"/>
        <v/>
      </c>
    </row>
    <row r="971" spans="12:14" x14ac:dyDescent="0.3">
      <c r="L971" t="str">
        <f t="shared" si="30"/>
        <v/>
      </c>
      <c r="N971" t="str">
        <f t="shared" si="31"/>
        <v/>
      </c>
    </row>
    <row r="972" spans="12:14" x14ac:dyDescent="0.3">
      <c r="L972" t="str">
        <f t="shared" si="30"/>
        <v/>
      </c>
      <c r="N972" t="str">
        <f t="shared" si="31"/>
        <v/>
      </c>
    </row>
    <row r="973" spans="12:14" x14ac:dyDescent="0.3">
      <c r="L973" t="str">
        <f t="shared" si="30"/>
        <v/>
      </c>
      <c r="N973" t="str">
        <f t="shared" si="31"/>
        <v/>
      </c>
    </row>
    <row r="974" spans="12:14" x14ac:dyDescent="0.3">
      <c r="L974" t="str">
        <f t="shared" si="30"/>
        <v/>
      </c>
      <c r="N974" t="str">
        <f t="shared" si="31"/>
        <v/>
      </c>
    </row>
    <row r="975" spans="12:14" x14ac:dyDescent="0.3">
      <c r="L975" t="str">
        <f t="shared" si="30"/>
        <v/>
      </c>
      <c r="N975" t="str">
        <f t="shared" si="31"/>
        <v/>
      </c>
    </row>
    <row r="976" spans="12:14" x14ac:dyDescent="0.3">
      <c r="L976" t="str">
        <f t="shared" si="30"/>
        <v/>
      </c>
      <c r="N976" t="str">
        <f t="shared" si="31"/>
        <v/>
      </c>
    </row>
    <row r="977" spans="12:14" x14ac:dyDescent="0.3">
      <c r="L977" t="str">
        <f t="shared" si="30"/>
        <v/>
      </c>
      <c r="N977" t="str">
        <f t="shared" si="31"/>
        <v/>
      </c>
    </row>
    <row r="978" spans="12:14" x14ac:dyDescent="0.3">
      <c r="L978" t="str">
        <f t="shared" si="30"/>
        <v/>
      </c>
      <c r="N978" t="str">
        <f t="shared" si="31"/>
        <v/>
      </c>
    </row>
    <row r="979" spans="12:14" x14ac:dyDescent="0.3">
      <c r="L979" t="str">
        <f t="shared" si="30"/>
        <v/>
      </c>
      <c r="N979" t="str">
        <f t="shared" si="31"/>
        <v/>
      </c>
    </row>
    <row r="980" spans="12:14" x14ac:dyDescent="0.3">
      <c r="L980" t="str">
        <f t="shared" si="30"/>
        <v/>
      </c>
      <c r="N980" t="str">
        <f t="shared" si="31"/>
        <v/>
      </c>
    </row>
    <row r="981" spans="12:14" x14ac:dyDescent="0.3">
      <c r="L981" t="str">
        <f t="shared" si="30"/>
        <v/>
      </c>
      <c r="N981" t="str">
        <f t="shared" si="31"/>
        <v/>
      </c>
    </row>
    <row r="982" spans="12:14" x14ac:dyDescent="0.3">
      <c r="L982" t="str">
        <f t="shared" si="30"/>
        <v/>
      </c>
      <c r="N982" t="str">
        <f t="shared" si="31"/>
        <v/>
      </c>
    </row>
    <row r="983" spans="12:14" x14ac:dyDescent="0.3">
      <c r="L983" t="str">
        <f t="shared" si="30"/>
        <v/>
      </c>
      <c r="N983" t="str">
        <f t="shared" si="31"/>
        <v/>
      </c>
    </row>
    <row r="984" spans="12:14" x14ac:dyDescent="0.3">
      <c r="L984" t="str">
        <f t="shared" si="30"/>
        <v/>
      </c>
      <c r="N984" t="str">
        <f t="shared" si="31"/>
        <v/>
      </c>
    </row>
    <row r="985" spans="12:14" x14ac:dyDescent="0.3">
      <c r="L985" t="str">
        <f t="shared" si="30"/>
        <v/>
      </c>
      <c r="N985" t="str">
        <f t="shared" si="31"/>
        <v/>
      </c>
    </row>
    <row r="986" spans="12:14" x14ac:dyDescent="0.3">
      <c r="L986" t="str">
        <f t="shared" si="30"/>
        <v/>
      </c>
      <c r="N986" t="str">
        <f t="shared" si="31"/>
        <v/>
      </c>
    </row>
    <row r="987" spans="12:14" x14ac:dyDescent="0.3">
      <c r="L987" t="str">
        <f t="shared" si="30"/>
        <v/>
      </c>
      <c r="N987" t="str">
        <f t="shared" si="31"/>
        <v/>
      </c>
    </row>
    <row r="988" spans="12:14" x14ac:dyDescent="0.3">
      <c r="L988" t="str">
        <f t="shared" si="30"/>
        <v/>
      </c>
      <c r="N988" t="str">
        <f t="shared" si="31"/>
        <v/>
      </c>
    </row>
    <row r="989" spans="12:14" x14ac:dyDescent="0.3">
      <c r="L989" t="str">
        <f t="shared" si="30"/>
        <v/>
      </c>
      <c r="N989" t="str">
        <f t="shared" si="31"/>
        <v/>
      </c>
    </row>
    <row r="990" spans="12:14" x14ac:dyDescent="0.3">
      <c r="L990" t="str">
        <f t="shared" si="30"/>
        <v/>
      </c>
      <c r="N990" t="str">
        <f t="shared" si="31"/>
        <v/>
      </c>
    </row>
    <row r="991" spans="12:14" x14ac:dyDescent="0.3">
      <c r="L991" t="str">
        <f t="shared" si="30"/>
        <v/>
      </c>
      <c r="N991" t="str">
        <f t="shared" si="31"/>
        <v/>
      </c>
    </row>
    <row r="992" spans="12:14" x14ac:dyDescent="0.3">
      <c r="L992" t="str">
        <f t="shared" si="30"/>
        <v/>
      </c>
      <c r="N992" t="str">
        <f t="shared" si="31"/>
        <v/>
      </c>
    </row>
    <row r="993" spans="12:14" x14ac:dyDescent="0.3">
      <c r="L993" t="str">
        <f t="shared" si="30"/>
        <v/>
      </c>
      <c r="N993" t="str">
        <f t="shared" si="31"/>
        <v/>
      </c>
    </row>
    <row r="994" spans="12:14" x14ac:dyDescent="0.3">
      <c r="L994" t="str">
        <f t="shared" si="30"/>
        <v/>
      </c>
      <c r="N994" t="str">
        <f t="shared" si="31"/>
        <v/>
      </c>
    </row>
    <row r="995" spans="12:14" x14ac:dyDescent="0.3">
      <c r="L995" t="str">
        <f t="shared" si="30"/>
        <v/>
      </c>
      <c r="N995" t="str">
        <f t="shared" si="31"/>
        <v/>
      </c>
    </row>
    <row r="996" spans="12:14" x14ac:dyDescent="0.3">
      <c r="L996" t="str">
        <f t="shared" si="30"/>
        <v/>
      </c>
      <c r="N996" t="str">
        <f t="shared" si="31"/>
        <v/>
      </c>
    </row>
    <row r="997" spans="12:14" x14ac:dyDescent="0.3">
      <c r="L997" t="str">
        <f t="shared" si="30"/>
        <v/>
      </c>
      <c r="N997" t="str">
        <f t="shared" si="31"/>
        <v/>
      </c>
    </row>
    <row r="998" spans="12:14" x14ac:dyDescent="0.3">
      <c r="L998" t="str">
        <f t="shared" si="30"/>
        <v/>
      </c>
      <c r="N998" t="str">
        <f t="shared" si="31"/>
        <v/>
      </c>
    </row>
    <row r="999" spans="12:14" x14ac:dyDescent="0.3">
      <c r="L999" t="str">
        <f t="shared" si="30"/>
        <v/>
      </c>
      <c r="N999" t="str">
        <f t="shared" si="31"/>
        <v/>
      </c>
    </row>
    <row r="1000" spans="12:14" x14ac:dyDescent="0.3">
      <c r="L1000" t="str">
        <f t="shared" si="30"/>
        <v/>
      </c>
      <c r="N1000" t="str">
        <f t="shared" si="31"/>
        <v/>
      </c>
    </row>
    <row r="1001" spans="12:14" x14ac:dyDescent="0.3">
      <c r="L1001" t="str">
        <f t="shared" si="30"/>
        <v/>
      </c>
      <c r="N1001" t="str">
        <f t="shared" si="31"/>
        <v/>
      </c>
    </row>
    <row r="1002" spans="12:14" x14ac:dyDescent="0.3">
      <c r="L1002" t="str">
        <f t="shared" si="30"/>
        <v/>
      </c>
      <c r="N1002" t="str">
        <f t="shared" si="31"/>
        <v/>
      </c>
    </row>
    <row r="1003" spans="12:14" x14ac:dyDescent="0.3">
      <c r="L1003" t="str">
        <f t="shared" si="30"/>
        <v/>
      </c>
      <c r="N1003" t="str">
        <f t="shared" si="31"/>
        <v/>
      </c>
    </row>
    <row r="1004" spans="12:14" x14ac:dyDescent="0.3">
      <c r="L1004" t="str">
        <f t="shared" si="30"/>
        <v/>
      </c>
      <c r="N1004" t="str">
        <f t="shared" si="31"/>
        <v/>
      </c>
    </row>
    <row r="1005" spans="12:14" x14ac:dyDescent="0.3">
      <c r="L1005" t="str">
        <f t="shared" si="30"/>
        <v/>
      </c>
      <c r="N1005" t="str">
        <f t="shared" si="31"/>
        <v/>
      </c>
    </row>
    <row r="1006" spans="12:14" x14ac:dyDescent="0.3">
      <c r="L1006" t="str">
        <f t="shared" si="30"/>
        <v/>
      </c>
      <c r="N1006" t="str">
        <f t="shared" si="31"/>
        <v/>
      </c>
    </row>
    <row r="1007" spans="12:14" x14ac:dyDescent="0.3">
      <c r="L1007" t="str">
        <f t="shared" si="30"/>
        <v/>
      </c>
      <c r="N1007" t="str">
        <f t="shared" si="31"/>
        <v/>
      </c>
    </row>
    <row r="1008" spans="12:14" x14ac:dyDescent="0.3">
      <c r="L1008" t="str">
        <f t="shared" si="30"/>
        <v/>
      </c>
      <c r="N1008" t="str">
        <f t="shared" si="31"/>
        <v/>
      </c>
    </row>
    <row r="1009" spans="12:14" x14ac:dyDescent="0.3">
      <c r="L1009" t="str">
        <f t="shared" si="30"/>
        <v/>
      </c>
      <c r="N1009" t="str">
        <f t="shared" si="31"/>
        <v/>
      </c>
    </row>
    <row r="1010" spans="12:14" x14ac:dyDescent="0.3">
      <c r="L1010" t="str">
        <f t="shared" si="30"/>
        <v/>
      </c>
      <c r="N1010" t="str">
        <f t="shared" si="31"/>
        <v/>
      </c>
    </row>
    <row r="1011" spans="12:14" x14ac:dyDescent="0.3">
      <c r="L1011" t="str">
        <f t="shared" si="30"/>
        <v/>
      </c>
      <c r="N1011" t="str">
        <f t="shared" si="31"/>
        <v/>
      </c>
    </row>
    <row r="1012" spans="12:14" x14ac:dyDescent="0.3">
      <c r="L1012" t="str">
        <f t="shared" si="30"/>
        <v/>
      </c>
      <c r="N1012" t="str">
        <f t="shared" si="31"/>
        <v/>
      </c>
    </row>
    <row r="1013" spans="12:14" x14ac:dyDescent="0.3">
      <c r="L1013" t="str">
        <f t="shared" si="30"/>
        <v/>
      </c>
      <c r="N1013" t="str">
        <f t="shared" si="31"/>
        <v/>
      </c>
    </row>
    <row r="1014" spans="12:14" x14ac:dyDescent="0.3">
      <c r="L1014" t="str">
        <f t="shared" si="30"/>
        <v/>
      </c>
      <c r="N1014" t="str">
        <f t="shared" si="31"/>
        <v/>
      </c>
    </row>
    <row r="1015" spans="12:14" x14ac:dyDescent="0.3">
      <c r="L1015" t="str">
        <f t="shared" si="30"/>
        <v/>
      </c>
      <c r="N1015" t="str">
        <f t="shared" si="31"/>
        <v/>
      </c>
    </row>
    <row r="1016" spans="12:14" x14ac:dyDescent="0.3">
      <c r="L1016" t="str">
        <f t="shared" si="30"/>
        <v/>
      </c>
      <c r="N1016" t="str">
        <f t="shared" si="31"/>
        <v/>
      </c>
    </row>
    <row r="1017" spans="12:14" x14ac:dyDescent="0.3">
      <c r="L1017" t="str">
        <f t="shared" si="30"/>
        <v/>
      </c>
      <c r="N1017" t="str">
        <f t="shared" si="31"/>
        <v/>
      </c>
    </row>
    <row r="1018" spans="12:14" x14ac:dyDescent="0.3">
      <c r="L1018" t="str">
        <f t="shared" si="30"/>
        <v/>
      </c>
      <c r="N1018" t="str">
        <f t="shared" si="31"/>
        <v/>
      </c>
    </row>
    <row r="1019" spans="12:14" x14ac:dyDescent="0.3">
      <c r="L1019" t="str">
        <f t="shared" si="30"/>
        <v/>
      </c>
      <c r="N1019" t="str">
        <f t="shared" si="31"/>
        <v/>
      </c>
    </row>
    <row r="1020" spans="12:14" x14ac:dyDescent="0.3">
      <c r="L1020" t="str">
        <f t="shared" si="30"/>
        <v/>
      </c>
      <c r="N1020" t="str">
        <f t="shared" si="31"/>
        <v/>
      </c>
    </row>
    <row r="1021" spans="12:14" x14ac:dyDescent="0.3">
      <c r="L1021" t="str">
        <f t="shared" si="30"/>
        <v/>
      </c>
      <c r="N1021" t="str">
        <f t="shared" si="31"/>
        <v/>
      </c>
    </row>
    <row r="1022" spans="12:14" x14ac:dyDescent="0.3">
      <c r="L1022" t="str">
        <f t="shared" si="30"/>
        <v/>
      </c>
      <c r="N1022" t="str">
        <f t="shared" si="31"/>
        <v/>
      </c>
    </row>
    <row r="1023" spans="12:14" x14ac:dyDescent="0.3">
      <c r="L1023" t="str">
        <f t="shared" si="30"/>
        <v/>
      </c>
      <c r="N1023" t="str">
        <f t="shared" si="31"/>
        <v/>
      </c>
    </row>
    <row r="1024" spans="12:14" x14ac:dyDescent="0.3">
      <c r="L1024" t="str">
        <f t="shared" si="30"/>
        <v/>
      </c>
      <c r="N1024" t="str">
        <f t="shared" si="31"/>
        <v/>
      </c>
    </row>
    <row r="1025" spans="12:14" x14ac:dyDescent="0.3">
      <c r="L1025" t="str">
        <f t="shared" ref="L1025:L1088" si="32">IF(A1025="","",IF(ISNUMBER(--LEFT(A1025,FIND(" - ",A1025&amp;" - ")-1)),LEFT(A1025,FIND(" - ",A1025&amp;" - ")-1),TRIM(A1025)))</f>
        <v/>
      </c>
      <c r="N1025" t="str">
        <f t="shared" ref="N1025:N1088" si="33">IF(L1025="","",IF(ISNUMBER(INDEX(A1025:H1025,$P$1)),INDEX(A1025:H1025,$P$1),IFERROR(_xlfn.NUMBERVALUE(INDEX(A1025:H1025,$P$1),".",","),0)))</f>
        <v/>
      </c>
    </row>
    <row r="1026" spans="12:14" x14ac:dyDescent="0.3">
      <c r="L1026" t="str">
        <f t="shared" si="32"/>
        <v/>
      </c>
      <c r="N1026" t="str">
        <f t="shared" si="33"/>
        <v/>
      </c>
    </row>
    <row r="1027" spans="12:14" x14ac:dyDescent="0.3">
      <c r="L1027" t="str">
        <f t="shared" si="32"/>
        <v/>
      </c>
      <c r="N1027" t="str">
        <f t="shared" si="33"/>
        <v/>
      </c>
    </row>
    <row r="1028" spans="12:14" x14ac:dyDescent="0.3">
      <c r="L1028" t="str">
        <f t="shared" si="32"/>
        <v/>
      </c>
      <c r="N1028" t="str">
        <f t="shared" si="33"/>
        <v/>
      </c>
    </row>
    <row r="1029" spans="12:14" x14ac:dyDescent="0.3">
      <c r="L1029" t="str">
        <f t="shared" si="32"/>
        <v/>
      </c>
      <c r="N1029" t="str">
        <f t="shared" si="33"/>
        <v/>
      </c>
    </row>
    <row r="1030" spans="12:14" x14ac:dyDescent="0.3">
      <c r="L1030" t="str">
        <f t="shared" si="32"/>
        <v/>
      </c>
      <c r="N1030" t="str">
        <f t="shared" si="33"/>
        <v/>
      </c>
    </row>
    <row r="1031" spans="12:14" x14ac:dyDescent="0.3">
      <c r="L1031" t="str">
        <f t="shared" si="32"/>
        <v/>
      </c>
      <c r="N1031" t="str">
        <f t="shared" si="33"/>
        <v/>
      </c>
    </row>
    <row r="1032" spans="12:14" x14ac:dyDescent="0.3">
      <c r="L1032" t="str">
        <f t="shared" si="32"/>
        <v/>
      </c>
      <c r="N1032" t="str">
        <f t="shared" si="33"/>
        <v/>
      </c>
    </row>
    <row r="1033" spans="12:14" x14ac:dyDescent="0.3">
      <c r="L1033" t="str">
        <f t="shared" si="32"/>
        <v/>
      </c>
      <c r="N1033" t="str">
        <f t="shared" si="33"/>
        <v/>
      </c>
    </row>
    <row r="1034" spans="12:14" x14ac:dyDescent="0.3">
      <c r="L1034" t="str">
        <f t="shared" si="32"/>
        <v/>
      </c>
      <c r="N1034" t="str">
        <f t="shared" si="33"/>
        <v/>
      </c>
    </row>
    <row r="1035" spans="12:14" x14ac:dyDescent="0.3">
      <c r="L1035" t="str">
        <f t="shared" si="32"/>
        <v/>
      </c>
      <c r="N1035" t="str">
        <f t="shared" si="33"/>
        <v/>
      </c>
    </row>
    <row r="1036" spans="12:14" x14ac:dyDescent="0.3">
      <c r="L1036" t="str">
        <f t="shared" si="32"/>
        <v/>
      </c>
      <c r="N1036" t="str">
        <f t="shared" si="33"/>
        <v/>
      </c>
    </row>
    <row r="1037" spans="12:14" x14ac:dyDescent="0.3">
      <c r="L1037" t="str">
        <f t="shared" si="32"/>
        <v/>
      </c>
      <c r="N1037" t="str">
        <f t="shared" si="33"/>
        <v/>
      </c>
    </row>
    <row r="1038" spans="12:14" x14ac:dyDescent="0.3">
      <c r="L1038" t="str">
        <f t="shared" si="32"/>
        <v/>
      </c>
      <c r="N1038" t="str">
        <f t="shared" si="33"/>
        <v/>
      </c>
    </row>
    <row r="1039" spans="12:14" x14ac:dyDescent="0.3">
      <c r="L1039" t="str">
        <f t="shared" si="32"/>
        <v/>
      </c>
      <c r="N1039" t="str">
        <f t="shared" si="33"/>
        <v/>
      </c>
    </row>
    <row r="1040" spans="12:14" x14ac:dyDescent="0.3">
      <c r="L1040" t="str">
        <f t="shared" si="32"/>
        <v/>
      </c>
      <c r="N1040" t="str">
        <f t="shared" si="33"/>
        <v/>
      </c>
    </row>
    <row r="1041" spans="12:14" x14ac:dyDescent="0.3">
      <c r="L1041" t="str">
        <f t="shared" si="32"/>
        <v/>
      </c>
      <c r="N1041" t="str">
        <f t="shared" si="33"/>
        <v/>
      </c>
    </row>
    <row r="1042" spans="12:14" x14ac:dyDescent="0.3">
      <c r="L1042" t="str">
        <f t="shared" si="32"/>
        <v/>
      </c>
      <c r="N1042" t="str">
        <f t="shared" si="33"/>
        <v/>
      </c>
    </row>
    <row r="1043" spans="12:14" x14ac:dyDescent="0.3">
      <c r="L1043" t="str">
        <f t="shared" si="32"/>
        <v/>
      </c>
      <c r="N1043" t="str">
        <f t="shared" si="33"/>
        <v/>
      </c>
    </row>
    <row r="1044" spans="12:14" x14ac:dyDescent="0.3">
      <c r="L1044" t="str">
        <f t="shared" si="32"/>
        <v/>
      </c>
      <c r="N1044" t="str">
        <f t="shared" si="33"/>
        <v/>
      </c>
    </row>
    <row r="1045" spans="12:14" x14ac:dyDescent="0.3">
      <c r="L1045" t="str">
        <f t="shared" si="32"/>
        <v/>
      </c>
      <c r="N1045" t="str">
        <f t="shared" si="33"/>
        <v/>
      </c>
    </row>
    <row r="1046" spans="12:14" x14ac:dyDescent="0.3">
      <c r="L1046" t="str">
        <f t="shared" si="32"/>
        <v/>
      </c>
      <c r="N1046" t="str">
        <f t="shared" si="33"/>
        <v/>
      </c>
    </row>
    <row r="1047" spans="12:14" x14ac:dyDescent="0.3">
      <c r="L1047" t="str">
        <f t="shared" si="32"/>
        <v/>
      </c>
      <c r="N1047" t="str">
        <f t="shared" si="33"/>
        <v/>
      </c>
    </row>
    <row r="1048" spans="12:14" x14ac:dyDescent="0.3">
      <c r="L1048" t="str">
        <f t="shared" si="32"/>
        <v/>
      </c>
      <c r="N1048" t="str">
        <f t="shared" si="33"/>
        <v/>
      </c>
    </row>
    <row r="1049" spans="12:14" x14ac:dyDescent="0.3">
      <c r="L1049" t="str">
        <f t="shared" si="32"/>
        <v/>
      </c>
      <c r="N1049" t="str">
        <f t="shared" si="33"/>
        <v/>
      </c>
    </row>
    <row r="1050" spans="12:14" x14ac:dyDescent="0.3">
      <c r="L1050" t="str">
        <f t="shared" si="32"/>
        <v/>
      </c>
      <c r="N1050" t="str">
        <f t="shared" si="33"/>
        <v/>
      </c>
    </row>
    <row r="1051" spans="12:14" x14ac:dyDescent="0.3">
      <c r="L1051" t="str">
        <f t="shared" si="32"/>
        <v/>
      </c>
      <c r="N1051" t="str">
        <f t="shared" si="33"/>
        <v/>
      </c>
    </row>
    <row r="1052" spans="12:14" x14ac:dyDescent="0.3">
      <c r="L1052" t="str">
        <f t="shared" si="32"/>
        <v/>
      </c>
      <c r="N1052" t="str">
        <f t="shared" si="33"/>
        <v/>
      </c>
    </row>
    <row r="1053" spans="12:14" x14ac:dyDescent="0.3">
      <c r="L1053" t="str">
        <f t="shared" si="32"/>
        <v/>
      </c>
      <c r="N1053" t="str">
        <f t="shared" si="33"/>
        <v/>
      </c>
    </row>
    <row r="1054" spans="12:14" x14ac:dyDescent="0.3">
      <c r="L1054" t="str">
        <f t="shared" si="32"/>
        <v/>
      </c>
      <c r="N1054" t="str">
        <f t="shared" si="33"/>
        <v/>
      </c>
    </row>
    <row r="1055" spans="12:14" x14ac:dyDescent="0.3">
      <c r="L1055" t="str">
        <f t="shared" si="32"/>
        <v/>
      </c>
      <c r="N1055" t="str">
        <f t="shared" si="33"/>
        <v/>
      </c>
    </row>
    <row r="1056" spans="12:14" x14ac:dyDescent="0.3">
      <c r="L1056" t="str">
        <f t="shared" si="32"/>
        <v/>
      </c>
      <c r="N1056" t="str">
        <f t="shared" si="33"/>
        <v/>
      </c>
    </row>
    <row r="1057" spans="12:14" x14ac:dyDescent="0.3">
      <c r="L1057" t="str">
        <f t="shared" si="32"/>
        <v/>
      </c>
      <c r="N1057" t="str">
        <f t="shared" si="33"/>
        <v/>
      </c>
    </row>
    <row r="1058" spans="12:14" x14ac:dyDescent="0.3">
      <c r="L1058" t="str">
        <f t="shared" si="32"/>
        <v/>
      </c>
      <c r="N1058" t="str">
        <f t="shared" si="33"/>
        <v/>
      </c>
    </row>
    <row r="1059" spans="12:14" x14ac:dyDescent="0.3">
      <c r="L1059" t="str">
        <f t="shared" si="32"/>
        <v/>
      </c>
      <c r="N1059" t="str">
        <f t="shared" si="33"/>
        <v/>
      </c>
    </row>
    <row r="1060" spans="12:14" x14ac:dyDescent="0.3">
      <c r="L1060" t="str">
        <f t="shared" si="32"/>
        <v/>
      </c>
      <c r="N1060" t="str">
        <f t="shared" si="33"/>
        <v/>
      </c>
    </row>
    <row r="1061" spans="12:14" x14ac:dyDescent="0.3">
      <c r="L1061" t="str">
        <f t="shared" si="32"/>
        <v/>
      </c>
      <c r="N1061" t="str">
        <f t="shared" si="33"/>
        <v/>
      </c>
    </row>
    <row r="1062" spans="12:14" x14ac:dyDescent="0.3">
      <c r="L1062" t="str">
        <f t="shared" si="32"/>
        <v/>
      </c>
      <c r="N1062" t="str">
        <f t="shared" si="33"/>
        <v/>
      </c>
    </row>
    <row r="1063" spans="12:14" x14ac:dyDescent="0.3">
      <c r="L1063" t="str">
        <f t="shared" si="32"/>
        <v/>
      </c>
      <c r="N1063" t="str">
        <f t="shared" si="33"/>
        <v/>
      </c>
    </row>
    <row r="1064" spans="12:14" x14ac:dyDescent="0.3">
      <c r="L1064" t="str">
        <f t="shared" si="32"/>
        <v/>
      </c>
      <c r="N1064" t="str">
        <f t="shared" si="33"/>
        <v/>
      </c>
    </row>
    <row r="1065" spans="12:14" x14ac:dyDescent="0.3">
      <c r="L1065" t="str">
        <f t="shared" si="32"/>
        <v/>
      </c>
      <c r="N1065" t="str">
        <f t="shared" si="33"/>
        <v/>
      </c>
    </row>
    <row r="1066" spans="12:14" x14ac:dyDescent="0.3">
      <c r="L1066" t="str">
        <f t="shared" si="32"/>
        <v/>
      </c>
      <c r="N1066" t="str">
        <f t="shared" si="33"/>
        <v/>
      </c>
    </row>
    <row r="1067" spans="12:14" x14ac:dyDescent="0.3">
      <c r="L1067" t="str">
        <f t="shared" si="32"/>
        <v/>
      </c>
      <c r="N1067" t="str">
        <f t="shared" si="33"/>
        <v/>
      </c>
    </row>
    <row r="1068" spans="12:14" x14ac:dyDescent="0.3">
      <c r="L1068" t="str">
        <f t="shared" si="32"/>
        <v/>
      </c>
      <c r="N1068" t="str">
        <f t="shared" si="33"/>
        <v/>
      </c>
    </row>
    <row r="1069" spans="12:14" x14ac:dyDescent="0.3">
      <c r="L1069" t="str">
        <f t="shared" si="32"/>
        <v/>
      </c>
      <c r="N1069" t="str">
        <f t="shared" si="33"/>
        <v/>
      </c>
    </row>
    <row r="1070" spans="12:14" x14ac:dyDescent="0.3">
      <c r="L1070" t="str">
        <f t="shared" si="32"/>
        <v/>
      </c>
      <c r="N1070" t="str">
        <f t="shared" si="33"/>
        <v/>
      </c>
    </row>
    <row r="1071" spans="12:14" x14ac:dyDescent="0.3">
      <c r="L1071" t="str">
        <f t="shared" si="32"/>
        <v/>
      </c>
      <c r="N1071" t="str">
        <f t="shared" si="33"/>
        <v/>
      </c>
    </row>
    <row r="1072" spans="12:14" x14ac:dyDescent="0.3">
      <c r="L1072" t="str">
        <f t="shared" si="32"/>
        <v/>
      </c>
      <c r="N1072" t="str">
        <f t="shared" si="33"/>
        <v/>
      </c>
    </row>
    <row r="1073" spans="12:14" x14ac:dyDescent="0.3">
      <c r="L1073" t="str">
        <f t="shared" si="32"/>
        <v/>
      </c>
      <c r="N1073" t="str">
        <f t="shared" si="33"/>
        <v/>
      </c>
    </row>
    <row r="1074" spans="12:14" x14ac:dyDescent="0.3">
      <c r="L1074" t="str">
        <f t="shared" si="32"/>
        <v/>
      </c>
      <c r="N1074" t="str">
        <f t="shared" si="33"/>
        <v/>
      </c>
    </row>
    <row r="1075" spans="12:14" x14ac:dyDescent="0.3">
      <c r="L1075" t="str">
        <f t="shared" si="32"/>
        <v/>
      </c>
      <c r="N1075" t="str">
        <f t="shared" si="33"/>
        <v/>
      </c>
    </row>
    <row r="1076" spans="12:14" x14ac:dyDescent="0.3">
      <c r="L1076" t="str">
        <f t="shared" si="32"/>
        <v/>
      </c>
      <c r="N1076" t="str">
        <f t="shared" si="33"/>
        <v/>
      </c>
    </row>
    <row r="1077" spans="12:14" x14ac:dyDescent="0.3">
      <c r="L1077" t="str">
        <f t="shared" si="32"/>
        <v/>
      </c>
      <c r="N1077" t="str">
        <f t="shared" si="33"/>
        <v/>
      </c>
    </row>
    <row r="1078" spans="12:14" x14ac:dyDescent="0.3">
      <c r="L1078" t="str">
        <f t="shared" si="32"/>
        <v/>
      </c>
      <c r="N1078" t="str">
        <f t="shared" si="33"/>
        <v/>
      </c>
    </row>
    <row r="1079" spans="12:14" x14ac:dyDescent="0.3">
      <c r="L1079" t="str">
        <f t="shared" si="32"/>
        <v/>
      </c>
      <c r="N1079" t="str">
        <f t="shared" si="33"/>
        <v/>
      </c>
    </row>
    <row r="1080" spans="12:14" x14ac:dyDescent="0.3">
      <c r="L1080" t="str">
        <f t="shared" si="32"/>
        <v/>
      </c>
      <c r="N1080" t="str">
        <f t="shared" si="33"/>
        <v/>
      </c>
    </row>
    <row r="1081" spans="12:14" x14ac:dyDescent="0.3">
      <c r="L1081" t="str">
        <f t="shared" si="32"/>
        <v/>
      </c>
      <c r="N1081" t="str">
        <f t="shared" si="33"/>
        <v/>
      </c>
    </row>
    <row r="1082" spans="12:14" x14ac:dyDescent="0.3">
      <c r="L1082" t="str">
        <f t="shared" si="32"/>
        <v/>
      </c>
      <c r="N1082" t="str">
        <f t="shared" si="33"/>
        <v/>
      </c>
    </row>
    <row r="1083" spans="12:14" x14ac:dyDescent="0.3">
      <c r="L1083" t="str">
        <f t="shared" si="32"/>
        <v/>
      </c>
      <c r="N1083" t="str">
        <f t="shared" si="33"/>
        <v/>
      </c>
    </row>
    <row r="1084" spans="12:14" x14ac:dyDescent="0.3">
      <c r="L1084" t="str">
        <f t="shared" si="32"/>
        <v/>
      </c>
      <c r="N1084" t="str">
        <f t="shared" si="33"/>
        <v/>
      </c>
    </row>
    <row r="1085" spans="12:14" x14ac:dyDescent="0.3">
      <c r="L1085" t="str">
        <f t="shared" si="32"/>
        <v/>
      </c>
      <c r="N1085" t="str">
        <f t="shared" si="33"/>
        <v/>
      </c>
    </row>
    <row r="1086" spans="12:14" x14ac:dyDescent="0.3">
      <c r="L1086" t="str">
        <f t="shared" si="32"/>
        <v/>
      </c>
      <c r="N1086" t="str">
        <f t="shared" si="33"/>
        <v/>
      </c>
    </row>
    <row r="1087" spans="12:14" x14ac:dyDescent="0.3">
      <c r="L1087" t="str">
        <f t="shared" si="32"/>
        <v/>
      </c>
      <c r="N1087" t="str">
        <f t="shared" si="33"/>
        <v/>
      </c>
    </row>
    <row r="1088" spans="12:14" x14ac:dyDescent="0.3">
      <c r="L1088" t="str">
        <f t="shared" si="32"/>
        <v/>
      </c>
      <c r="N1088" t="str">
        <f t="shared" si="33"/>
        <v/>
      </c>
    </row>
    <row r="1089" spans="12:14" x14ac:dyDescent="0.3">
      <c r="L1089" t="str">
        <f t="shared" ref="L1089:L1152" si="34">IF(A1089="","",IF(ISNUMBER(--LEFT(A1089,FIND(" - ",A1089&amp;" - ")-1)),LEFT(A1089,FIND(" - ",A1089&amp;" - ")-1),TRIM(A1089)))</f>
        <v/>
      </c>
      <c r="N1089" t="str">
        <f t="shared" ref="N1089:N1152" si="35">IF(L1089="","",IF(ISNUMBER(INDEX(A1089:H1089,$P$1)),INDEX(A1089:H1089,$P$1),IFERROR(_xlfn.NUMBERVALUE(INDEX(A1089:H1089,$P$1),".",","),0)))</f>
        <v/>
      </c>
    </row>
    <row r="1090" spans="12:14" x14ac:dyDescent="0.3">
      <c r="L1090" t="str">
        <f t="shared" si="34"/>
        <v/>
      </c>
      <c r="N1090" t="str">
        <f t="shared" si="35"/>
        <v/>
      </c>
    </row>
    <row r="1091" spans="12:14" x14ac:dyDescent="0.3">
      <c r="L1091" t="str">
        <f t="shared" si="34"/>
        <v/>
      </c>
      <c r="N1091" t="str">
        <f t="shared" si="35"/>
        <v/>
      </c>
    </row>
    <row r="1092" spans="12:14" x14ac:dyDescent="0.3">
      <c r="L1092" t="str">
        <f t="shared" si="34"/>
        <v/>
      </c>
      <c r="N1092" t="str">
        <f t="shared" si="35"/>
        <v/>
      </c>
    </row>
    <row r="1093" spans="12:14" x14ac:dyDescent="0.3">
      <c r="L1093" t="str">
        <f t="shared" si="34"/>
        <v/>
      </c>
      <c r="N1093" t="str">
        <f t="shared" si="35"/>
        <v/>
      </c>
    </row>
    <row r="1094" spans="12:14" x14ac:dyDescent="0.3">
      <c r="L1094" t="str">
        <f t="shared" si="34"/>
        <v/>
      </c>
      <c r="N1094" t="str">
        <f t="shared" si="35"/>
        <v/>
      </c>
    </row>
    <row r="1095" spans="12:14" x14ac:dyDescent="0.3">
      <c r="L1095" t="str">
        <f t="shared" si="34"/>
        <v/>
      </c>
      <c r="N1095" t="str">
        <f t="shared" si="35"/>
        <v/>
      </c>
    </row>
    <row r="1096" spans="12:14" x14ac:dyDescent="0.3">
      <c r="L1096" t="str">
        <f t="shared" si="34"/>
        <v/>
      </c>
      <c r="N1096" t="str">
        <f t="shared" si="35"/>
        <v/>
      </c>
    </row>
    <row r="1097" spans="12:14" x14ac:dyDescent="0.3">
      <c r="L1097" t="str">
        <f t="shared" si="34"/>
        <v/>
      </c>
      <c r="N1097" t="str">
        <f t="shared" si="35"/>
        <v/>
      </c>
    </row>
    <row r="1098" spans="12:14" x14ac:dyDescent="0.3">
      <c r="L1098" t="str">
        <f t="shared" si="34"/>
        <v/>
      </c>
      <c r="N1098" t="str">
        <f t="shared" si="35"/>
        <v/>
      </c>
    </row>
    <row r="1099" spans="12:14" x14ac:dyDescent="0.3">
      <c r="L1099" t="str">
        <f t="shared" si="34"/>
        <v/>
      </c>
      <c r="N1099" t="str">
        <f t="shared" si="35"/>
        <v/>
      </c>
    </row>
    <row r="1100" spans="12:14" x14ac:dyDescent="0.3">
      <c r="L1100" t="str">
        <f t="shared" si="34"/>
        <v/>
      </c>
      <c r="N1100" t="str">
        <f t="shared" si="35"/>
        <v/>
      </c>
    </row>
    <row r="1101" spans="12:14" x14ac:dyDescent="0.3">
      <c r="L1101" t="str">
        <f t="shared" si="34"/>
        <v/>
      </c>
      <c r="N1101" t="str">
        <f t="shared" si="35"/>
        <v/>
      </c>
    </row>
    <row r="1102" spans="12:14" x14ac:dyDescent="0.3">
      <c r="L1102" t="str">
        <f t="shared" si="34"/>
        <v/>
      </c>
      <c r="N1102" t="str">
        <f t="shared" si="35"/>
        <v/>
      </c>
    </row>
    <row r="1103" spans="12:14" x14ac:dyDescent="0.3">
      <c r="L1103" t="str">
        <f t="shared" si="34"/>
        <v/>
      </c>
      <c r="N1103" t="str">
        <f t="shared" si="35"/>
        <v/>
      </c>
    </row>
    <row r="1104" spans="12:14" x14ac:dyDescent="0.3">
      <c r="L1104" t="str">
        <f t="shared" si="34"/>
        <v/>
      </c>
      <c r="N1104" t="str">
        <f t="shared" si="35"/>
        <v/>
      </c>
    </row>
    <row r="1105" spans="12:14" x14ac:dyDescent="0.3">
      <c r="L1105" t="str">
        <f t="shared" si="34"/>
        <v/>
      </c>
      <c r="N1105" t="str">
        <f t="shared" si="35"/>
        <v/>
      </c>
    </row>
    <row r="1106" spans="12:14" x14ac:dyDescent="0.3">
      <c r="L1106" t="str">
        <f t="shared" si="34"/>
        <v/>
      </c>
      <c r="N1106" t="str">
        <f t="shared" si="35"/>
        <v/>
      </c>
    </row>
    <row r="1107" spans="12:14" x14ac:dyDescent="0.3">
      <c r="L1107" t="str">
        <f t="shared" si="34"/>
        <v/>
      </c>
      <c r="N1107" t="str">
        <f t="shared" si="35"/>
        <v/>
      </c>
    </row>
    <row r="1108" spans="12:14" x14ac:dyDescent="0.3">
      <c r="L1108" t="str">
        <f t="shared" si="34"/>
        <v/>
      </c>
      <c r="N1108" t="str">
        <f t="shared" si="35"/>
        <v/>
      </c>
    </row>
    <row r="1109" spans="12:14" x14ac:dyDescent="0.3">
      <c r="L1109" t="str">
        <f t="shared" si="34"/>
        <v/>
      </c>
      <c r="N1109" t="str">
        <f t="shared" si="35"/>
        <v/>
      </c>
    </row>
    <row r="1110" spans="12:14" x14ac:dyDescent="0.3">
      <c r="L1110" t="str">
        <f t="shared" si="34"/>
        <v/>
      </c>
      <c r="N1110" t="str">
        <f t="shared" si="35"/>
        <v/>
      </c>
    </row>
    <row r="1111" spans="12:14" x14ac:dyDescent="0.3">
      <c r="L1111" t="str">
        <f t="shared" si="34"/>
        <v/>
      </c>
      <c r="N1111" t="str">
        <f t="shared" si="35"/>
        <v/>
      </c>
    </row>
    <row r="1112" spans="12:14" x14ac:dyDescent="0.3">
      <c r="L1112" t="str">
        <f t="shared" si="34"/>
        <v/>
      </c>
      <c r="N1112" t="str">
        <f t="shared" si="35"/>
        <v/>
      </c>
    </row>
    <row r="1113" spans="12:14" x14ac:dyDescent="0.3">
      <c r="L1113" t="str">
        <f t="shared" si="34"/>
        <v/>
      </c>
      <c r="N1113" t="str">
        <f t="shared" si="35"/>
        <v/>
      </c>
    </row>
    <row r="1114" spans="12:14" x14ac:dyDescent="0.3">
      <c r="L1114" t="str">
        <f t="shared" si="34"/>
        <v/>
      </c>
      <c r="N1114" t="str">
        <f t="shared" si="35"/>
        <v/>
      </c>
    </row>
    <row r="1115" spans="12:14" x14ac:dyDescent="0.3">
      <c r="L1115" t="str">
        <f t="shared" si="34"/>
        <v/>
      </c>
      <c r="N1115" t="str">
        <f t="shared" si="35"/>
        <v/>
      </c>
    </row>
    <row r="1116" spans="12:14" x14ac:dyDescent="0.3">
      <c r="L1116" t="str">
        <f t="shared" si="34"/>
        <v/>
      </c>
      <c r="N1116" t="str">
        <f t="shared" si="35"/>
        <v/>
      </c>
    </row>
    <row r="1117" spans="12:14" x14ac:dyDescent="0.3">
      <c r="L1117" t="str">
        <f t="shared" si="34"/>
        <v/>
      </c>
      <c r="N1117" t="str">
        <f t="shared" si="35"/>
        <v/>
      </c>
    </row>
    <row r="1118" spans="12:14" x14ac:dyDescent="0.3">
      <c r="L1118" t="str">
        <f t="shared" si="34"/>
        <v/>
      </c>
      <c r="N1118" t="str">
        <f t="shared" si="35"/>
        <v/>
      </c>
    </row>
    <row r="1119" spans="12:14" x14ac:dyDescent="0.3">
      <c r="L1119" t="str">
        <f t="shared" si="34"/>
        <v/>
      </c>
      <c r="N1119" t="str">
        <f t="shared" si="35"/>
        <v/>
      </c>
    </row>
    <row r="1120" spans="12:14" x14ac:dyDescent="0.3">
      <c r="L1120" t="str">
        <f t="shared" si="34"/>
        <v/>
      </c>
      <c r="N1120" t="str">
        <f t="shared" si="35"/>
        <v/>
      </c>
    </row>
    <row r="1121" spans="12:14" x14ac:dyDescent="0.3">
      <c r="L1121" t="str">
        <f t="shared" si="34"/>
        <v/>
      </c>
      <c r="N1121" t="str">
        <f t="shared" si="35"/>
        <v/>
      </c>
    </row>
    <row r="1122" spans="12:14" x14ac:dyDescent="0.3">
      <c r="L1122" t="str">
        <f t="shared" si="34"/>
        <v/>
      </c>
      <c r="N1122" t="str">
        <f t="shared" si="35"/>
        <v/>
      </c>
    </row>
    <row r="1123" spans="12:14" x14ac:dyDescent="0.3">
      <c r="L1123" t="str">
        <f t="shared" si="34"/>
        <v/>
      </c>
      <c r="N1123" t="str">
        <f t="shared" si="35"/>
        <v/>
      </c>
    </row>
    <row r="1124" spans="12:14" x14ac:dyDescent="0.3">
      <c r="L1124" t="str">
        <f t="shared" si="34"/>
        <v/>
      </c>
      <c r="N1124" t="str">
        <f t="shared" si="35"/>
        <v/>
      </c>
    </row>
    <row r="1125" spans="12:14" x14ac:dyDescent="0.3">
      <c r="L1125" t="str">
        <f t="shared" si="34"/>
        <v/>
      </c>
      <c r="N1125" t="str">
        <f t="shared" si="35"/>
        <v/>
      </c>
    </row>
    <row r="1126" spans="12:14" x14ac:dyDescent="0.3">
      <c r="L1126" t="str">
        <f t="shared" si="34"/>
        <v/>
      </c>
      <c r="N1126" t="str">
        <f t="shared" si="35"/>
        <v/>
      </c>
    </row>
    <row r="1127" spans="12:14" x14ac:dyDescent="0.3">
      <c r="L1127" t="str">
        <f t="shared" si="34"/>
        <v/>
      </c>
      <c r="N1127" t="str">
        <f t="shared" si="35"/>
        <v/>
      </c>
    </row>
    <row r="1128" spans="12:14" x14ac:dyDescent="0.3">
      <c r="L1128" t="str">
        <f t="shared" si="34"/>
        <v/>
      </c>
      <c r="N1128" t="str">
        <f t="shared" si="35"/>
        <v/>
      </c>
    </row>
    <row r="1129" spans="12:14" x14ac:dyDescent="0.3">
      <c r="L1129" t="str">
        <f t="shared" si="34"/>
        <v/>
      </c>
      <c r="N1129" t="str">
        <f t="shared" si="35"/>
        <v/>
      </c>
    </row>
    <row r="1130" spans="12:14" x14ac:dyDescent="0.3">
      <c r="L1130" t="str">
        <f t="shared" si="34"/>
        <v/>
      </c>
      <c r="N1130" t="str">
        <f t="shared" si="35"/>
        <v/>
      </c>
    </row>
    <row r="1131" spans="12:14" x14ac:dyDescent="0.3">
      <c r="L1131" t="str">
        <f t="shared" si="34"/>
        <v/>
      </c>
      <c r="N1131" t="str">
        <f t="shared" si="35"/>
        <v/>
      </c>
    </row>
    <row r="1132" spans="12:14" x14ac:dyDescent="0.3">
      <c r="L1132" t="str">
        <f t="shared" si="34"/>
        <v/>
      </c>
      <c r="N1132" t="str">
        <f t="shared" si="35"/>
        <v/>
      </c>
    </row>
    <row r="1133" spans="12:14" x14ac:dyDescent="0.3">
      <c r="L1133" t="str">
        <f t="shared" si="34"/>
        <v/>
      </c>
      <c r="N1133" t="str">
        <f t="shared" si="35"/>
        <v/>
      </c>
    </row>
    <row r="1134" spans="12:14" x14ac:dyDescent="0.3">
      <c r="L1134" t="str">
        <f t="shared" si="34"/>
        <v/>
      </c>
      <c r="N1134" t="str">
        <f t="shared" si="35"/>
        <v/>
      </c>
    </row>
    <row r="1135" spans="12:14" x14ac:dyDescent="0.3">
      <c r="L1135" t="str">
        <f t="shared" si="34"/>
        <v/>
      </c>
      <c r="N1135" t="str">
        <f t="shared" si="35"/>
        <v/>
      </c>
    </row>
    <row r="1136" spans="12:14" x14ac:dyDescent="0.3">
      <c r="L1136" t="str">
        <f t="shared" si="34"/>
        <v/>
      </c>
      <c r="N1136" t="str">
        <f t="shared" si="35"/>
        <v/>
      </c>
    </row>
    <row r="1137" spans="12:14" x14ac:dyDescent="0.3">
      <c r="L1137" t="str">
        <f t="shared" si="34"/>
        <v/>
      </c>
      <c r="N1137" t="str">
        <f t="shared" si="35"/>
        <v/>
      </c>
    </row>
    <row r="1138" spans="12:14" x14ac:dyDescent="0.3">
      <c r="L1138" t="str">
        <f t="shared" si="34"/>
        <v/>
      </c>
      <c r="N1138" t="str">
        <f t="shared" si="35"/>
        <v/>
      </c>
    </row>
    <row r="1139" spans="12:14" x14ac:dyDescent="0.3">
      <c r="L1139" t="str">
        <f t="shared" si="34"/>
        <v/>
      </c>
      <c r="N1139" t="str">
        <f t="shared" si="35"/>
        <v/>
      </c>
    </row>
    <row r="1140" spans="12:14" x14ac:dyDescent="0.3">
      <c r="L1140" t="str">
        <f t="shared" si="34"/>
        <v/>
      </c>
      <c r="N1140" t="str">
        <f t="shared" si="35"/>
        <v/>
      </c>
    </row>
    <row r="1141" spans="12:14" x14ac:dyDescent="0.3">
      <c r="L1141" t="str">
        <f t="shared" si="34"/>
        <v/>
      </c>
      <c r="N1141" t="str">
        <f t="shared" si="35"/>
        <v/>
      </c>
    </row>
    <row r="1142" spans="12:14" x14ac:dyDescent="0.3">
      <c r="L1142" t="str">
        <f t="shared" si="34"/>
        <v/>
      </c>
      <c r="N1142" t="str">
        <f t="shared" si="35"/>
        <v/>
      </c>
    </row>
    <row r="1143" spans="12:14" x14ac:dyDescent="0.3">
      <c r="L1143" t="str">
        <f t="shared" si="34"/>
        <v/>
      </c>
      <c r="N1143" t="str">
        <f t="shared" si="35"/>
        <v/>
      </c>
    </row>
    <row r="1144" spans="12:14" x14ac:dyDescent="0.3">
      <c r="L1144" t="str">
        <f t="shared" si="34"/>
        <v/>
      </c>
      <c r="N1144" t="str">
        <f t="shared" si="35"/>
        <v/>
      </c>
    </row>
    <row r="1145" spans="12:14" x14ac:dyDescent="0.3">
      <c r="L1145" t="str">
        <f t="shared" si="34"/>
        <v/>
      </c>
      <c r="N1145" t="str">
        <f t="shared" si="35"/>
        <v/>
      </c>
    </row>
    <row r="1146" spans="12:14" x14ac:dyDescent="0.3">
      <c r="L1146" t="str">
        <f t="shared" si="34"/>
        <v/>
      </c>
      <c r="N1146" t="str">
        <f t="shared" si="35"/>
        <v/>
      </c>
    </row>
    <row r="1147" spans="12:14" x14ac:dyDescent="0.3">
      <c r="L1147" t="str">
        <f t="shared" si="34"/>
        <v/>
      </c>
      <c r="N1147" t="str">
        <f t="shared" si="35"/>
        <v/>
      </c>
    </row>
    <row r="1148" spans="12:14" x14ac:dyDescent="0.3">
      <c r="L1148" t="str">
        <f t="shared" si="34"/>
        <v/>
      </c>
      <c r="N1148" t="str">
        <f t="shared" si="35"/>
        <v/>
      </c>
    </row>
    <row r="1149" spans="12:14" x14ac:dyDescent="0.3">
      <c r="L1149" t="str">
        <f t="shared" si="34"/>
        <v/>
      </c>
      <c r="N1149" t="str">
        <f t="shared" si="35"/>
        <v/>
      </c>
    </row>
    <row r="1150" spans="12:14" x14ac:dyDescent="0.3">
      <c r="L1150" t="str">
        <f t="shared" si="34"/>
        <v/>
      </c>
      <c r="N1150" t="str">
        <f t="shared" si="35"/>
        <v/>
      </c>
    </row>
    <row r="1151" spans="12:14" x14ac:dyDescent="0.3">
      <c r="L1151" t="str">
        <f t="shared" si="34"/>
        <v/>
      </c>
      <c r="N1151" t="str">
        <f t="shared" si="35"/>
        <v/>
      </c>
    </row>
    <row r="1152" spans="12:14" x14ac:dyDescent="0.3">
      <c r="L1152" t="str">
        <f t="shared" si="34"/>
        <v/>
      </c>
      <c r="N1152" t="str">
        <f t="shared" si="35"/>
        <v/>
      </c>
    </row>
    <row r="1153" spans="12:14" x14ac:dyDescent="0.3">
      <c r="L1153" t="str">
        <f t="shared" ref="L1153:L1216" si="36">IF(A1153="","",IF(ISNUMBER(--LEFT(A1153,FIND(" - ",A1153&amp;" - ")-1)),LEFT(A1153,FIND(" - ",A1153&amp;" - ")-1),TRIM(A1153)))</f>
        <v/>
      </c>
      <c r="N1153" t="str">
        <f t="shared" ref="N1153:N1216" si="37">IF(L1153="","",IF(ISNUMBER(INDEX(A1153:H1153,$P$1)),INDEX(A1153:H1153,$P$1),IFERROR(_xlfn.NUMBERVALUE(INDEX(A1153:H1153,$P$1),".",","),0)))</f>
        <v/>
      </c>
    </row>
    <row r="1154" spans="12:14" x14ac:dyDescent="0.3">
      <c r="L1154" t="str">
        <f t="shared" si="36"/>
        <v/>
      </c>
      <c r="N1154" t="str">
        <f t="shared" si="37"/>
        <v/>
      </c>
    </row>
    <row r="1155" spans="12:14" x14ac:dyDescent="0.3">
      <c r="L1155" t="str">
        <f t="shared" si="36"/>
        <v/>
      </c>
      <c r="N1155" t="str">
        <f t="shared" si="37"/>
        <v/>
      </c>
    </row>
    <row r="1156" spans="12:14" x14ac:dyDescent="0.3">
      <c r="L1156" t="str">
        <f t="shared" si="36"/>
        <v/>
      </c>
      <c r="N1156" t="str">
        <f t="shared" si="37"/>
        <v/>
      </c>
    </row>
    <row r="1157" spans="12:14" x14ac:dyDescent="0.3">
      <c r="L1157" t="str">
        <f t="shared" si="36"/>
        <v/>
      </c>
      <c r="N1157" t="str">
        <f t="shared" si="37"/>
        <v/>
      </c>
    </row>
    <row r="1158" spans="12:14" x14ac:dyDescent="0.3">
      <c r="L1158" t="str">
        <f t="shared" si="36"/>
        <v/>
      </c>
      <c r="N1158" t="str">
        <f t="shared" si="37"/>
        <v/>
      </c>
    </row>
    <row r="1159" spans="12:14" x14ac:dyDescent="0.3">
      <c r="L1159" t="str">
        <f t="shared" si="36"/>
        <v/>
      </c>
      <c r="N1159" t="str">
        <f t="shared" si="37"/>
        <v/>
      </c>
    </row>
    <row r="1160" spans="12:14" x14ac:dyDescent="0.3">
      <c r="L1160" t="str">
        <f t="shared" si="36"/>
        <v/>
      </c>
      <c r="N1160" t="str">
        <f t="shared" si="37"/>
        <v/>
      </c>
    </row>
    <row r="1161" spans="12:14" x14ac:dyDescent="0.3">
      <c r="L1161" t="str">
        <f t="shared" si="36"/>
        <v/>
      </c>
      <c r="N1161" t="str">
        <f t="shared" si="37"/>
        <v/>
      </c>
    </row>
    <row r="1162" spans="12:14" x14ac:dyDescent="0.3">
      <c r="L1162" t="str">
        <f t="shared" si="36"/>
        <v/>
      </c>
      <c r="N1162" t="str">
        <f t="shared" si="37"/>
        <v/>
      </c>
    </row>
    <row r="1163" spans="12:14" x14ac:dyDescent="0.3">
      <c r="L1163" t="str">
        <f t="shared" si="36"/>
        <v/>
      </c>
      <c r="N1163" t="str">
        <f t="shared" si="37"/>
        <v/>
      </c>
    </row>
    <row r="1164" spans="12:14" x14ac:dyDescent="0.3">
      <c r="L1164" t="str">
        <f t="shared" si="36"/>
        <v/>
      </c>
      <c r="N1164" t="str">
        <f t="shared" si="37"/>
        <v/>
      </c>
    </row>
    <row r="1165" spans="12:14" x14ac:dyDescent="0.3">
      <c r="L1165" t="str">
        <f t="shared" si="36"/>
        <v/>
      </c>
      <c r="N1165" t="str">
        <f t="shared" si="37"/>
        <v/>
      </c>
    </row>
    <row r="1166" spans="12:14" x14ac:dyDescent="0.3">
      <c r="L1166" t="str">
        <f t="shared" si="36"/>
        <v/>
      </c>
      <c r="N1166" t="str">
        <f t="shared" si="37"/>
        <v/>
      </c>
    </row>
    <row r="1167" spans="12:14" x14ac:dyDescent="0.3">
      <c r="L1167" t="str">
        <f t="shared" si="36"/>
        <v/>
      </c>
      <c r="N1167" t="str">
        <f t="shared" si="37"/>
        <v/>
      </c>
    </row>
    <row r="1168" spans="12:14" x14ac:dyDescent="0.3">
      <c r="L1168" t="str">
        <f t="shared" si="36"/>
        <v/>
      </c>
      <c r="N1168" t="str">
        <f t="shared" si="37"/>
        <v/>
      </c>
    </row>
    <row r="1169" spans="12:14" x14ac:dyDescent="0.3">
      <c r="L1169" t="str">
        <f t="shared" si="36"/>
        <v/>
      </c>
      <c r="N1169" t="str">
        <f t="shared" si="37"/>
        <v/>
      </c>
    </row>
    <row r="1170" spans="12:14" x14ac:dyDescent="0.3">
      <c r="L1170" t="str">
        <f t="shared" si="36"/>
        <v/>
      </c>
      <c r="N1170" t="str">
        <f t="shared" si="37"/>
        <v/>
      </c>
    </row>
    <row r="1171" spans="12:14" x14ac:dyDescent="0.3">
      <c r="L1171" t="str">
        <f t="shared" si="36"/>
        <v/>
      </c>
      <c r="N1171" t="str">
        <f t="shared" si="37"/>
        <v/>
      </c>
    </row>
    <row r="1172" spans="12:14" x14ac:dyDescent="0.3">
      <c r="L1172" t="str">
        <f t="shared" si="36"/>
        <v/>
      </c>
      <c r="N1172" t="str">
        <f t="shared" si="37"/>
        <v/>
      </c>
    </row>
    <row r="1173" spans="12:14" x14ac:dyDescent="0.3">
      <c r="L1173" t="str">
        <f t="shared" si="36"/>
        <v/>
      </c>
      <c r="N1173" t="str">
        <f t="shared" si="37"/>
        <v/>
      </c>
    </row>
    <row r="1174" spans="12:14" x14ac:dyDescent="0.3">
      <c r="L1174" t="str">
        <f t="shared" si="36"/>
        <v/>
      </c>
      <c r="N1174" t="str">
        <f t="shared" si="37"/>
        <v/>
      </c>
    </row>
    <row r="1175" spans="12:14" x14ac:dyDescent="0.3">
      <c r="L1175" t="str">
        <f t="shared" si="36"/>
        <v/>
      </c>
      <c r="N1175" t="str">
        <f t="shared" si="37"/>
        <v/>
      </c>
    </row>
    <row r="1176" spans="12:14" x14ac:dyDescent="0.3">
      <c r="L1176" t="str">
        <f t="shared" si="36"/>
        <v/>
      </c>
      <c r="N1176" t="str">
        <f t="shared" si="37"/>
        <v/>
      </c>
    </row>
    <row r="1177" spans="12:14" x14ac:dyDescent="0.3">
      <c r="L1177" t="str">
        <f t="shared" si="36"/>
        <v/>
      </c>
      <c r="N1177" t="str">
        <f t="shared" si="37"/>
        <v/>
      </c>
    </row>
    <row r="1178" spans="12:14" x14ac:dyDescent="0.3">
      <c r="L1178" t="str">
        <f t="shared" si="36"/>
        <v/>
      </c>
      <c r="N1178" t="str">
        <f t="shared" si="37"/>
        <v/>
      </c>
    </row>
    <row r="1179" spans="12:14" x14ac:dyDescent="0.3">
      <c r="L1179" t="str">
        <f t="shared" si="36"/>
        <v/>
      </c>
      <c r="N1179" t="str">
        <f t="shared" si="37"/>
        <v/>
      </c>
    </row>
    <row r="1180" spans="12:14" x14ac:dyDescent="0.3">
      <c r="L1180" t="str">
        <f t="shared" si="36"/>
        <v/>
      </c>
      <c r="N1180" t="str">
        <f t="shared" si="37"/>
        <v/>
      </c>
    </row>
    <row r="1181" spans="12:14" x14ac:dyDescent="0.3">
      <c r="L1181" t="str">
        <f t="shared" si="36"/>
        <v/>
      </c>
      <c r="N1181" t="str">
        <f t="shared" si="37"/>
        <v/>
      </c>
    </row>
    <row r="1182" spans="12:14" x14ac:dyDescent="0.3">
      <c r="L1182" t="str">
        <f t="shared" si="36"/>
        <v/>
      </c>
      <c r="N1182" t="str">
        <f t="shared" si="37"/>
        <v/>
      </c>
    </row>
    <row r="1183" spans="12:14" x14ac:dyDescent="0.3">
      <c r="L1183" t="str">
        <f t="shared" si="36"/>
        <v/>
      </c>
      <c r="N1183" t="str">
        <f t="shared" si="37"/>
        <v/>
      </c>
    </row>
    <row r="1184" spans="12:14" x14ac:dyDescent="0.3">
      <c r="L1184" t="str">
        <f t="shared" si="36"/>
        <v/>
      </c>
      <c r="N1184" t="str">
        <f t="shared" si="37"/>
        <v/>
      </c>
    </row>
    <row r="1185" spans="12:14" x14ac:dyDescent="0.3">
      <c r="L1185" t="str">
        <f t="shared" si="36"/>
        <v/>
      </c>
      <c r="N1185" t="str">
        <f t="shared" si="37"/>
        <v/>
      </c>
    </row>
    <row r="1186" spans="12:14" x14ac:dyDescent="0.3">
      <c r="L1186" t="str">
        <f t="shared" si="36"/>
        <v/>
      </c>
      <c r="N1186" t="str">
        <f t="shared" si="37"/>
        <v/>
      </c>
    </row>
    <row r="1187" spans="12:14" x14ac:dyDescent="0.3">
      <c r="L1187" t="str">
        <f t="shared" si="36"/>
        <v/>
      </c>
      <c r="N1187" t="str">
        <f t="shared" si="37"/>
        <v/>
      </c>
    </row>
    <row r="1188" spans="12:14" x14ac:dyDescent="0.3">
      <c r="L1188" t="str">
        <f t="shared" si="36"/>
        <v/>
      </c>
      <c r="N1188" t="str">
        <f t="shared" si="37"/>
        <v/>
      </c>
    </row>
    <row r="1189" spans="12:14" x14ac:dyDescent="0.3">
      <c r="L1189" t="str">
        <f t="shared" si="36"/>
        <v/>
      </c>
      <c r="N1189" t="str">
        <f t="shared" si="37"/>
        <v/>
      </c>
    </row>
    <row r="1190" spans="12:14" x14ac:dyDescent="0.3">
      <c r="L1190" t="str">
        <f t="shared" si="36"/>
        <v/>
      </c>
      <c r="N1190" t="str">
        <f t="shared" si="37"/>
        <v/>
      </c>
    </row>
    <row r="1191" spans="12:14" x14ac:dyDescent="0.3">
      <c r="L1191" t="str">
        <f t="shared" si="36"/>
        <v/>
      </c>
      <c r="N1191" t="str">
        <f t="shared" si="37"/>
        <v/>
      </c>
    </row>
    <row r="1192" spans="12:14" x14ac:dyDescent="0.3">
      <c r="L1192" t="str">
        <f t="shared" si="36"/>
        <v/>
      </c>
      <c r="N1192" t="str">
        <f t="shared" si="37"/>
        <v/>
      </c>
    </row>
    <row r="1193" spans="12:14" x14ac:dyDescent="0.3">
      <c r="L1193" t="str">
        <f t="shared" si="36"/>
        <v/>
      </c>
      <c r="N1193" t="str">
        <f t="shared" si="37"/>
        <v/>
      </c>
    </row>
    <row r="1194" spans="12:14" x14ac:dyDescent="0.3">
      <c r="L1194" t="str">
        <f t="shared" si="36"/>
        <v/>
      </c>
      <c r="N1194" t="str">
        <f t="shared" si="37"/>
        <v/>
      </c>
    </row>
    <row r="1195" spans="12:14" x14ac:dyDescent="0.3">
      <c r="L1195" t="str">
        <f t="shared" si="36"/>
        <v/>
      </c>
      <c r="N1195" t="str">
        <f t="shared" si="37"/>
        <v/>
      </c>
    </row>
    <row r="1196" spans="12:14" x14ac:dyDescent="0.3">
      <c r="L1196" t="str">
        <f t="shared" si="36"/>
        <v/>
      </c>
      <c r="N1196" t="str">
        <f t="shared" si="37"/>
        <v/>
      </c>
    </row>
    <row r="1197" spans="12:14" x14ac:dyDescent="0.3">
      <c r="L1197" t="str">
        <f t="shared" si="36"/>
        <v/>
      </c>
      <c r="N1197" t="str">
        <f t="shared" si="37"/>
        <v/>
      </c>
    </row>
    <row r="1198" spans="12:14" x14ac:dyDescent="0.3">
      <c r="L1198" t="str">
        <f t="shared" si="36"/>
        <v/>
      </c>
      <c r="N1198" t="str">
        <f t="shared" si="37"/>
        <v/>
      </c>
    </row>
    <row r="1199" spans="12:14" x14ac:dyDescent="0.3">
      <c r="L1199" t="str">
        <f t="shared" si="36"/>
        <v/>
      </c>
      <c r="N1199" t="str">
        <f t="shared" si="37"/>
        <v/>
      </c>
    </row>
    <row r="1200" spans="12:14" x14ac:dyDescent="0.3">
      <c r="L1200" t="str">
        <f t="shared" si="36"/>
        <v/>
      </c>
      <c r="N1200" t="str">
        <f t="shared" si="37"/>
        <v/>
      </c>
    </row>
    <row r="1201" spans="12:14" x14ac:dyDescent="0.3">
      <c r="L1201" t="str">
        <f t="shared" si="36"/>
        <v/>
      </c>
      <c r="N1201" t="str">
        <f t="shared" si="37"/>
        <v/>
      </c>
    </row>
    <row r="1202" spans="12:14" x14ac:dyDescent="0.3">
      <c r="L1202" t="str">
        <f t="shared" si="36"/>
        <v/>
      </c>
      <c r="N1202" t="str">
        <f t="shared" si="37"/>
        <v/>
      </c>
    </row>
    <row r="1203" spans="12:14" x14ac:dyDescent="0.3">
      <c r="L1203" t="str">
        <f t="shared" si="36"/>
        <v/>
      </c>
      <c r="N1203" t="str">
        <f t="shared" si="37"/>
        <v/>
      </c>
    </row>
    <row r="1204" spans="12:14" x14ac:dyDescent="0.3">
      <c r="L1204" t="str">
        <f t="shared" si="36"/>
        <v/>
      </c>
      <c r="N1204" t="str">
        <f t="shared" si="37"/>
        <v/>
      </c>
    </row>
    <row r="1205" spans="12:14" x14ac:dyDescent="0.3">
      <c r="L1205" t="str">
        <f t="shared" si="36"/>
        <v/>
      </c>
      <c r="N1205" t="str">
        <f t="shared" si="37"/>
        <v/>
      </c>
    </row>
    <row r="1206" spans="12:14" x14ac:dyDescent="0.3">
      <c r="L1206" t="str">
        <f t="shared" si="36"/>
        <v/>
      </c>
      <c r="N1206" t="str">
        <f t="shared" si="37"/>
        <v/>
      </c>
    </row>
    <row r="1207" spans="12:14" x14ac:dyDescent="0.3">
      <c r="L1207" t="str">
        <f t="shared" si="36"/>
        <v/>
      </c>
      <c r="N1207" t="str">
        <f t="shared" si="37"/>
        <v/>
      </c>
    </row>
    <row r="1208" spans="12:14" x14ac:dyDescent="0.3">
      <c r="L1208" t="str">
        <f t="shared" si="36"/>
        <v/>
      </c>
      <c r="N1208" t="str">
        <f t="shared" si="37"/>
        <v/>
      </c>
    </row>
    <row r="1209" spans="12:14" x14ac:dyDescent="0.3">
      <c r="L1209" t="str">
        <f t="shared" si="36"/>
        <v/>
      </c>
      <c r="N1209" t="str">
        <f t="shared" si="37"/>
        <v/>
      </c>
    </row>
    <row r="1210" spans="12:14" x14ac:dyDescent="0.3">
      <c r="L1210" t="str">
        <f t="shared" si="36"/>
        <v/>
      </c>
      <c r="N1210" t="str">
        <f t="shared" si="37"/>
        <v/>
      </c>
    </row>
    <row r="1211" spans="12:14" x14ac:dyDescent="0.3">
      <c r="L1211" t="str">
        <f t="shared" si="36"/>
        <v/>
      </c>
      <c r="N1211" t="str">
        <f t="shared" si="37"/>
        <v/>
      </c>
    </row>
    <row r="1212" spans="12:14" x14ac:dyDescent="0.3">
      <c r="L1212" t="str">
        <f t="shared" si="36"/>
        <v/>
      </c>
      <c r="N1212" t="str">
        <f t="shared" si="37"/>
        <v/>
      </c>
    </row>
    <row r="1213" spans="12:14" x14ac:dyDescent="0.3">
      <c r="L1213" t="str">
        <f t="shared" si="36"/>
        <v/>
      </c>
      <c r="N1213" t="str">
        <f t="shared" si="37"/>
        <v/>
      </c>
    </row>
    <row r="1214" spans="12:14" x14ac:dyDescent="0.3">
      <c r="L1214" t="str">
        <f t="shared" si="36"/>
        <v/>
      </c>
      <c r="N1214" t="str">
        <f t="shared" si="37"/>
        <v/>
      </c>
    </row>
    <row r="1215" spans="12:14" x14ac:dyDescent="0.3">
      <c r="L1215" t="str">
        <f t="shared" si="36"/>
        <v/>
      </c>
      <c r="N1215" t="str">
        <f t="shared" si="37"/>
        <v/>
      </c>
    </row>
    <row r="1216" spans="12:14" x14ac:dyDescent="0.3">
      <c r="L1216" t="str">
        <f t="shared" si="36"/>
        <v/>
      </c>
      <c r="N1216" t="str">
        <f t="shared" si="37"/>
        <v/>
      </c>
    </row>
    <row r="1217" spans="12:14" x14ac:dyDescent="0.3">
      <c r="L1217" t="str">
        <f t="shared" ref="L1217:L1280" si="38">IF(A1217="","",IF(ISNUMBER(--LEFT(A1217,FIND(" - ",A1217&amp;" - ")-1)),LEFT(A1217,FIND(" - ",A1217&amp;" - ")-1),TRIM(A1217)))</f>
        <v/>
      </c>
      <c r="N1217" t="str">
        <f t="shared" ref="N1217:N1280" si="39">IF(L1217="","",IF(ISNUMBER(INDEX(A1217:H1217,$P$1)),INDEX(A1217:H1217,$P$1),IFERROR(_xlfn.NUMBERVALUE(INDEX(A1217:H1217,$P$1),".",","),0)))</f>
        <v/>
      </c>
    </row>
    <row r="1218" spans="12:14" x14ac:dyDescent="0.3">
      <c r="L1218" t="str">
        <f t="shared" si="38"/>
        <v/>
      </c>
      <c r="N1218" t="str">
        <f t="shared" si="39"/>
        <v/>
      </c>
    </row>
    <row r="1219" spans="12:14" x14ac:dyDescent="0.3">
      <c r="L1219" t="str">
        <f t="shared" si="38"/>
        <v/>
      </c>
      <c r="N1219" t="str">
        <f t="shared" si="39"/>
        <v/>
      </c>
    </row>
    <row r="1220" spans="12:14" x14ac:dyDescent="0.3">
      <c r="L1220" t="str">
        <f t="shared" si="38"/>
        <v/>
      </c>
      <c r="N1220" t="str">
        <f t="shared" si="39"/>
        <v/>
      </c>
    </row>
    <row r="1221" spans="12:14" x14ac:dyDescent="0.3">
      <c r="L1221" t="str">
        <f t="shared" si="38"/>
        <v/>
      </c>
      <c r="N1221" t="str">
        <f t="shared" si="39"/>
        <v/>
      </c>
    </row>
    <row r="1222" spans="12:14" x14ac:dyDescent="0.3">
      <c r="L1222" t="str">
        <f t="shared" si="38"/>
        <v/>
      </c>
      <c r="N1222" t="str">
        <f t="shared" si="39"/>
        <v/>
      </c>
    </row>
    <row r="1223" spans="12:14" x14ac:dyDescent="0.3">
      <c r="L1223" t="str">
        <f t="shared" si="38"/>
        <v/>
      </c>
      <c r="N1223" t="str">
        <f t="shared" si="39"/>
        <v/>
      </c>
    </row>
    <row r="1224" spans="12:14" x14ac:dyDescent="0.3">
      <c r="L1224" t="str">
        <f t="shared" si="38"/>
        <v/>
      </c>
      <c r="N1224" t="str">
        <f t="shared" si="39"/>
        <v/>
      </c>
    </row>
    <row r="1225" spans="12:14" x14ac:dyDescent="0.3">
      <c r="L1225" t="str">
        <f t="shared" si="38"/>
        <v/>
      </c>
      <c r="N1225" t="str">
        <f t="shared" si="39"/>
        <v/>
      </c>
    </row>
    <row r="1226" spans="12:14" x14ac:dyDescent="0.3">
      <c r="L1226" t="str">
        <f t="shared" si="38"/>
        <v/>
      </c>
      <c r="N1226" t="str">
        <f t="shared" si="39"/>
        <v/>
      </c>
    </row>
    <row r="1227" spans="12:14" x14ac:dyDescent="0.3">
      <c r="L1227" t="str">
        <f t="shared" si="38"/>
        <v/>
      </c>
      <c r="N1227" t="str">
        <f t="shared" si="39"/>
        <v/>
      </c>
    </row>
    <row r="1228" spans="12:14" x14ac:dyDescent="0.3">
      <c r="L1228" t="str">
        <f t="shared" si="38"/>
        <v/>
      </c>
      <c r="N1228" t="str">
        <f t="shared" si="39"/>
        <v/>
      </c>
    </row>
    <row r="1229" spans="12:14" x14ac:dyDescent="0.3">
      <c r="L1229" t="str">
        <f t="shared" si="38"/>
        <v/>
      </c>
      <c r="N1229" t="str">
        <f t="shared" si="39"/>
        <v/>
      </c>
    </row>
    <row r="1230" spans="12:14" x14ac:dyDescent="0.3">
      <c r="L1230" t="str">
        <f t="shared" si="38"/>
        <v/>
      </c>
      <c r="N1230" t="str">
        <f t="shared" si="39"/>
        <v/>
      </c>
    </row>
    <row r="1231" spans="12:14" x14ac:dyDescent="0.3">
      <c r="L1231" t="str">
        <f t="shared" si="38"/>
        <v/>
      </c>
      <c r="N1231" t="str">
        <f t="shared" si="39"/>
        <v/>
      </c>
    </row>
    <row r="1232" spans="12:14" x14ac:dyDescent="0.3">
      <c r="L1232" t="str">
        <f t="shared" si="38"/>
        <v/>
      </c>
      <c r="N1232" t="str">
        <f t="shared" si="39"/>
        <v/>
      </c>
    </row>
    <row r="1233" spans="12:14" x14ac:dyDescent="0.3">
      <c r="L1233" t="str">
        <f t="shared" si="38"/>
        <v/>
      </c>
      <c r="N1233" t="str">
        <f t="shared" si="39"/>
        <v/>
      </c>
    </row>
    <row r="1234" spans="12:14" x14ac:dyDescent="0.3">
      <c r="L1234" t="str">
        <f t="shared" si="38"/>
        <v/>
      </c>
      <c r="N1234" t="str">
        <f t="shared" si="39"/>
        <v/>
      </c>
    </row>
    <row r="1235" spans="12:14" x14ac:dyDescent="0.3">
      <c r="L1235" t="str">
        <f t="shared" si="38"/>
        <v/>
      </c>
      <c r="N1235" t="str">
        <f t="shared" si="39"/>
        <v/>
      </c>
    </row>
    <row r="1236" spans="12:14" x14ac:dyDescent="0.3">
      <c r="L1236" t="str">
        <f t="shared" si="38"/>
        <v/>
      </c>
      <c r="N1236" t="str">
        <f t="shared" si="39"/>
        <v/>
      </c>
    </row>
    <row r="1237" spans="12:14" x14ac:dyDescent="0.3">
      <c r="L1237" t="str">
        <f t="shared" si="38"/>
        <v/>
      </c>
      <c r="N1237" t="str">
        <f t="shared" si="39"/>
        <v/>
      </c>
    </row>
    <row r="1238" spans="12:14" x14ac:dyDescent="0.3">
      <c r="L1238" t="str">
        <f t="shared" si="38"/>
        <v/>
      </c>
      <c r="N1238" t="str">
        <f t="shared" si="39"/>
        <v/>
      </c>
    </row>
    <row r="1239" spans="12:14" x14ac:dyDescent="0.3">
      <c r="L1239" t="str">
        <f t="shared" si="38"/>
        <v/>
      </c>
      <c r="N1239" t="str">
        <f t="shared" si="39"/>
        <v/>
      </c>
    </row>
    <row r="1240" spans="12:14" x14ac:dyDescent="0.3">
      <c r="L1240" t="str">
        <f t="shared" si="38"/>
        <v/>
      </c>
      <c r="N1240" t="str">
        <f t="shared" si="39"/>
        <v/>
      </c>
    </row>
    <row r="1241" spans="12:14" x14ac:dyDescent="0.3">
      <c r="L1241" t="str">
        <f t="shared" si="38"/>
        <v/>
      </c>
      <c r="N1241" t="str">
        <f t="shared" si="39"/>
        <v/>
      </c>
    </row>
    <row r="1242" spans="12:14" x14ac:dyDescent="0.3">
      <c r="L1242" t="str">
        <f t="shared" si="38"/>
        <v/>
      </c>
      <c r="N1242" t="str">
        <f t="shared" si="39"/>
        <v/>
      </c>
    </row>
    <row r="1243" spans="12:14" x14ac:dyDescent="0.3">
      <c r="L1243" t="str">
        <f t="shared" si="38"/>
        <v/>
      </c>
      <c r="N1243" t="str">
        <f t="shared" si="39"/>
        <v/>
      </c>
    </row>
    <row r="1244" spans="12:14" x14ac:dyDescent="0.3">
      <c r="L1244" t="str">
        <f t="shared" si="38"/>
        <v/>
      </c>
      <c r="N1244" t="str">
        <f t="shared" si="39"/>
        <v/>
      </c>
    </row>
    <row r="1245" spans="12:14" x14ac:dyDescent="0.3">
      <c r="L1245" t="str">
        <f t="shared" si="38"/>
        <v/>
      </c>
      <c r="N1245" t="str">
        <f t="shared" si="39"/>
        <v/>
      </c>
    </row>
    <row r="1246" spans="12:14" x14ac:dyDescent="0.3">
      <c r="L1246" t="str">
        <f t="shared" si="38"/>
        <v/>
      </c>
      <c r="N1246" t="str">
        <f t="shared" si="39"/>
        <v/>
      </c>
    </row>
    <row r="1247" spans="12:14" x14ac:dyDescent="0.3">
      <c r="L1247" t="str">
        <f t="shared" si="38"/>
        <v/>
      </c>
      <c r="N1247" t="str">
        <f t="shared" si="39"/>
        <v/>
      </c>
    </row>
    <row r="1248" spans="12:14" x14ac:dyDescent="0.3">
      <c r="L1248" t="str">
        <f t="shared" si="38"/>
        <v/>
      </c>
      <c r="N1248" t="str">
        <f t="shared" si="39"/>
        <v/>
      </c>
    </row>
    <row r="1249" spans="12:14" x14ac:dyDescent="0.3">
      <c r="L1249" t="str">
        <f t="shared" si="38"/>
        <v/>
      </c>
      <c r="N1249" t="str">
        <f t="shared" si="39"/>
        <v/>
      </c>
    </row>
    <row r="1250" spans="12:14" x14ac:dyDescent="0.3">
      <c r="L1250" t="str">
        <f t="shared" si="38"/>
        <v/>
      </c>
      <c r="N1250" t="str">
        <f t="shared" si="39"/>
        <v/>
      </c>
    </row>
    <row r="1251" spans="12:14" x14ac:dyDescent="0.3">
      <c r="L1251" t="str">
        <f t="shared" si="38"/>
        <v/>
      </c>
      <c r="N1251" t="str">
        <f t="shared" si="39"/>
        <v/>
      </c>
    </row>
    <row r="1252" spans="12:14" x14ac:dyDescent="0.3">
      <c r="L1252" t="str">
        <f t="shared" si="38"/>
        <v/>
      </c>
      <c r="N1252" t="str">
        <f t="shared" si="39"/>
        <v/>
      </c>
    </row>
    <row r="1253" spans="12:14" x14ac:dyDescent="0.3">
      <c r="L1253" t="str">
        <f t="shared" si="38"/>
        <v/>
      </c>
      <c r="N1253" t="str">
        <f t="shared" si="39"/>
        <v/>
      </c>
    </row>
    <row r="1254" spans="12:14" x14ac:dyDescent="0.3">
      <c r="L1254" t="str">
        <f t="shared" si="38"/>
        <v/>
      </c>
      <c r="N1254" t="str">
        <f t="shared" si="39"/>
        <v/>
      </c>
    </row>
    <row r="1255" spans="12:14" x14ac:dyDescent="0.3">
      <c r="L1255" t="str">
        <f t="shared" si="38"/>
        <v/>
      </c>
      <c r="N1255" t="str">
        <f t="shared" si="39"/>
        <v/>
      </c>
    </row>
    <row r="1256" spans="12:14" x14ac:dyDescent="0.3">
      <c r="L1256" t="str">
        <f t="shared" si="38"/>
        <v/>
      </c>
      <c r="N1256" t="str">
        <f t="shared" si="39"/>
        <v/>
      </c>
    </row>
    <row r="1257" spans="12:14" x14ac:dyDescent="0.3">
      <c r="L1257" t="str">
        <f t="shared" si="38"/>
        <v/>
      </c>
      <c r="N1257" t="str">
        <f t="shared" si="39"/>
        <v/>
      </c>
    </row>
    <row r="1258" spans="12:14" x14ac:dyDescent="0.3">
      <c r="L1258" t="str">
        <f t="shared" si="38"/>
        <v/>
      </c>
      <c r="N1258" t="str">
        <f t="shared" si="39"/>
        <v/>
      </c>
    </row>
    <row r="1259" spans="12:14" x14ac:dyDescent="0.3">
      <c r="L1259" t="str">
        <f t="shared" si="38"/>
        <v/>
      </c>
      <c r="N1259" t="str">
        <f t="shared" si="39"/>
        <v/>
      </c>
    </row>
    <row r="1260" spans="12:14" x14ac:dyDescent="0.3">
      <c r="L1260" t="str">
        <f t="shared" si="38"/>
        <v/>
      </c>
      <c r="N1260" t="str">
        <f t="shared" si="39"/>
        <v/>
      </c>
    </row>
    <row r="1261" spans="12:14" x14ac:dyDescent="0.3">
      <c r="L1261" t="str">
        <f t="shared" si="38"/>
        <v/>
      </c>
      <c r="N1261" t="str">
        <f t="shared" si="39"/>
        <v/>
      </c>
    </row>
    <row r="1262" spans="12:14" x14ac:dyDescent="0.3">
      <c r="L1262" t="str">
        <f t="shared" si="38"/>
        <v/>
      </c>
      <c r="N1262" t="str">
        <f t="shared" si="39"/>
        <v/>
      </c>
    </row>
    <row r="1263" spans="12:14" x14ac:dyDescent="0.3">
      <c r="L1263" t="str">
        <f t="shared" si="38"/>
        <v/>
      </c>
      <c r="N1263" t="str">
        <f t="shared" si="39"/>
        <v/>
      </c>
    </row>
    <row r="1264" spans="12:14" x14ac:dyDescent="0.3">
      <c r="L1264" t="str">
        <f t="shared" si="38"/>
        <v/>
      </c>
      <c r="N1264" t="str">
        <f t="shared" si="39"/>
        <v/>
      </c>
    </row>
    <row r="1265" spans="12:14" x14ac:dyDescent="0.3">
      <c r="L1265" t="str">
        <f t="shared" si="38"/>
        <v/>
      </c>
      <c r="N1265" t="str">
        <f t="shared" si="39"/>
        <v/>
      </c>
    </row>
    <row r="1266" spans="12:14" x14ac:dyDescent="0.3">
      <c r="L1266" t="str">
        <f t="shared" si="38"/>
        <v/>
      </c>
      <c r="N1266" t="str">
        <f t="shared" si="39"/>
        <v/>
      </c>
    </row>
    <row r="1267" spans="12:14" x14ac:dyDescent="0.3">
      <c r="L1267" t="str">
        <f t="shared" si="38"/>
        <v/>
      </c>
      <c r="N1267" t="str">
        <f t="shared" si="39"/>
        <v/>
      </c>
    </row>
    <row r="1268" spans="12:14" x14ac:dyDescent="0.3">
      <c r="L1268" t="str">
        <f t="shared" si="38"/>
        <v/>
      </c>
      <c r="N1268" t="str">
        <f t="shared" si="39"/>
        <v/>
      </c>
    </row>
    <row r="1269" spans="12:14" x14ac:dyDescent="0.3">
      <c r="L1269" t="str">
        <f t="shared" si="38"/>
        <v/>
      </c>
      <c r="N1269" t="str">
        <f t="shared" si="39"/>
        <v/>
      </c>
    </row>
    <row r="1270" spans="12:14" x14ac:dyDescent="0.3">
      <c r="L1270" t="str">
        <f t="shared" si="38"/>
        <v/>
      </c>
      <c r="N1270" t="str">
        <f t="shared" si="39"/>
        <v/>
      </c>
    </row>
    <row r="1271" spans="12:14" x14ac:dyDescent="0.3">
      <c r="L1271" t="str">
        <f t="shared" si="38"/>
        <v/>
      </c>
      <c r="N1271" t="str">
        <f t="shared" si="39"/>
        <v/>
      </c>
    </row>
    <row r="1272" spans="12:14" x14ac:dyDescent="0.3">
      <c r="L1272" t="str">
        <f t="shared" si="38"/>
        <v/>
      </c>
      <c r="N1272" t="str">
        <f t="shared" si="39"/>
        <v/>
      </c>
    </row>
    <row r="1273" spans="12:14" x14ac:dyDescent="0.3">
      <c r="L1273" t="str">
        <f t="shared" si="38"/>
        <v/>
      </c>
      <c r="N1273" t="str">
        <f t="shared" si="39"/>
        <v/>
      </c>
    </row>
    <row r="1274" spans="12:14" x14ac:dyDescent="0.3">
      <c r="L1274" t="str">
        <f t="shared" si="38"/>
        <v/>
      </c>
      <c r="N1274" t="str">
        <f t="shared" si="39"/>
        <v/>
      </c>
    </row>
    <row r="1275" spans="12:14" x14ac:dyDescent="0.3">
      <c r="L1275" t="str">
        <f t="shared" si="38"/>
        <v/>
      </c>
      <c r="N1275" t="str">
        <f t="shared" si="39"/>
        <v/>
      </c>
    </row>
    <row r="1276" spans="12:14" x14ac:dyDescent="0.3">
      <c r="L1276" t="str">
        <f t="shared" si="38"/>
        <v/>
      </c>
      <c r="N1276" t="str">
        <f t="shared" si="39"/>
        <v/>
      </c>
    </row>
    <row r="1277" spans="12:14" x14ac:dyDescent="0.3">
      <c r="L1277" t="str">
        <f t="shared" si="38"/>
        <v/>
      </c>
      <c r="N1277" t="str">
        <f t="shared" si="39"/>
        <v/>
      </c>
    </row>
    <row r="1278" spans="12:14" x14ac:dyDescent="0.3">
      <c r="L1278" t="str">
        <f t="shared" si="38"/>
        <v/>
      </c>
      <c r="N1278" t="str">
        <f t="shared" si="39"/>
        <v/>
      </c>
    </row>
    <row r="1279" spans="12:14" x14ac:dyDescent="0.3">
      <c r="L1279" t="str">
        <f t="shared" si="38"/>
        <v/>
      </c>
      <c r="N1279" t="str">
        <f t="shared" si="39"/>
        <v/>
      </c>
    </row>
    <row r="1280" spans="12:14" x14ac:dyDescent="0.3">
      <c r="L1280" t="str">
        <f t="shared" si="38"/>
        <v/>
      </c>
      <c r="N1280" t="str">
        <f t="shared" si="39"/>
        <v/>
      </c>
    </row>
    <row r="1281" spans="12:14" x14ac:dyDescent="0.3">
      <c r="L1281" t="str">
        <f t="shared" ref="L1281:L1344" si="40">IF(A1281="","",IF(ISNUMBER(--LEFT(A1281,FIND(" - ",A1281&amp;" - ")-1)),LEFT(A1281,FIND(" - ",A1281&amp;" - ")-1),TRIM(A1281)))</f>
        <v/>
      </c>
      <c r="N1281" t="str">
        <f t="shared" ref="N1281:N1344" si="41">IF(L1281="","",IF(ISNUMBER(INDEX(A1281:H1281,$P$1)),INDEX(A1281:H1281,$P$1),IFERROR(_xlfn.NUMBERVALUE(INDEX(A1281:H1281,$P$1),".",","),0)))</f>
        <v/>
      </c>
    </row>
    <row r="1282" spans="12:14" x14ac:dyDescent="0.3">
      <c r="L1282" t="str">
        <f t="shared" si="40"/>
        <v/>
      </c>
      <c r="N1282" t="str">
        <f t="shared" si="41"/>
        <v/>
      </c>
    </row>
    <row r="1283" spans="12:14" x14ac:dyDescent="0.3">
      <c r="L1283" t="str">
        <f t="shared" si="40"/>
        <v/>
      </c>
      <c r="N1283" t="str">
        <f t="shared" si="41"/>
        <v/>
      </c>
    </row>
    <row r="1284" spans="12:14" x14ac:dyDescent="0.3">
      <c r="L1284" t="str">
        <f t="shared" si="40"/>
        <v/>
      </c>
      <c r="N1284" t="str">
        <f t="shared" si="41"/>
        <v/>
      </c>
    </row>
    <row r="1285" spans="12:14" x14ac:dyDescent="0.3">
      <c r="L1285" t="str">
        <f t="shared" si="40"/>
        <v/>
      </c>
      <c r="N1285" t="str">
        <f t="shared" si="41"/>
        <v/>
      </c>
    </row>
    <row r="1286" spans="12:14" x14ac:dyDescent="0.3">
      <c r="L1286" t="str">
        <f t="shared" si="40"/>
        <v/>
      </c>
      <c r="N1286" t="str">
        <f t="shared" si="41"/>
        <v/>
      </c>
    </row>
    <row r="1287" spans="12:14" x14ac:dyDescent="0.3">
      <c r="L1287" t="str">
        <f t="shared" si="40"/>
        <v/>
      </c>
      <c r="N1287" t="str">
        <f t="shared" si="41"/>
        <v/>
      </c>
    </row>
    <row r="1288" spans="12:14" x14ac:dyDescent="0.3">
      <c r="L1288" t="str">
        <f t="shared" si="40"/>
        <v/>
      </c>
      <c r="N1288" t="str">
        <f t="shared" si="41"/>
        <v/>
      </c>
    </row>
    <row r="1289" spans="12:14" x14ac:dyDescent="0.3">
      <c r="L1289" t="str">
        <f t="shared" si="40"/>
        <v/>
      </c>
      <c r="N1289" t="str">
        <f t="shared" si="41"/>
        <v/>
      </c>
    </row>
    <row r="1290" spans="12:14" x14ac:dyDescent="0.3">
      <c r="L1290" t="str">
        <f t="shared" si="40"/>
        <v/>
      </c>
      <c r="N1290" t="str">
        <f t="shared" si="41"/>
        <v/>
      </c>
    </row>
    <row r="1291" spans="12:14" x14ac:dyDescent="0.3">
      <c r="L1291" t="str">
        <f t="shared" si="40"/>
        <v/>
      </c>
      <c r="N1291" t="str">
        <f t="shared" si="41"/>
        <v/>
      </c>
    </row>
    <row r="1292" spans="12:14" x14ac:dyDescent="0.3">
      <c r="L1292" t="str">
        <f t="shared" si="40"/>
        <v/>
      </c>
      <c r="N1292" t="str">
        <f t="shared" si="41"/>
        <v/>
      </c>
    </row>
    <row r="1293" spans="12:14" x14ac:dyDescent="0.3">
      <c r="L1293" t="str">
        <f t="shared" si="40"/>
        <v/>
      </c>
      <c r="N1293" t="str">
        <f t="shared" si="41"/>
        <v/>
      </c>
    </row>
    <row r="1294" spans="12:14" x14ac:dyDescent="0.3">
      <c r="L1294" t="str">
        <f t="shared" si="40"/>
        <v/>
      </c>
      <c r="N1294" t="str">
        <f t="shared" si="41"/>
        <v/>
      </c>
    </row>
    <row r="1295" spans="12:14" x14ac:dyDescent="0.3">
      <c r="L1295" t="str">
        <f t="shared" si="40"/>
        <v/>
      </c>
      <c r="N1295" t="str">
        <f t="shared" si="41"/>
        <v/>
      </c>
    </row>
    <row r="1296" spans="12:14" x14ac:dyDescent="0.3">
      <c r="L1296" t="str">
        <f t="shared" si="40"/>
        <v/>
      </c>
      <c r="N1296" t="str">
        <f t="shared" si="41"/>
        <v/>
      </c>
    </row>
    <row r="1297" spans="12:14" x14ac:dyDescent="0.3">
      <c r="L1297" t="str">
        <f t="shared" si="40"/>
        <v/>
      </c>
      <c r="N1297" t="str">
        <f t="shared" si="41"/>
        <v/>
      </c>
    </row>
    <row r="1298" spans="12:14" x14ac:dyDescent="0.3">
      <c r="L1298" t="str">
        <f t="shared" si="40"/>
        <v/>
      </c>
      <c r="N1298" t="str">
        <f t="shared" si="41"/>
        <v/>
      </c>
    </row>
    <row r="1299" spans="12:14" x14ac:dyDescent="0.3">
      <c r="L1299" t="str">
        <f t="shared" si="40"/>
        <v/>
      </c>
      <c r="N1299" t="str">
        <f t="shared" si="41"/>
        <v/>
      </c>
    </row>
    <row r="1300" spans="12:14" x14ac:dyDescent="0.3">
      <c r="L1300" t="str">
        <f t="shared" si="40"/>
        <v/>
      </c>
      <c r="N1300" t="str">
        <f t="shared" si="41"/>
        <v/>
      </c>
    </row>
    <row r="1301" spans="12:14" x14ac:dyDescent="0.3">
      <c r="L1301" t="str">
        <f t="shared" si="40"/>
        <v/>
      </c>
      <c r="N1301" t="str">
        <f t="shared" si="41"/>
        <v/>
      </c>
    </row>
    <row r="1302" spans="12:14" x14ac:dyDescent="0.3">
      <c r="L1302" t="str">
        <f t="shared" si="40"/>
        <v/>
      </c>
      <c r="N1302" t="str">
        <f t="shared" si="41"/>
        <v/>
      </c>
    </row>
    <row r="1303" spans="12:14" x14ac:dyDescent="0.3">
      <c r="L1303" t="str">
        <f t="shared" si="40"/>
        <v/>
      </c>
      <c r="N1303" t="str">
        <f t="shared" si="41"/>
        <v/>
      </c>
    </row>
    <row r="1304" spans="12:14" x14ac:dyDescent="0.3">
      <c r="L1304" t="str">
        <f t="shared" si="40"/>
        <v/>
      </c>
      <c r="N1304" t="str">
        <f t="shared" si="41"/>
        <v/>
      </c>
    </row>
    <row r="1305" spans="12:14" x14ac:dyDescent="0.3">
      <c r="L1305" t="str">
        <f t="shared" si="40"/>
        <v/>
      </c>
      <c r="N1305" t="str">
        <f t="shared" si="41"/>
        <v/>
      </c>
    </row>
    <row r="1306" spans="12:14" x14ac:dyDescent="0.3">
      <c r="L1306" t="str">
        <f t="shared" si="40"/>
        <v/>
      </c>
      <c r="N1306" t="str">
        <f t="shared" si="41"/>
        <v/>
      </c>
    </row>
    <row r="1307" spans="12:14" x14ac:dyDescent="0.3">
      <c r="L1307" t="str">
        <f t="shared" si="40"/>
        <v/>
      </c>
      <c r="N1307" t="str">
        <f t="shared" si="41"/>
        <v/>
      </c>
    </row>
    <row r="1308" spans="12:14" x14ac:dyDescent="0.3">
      <c r="L1308" t="str">
        <f t="shared" si="40"/>
        <v/>
      </c>
      <c r="N1308" t="str">
        <f t="shared" si="41"/>
        <v/>
      </c>
    </row>
    <row r="1309" spans="12:14" x14ac:dyDescent="0.3">
      <c r="L1309" t="str">
        <f t="shared" si="40"/>
        <v/>
      </c>
      <c r="N1309" t="str">
        <f t="shared" si="41"/>
        <v/>
      </c>
    </row>
    <row r="1310" spans="12:14" x14ac:dyDescent="0.3">
      <c r="L1310" t="str">
        <f t="shared" si="40"/>
        <v/>
      </c>
      <c r="N1310" t="str">
        <f t="shared" si="41"/>
        <v/>
      </c>
    </row>
    <row r="1311" spans="12:14" x14ac:dyDescent="0.3">
      <c r="L1311" t="str">
        <f t="shared" si="40"/>
        <v/>
      </c>
      <c r="N1311" t="str">
        <f t="shared" si="41"/>
        <v/>
      </c>
    </row>
    <row r="1312" spans="12:14" x14ac:dyDescent="0.3">
      <c r="L1312" t="str">
        <f t="shared" si="40"/>
        <v/>
      </c>
      <c r="N1312" t="str">
        <f t="shared" si="41"/>
        <v/>
      </c>
    </row>
    <row r="1313" spans="12:14" x14ac:dyDescent="0.3">
      <c r="L1313" t="str">
        <f t="shared" si="40"/>
        <v/>
      </c>
      <c r="N1313" t="str">
        <f t="shared" si="41"/>
        <v/>
      </c>
    </row>
    <row r="1314" spans="12:14" x14ac:dyDescent="0.3">
      <c r="L1314" t="str">
        <f t="shared" si="40"/>
        <v/>
      </c>
      <c r="N1314" t="str">
        <f t="shared" si="41"/>
        <v/>
      </c>
    </row>
    <row r="1315" spans="12:14" x14ac:dyDescent="0.3">
      <c r="L1315" t="str">
        <f t="shared" si="40"/>
        <v/>
      </c>
      <c r="N1315" t="str">
        <f t="shared" si="41"/>
        <v/>
      </c>
    </row>
    <row r="1316" spans="12:14" x14ac:dyDescent="0.3">
      <c r="L1316" t="str">
        <f t="shared" si="40"/>
        <v/>
      </c>
      <c r="N1316" t="str">
        <f t="shared" si="41"/>
        <v/>
      </c>
    </row>
    <row r="1317" spans="12:14" x14ac:dyDescent="0.3">
      <c r="L1317" t="str">
        <f t="shared" si="40"/>
        <v/>
      </c>
      <c r="N1317" t="str">
        <f t="shared" si="41"/>
        <v/>
      </c>
    </row>
    <row r="1318" spans="12:14" x14ac:dyDescent="0.3">
      <c r="L1318" t="str">
        <f t="shared" si="40"/>
        <v/>
      </c>
      <c r="N1318" t="str">
        <f t="shared" si="41"/>
        <v/>
      </c>
    </row>
    <row r="1319" spans="12:14" x14ac:dyDescent="0.3">
      <c r="L1319" t="str">
        <f t="shared" si="40"/>
        <v/>
      </c>
      <c r="N1319" t="str">
        <f t="shared" si="41"/>
        <v/>
      </c>
    </row>
    <row r="1320" spans="12:14" x14ac:dyDescent="0.3">
      <c r="L1320" t="str">
        <f t="shared" si="40"/>
        <v/>
      </c>
      <c r="N1320" t="str">
        <f t="shared" si="41"/>
        <v/>
      </c>
    </row>
    <row r="1321" spans="12:14" x14ac:dyDescent="0.3">
      <c r="L1321" t="str">
        <f t="shared" si="40"/>
        <v/>
      </c>
      <c r="N1321" t="str">
        <f t="shared" si="41"/>
        <v/>
      </c>
    </row>
    <row r="1322" spans="12:14" x14ac:dyDescent="0.3">
      <c r="L1322" t="str">
        <f t="shared" si="40"/>
        <v/>
      </c>
      <c r="N1322" t="str">
        <f t="shared" si="41"/>
        <v/>
      </c>
    </row>
    <row r="1323" spans="12:14" x14ac:dyDescent="0.3">
      <c r="L1323" t="str">
        <f t="shared" si="40"/>
        <v/>
      </c>
      <c r="N1323" t="str">
        <f t="shared" si="41"/>
        <v/>
      </c>
    </row>
    <row r="1324" spans="12:14" x14ac:dyDescent="0.3">
      <c r="L1324" t="str">
        <f t="shared" si="40"/>
        <v/>
      </c>
      <c r="N1324" t="str">
        <f t="shared" si="41"/>
        <v/>
      </c>
    </row>
    <row r="1325" spans="12:14" x14ac:dyDescent="0.3">
      <c r="L1325" t="str">
        <f t="shared" si="40"/>
        <v/>
      </c>
      <c r="N1325" t="str">
        <f t="shared" si="41"/>
        <v/>
      </c>
    </row>
    <row r="1326" spans="12:14" x14ac:dyDescent="0.3">
      <c r="L1326" t="str">
        <f t="shared" si="40"/>
        <v/>
      </c>
      <c r="N1326" t="str">
        <f t="shared" si="41"/>
        <v/>
      </c>
    </row>
    <row r="1327" spans="12:14" x14ac:dyDescent="0.3">
      <c r="L1327" t="str">
        <f t="shared" si="40"/>
        <v/>
      </c>
      <c r="N1327" t="str">
        <f t="shared" si="41"/>
        <v/>
      </c>
    </row>
    <row r="1328" spans="12:14" x14ac:dyDescent="0.3">
      <c r="L1328" t="str">
        <f t="shared" si="40"/>
        <v/>
      </c>
      <c r="N1328" t="str">
        <f t="shared" si="41"/>
        <v/>
      </c>
    </row>
    <row r="1329" spans="12:14" x14ac:dyDescent="0.3">
      <c r="L1329" t="str">
        <f t="shared" si="40"/>
        <v/>
      </c>
      <c r="N1329" t="str">
        <f t="shared" si="41"/>
        <v/>
      </c>
    </row>
    <row r="1330" spans="12:14" x14ac:dyDescent="0.3">
      <c r="L1330" t="str">
        <f t="shared" si="40"/>
        <v/>
      </c>
      <c r="N1330" t="str">
        <f t="shared" si="41"/>
        <v/>
      </c>
    </row>
    <row r="1331" spans="12:14" x14ac:dyDescent="0.3">
      <c r="L1331" t="str">
        <f t="shared" si="40"/>
        <v/>
      </c>
      <c r="N1331" t="str">
        <f t="shared" si="41"/>
        <v/>
      </c>
    </row>
    <row r="1332" spans="12:14" x14ac:dyDescent="0.3">
      <c r="L1332" t="str">
        <f t="shared" si="40"/>
        <v/>
      </c>
      <c r="N1332" t="str">
        <f t="shared" si="41"/>
        <v/>
      </c>
    </row>
    <row r="1333" spans="12:14" x14ac:dyDescent="0.3">
      <c r="L1333" t="str">
        <f t="shared" si="40"/>
        <v/>
      </c>
      <c r="N1333" t="str">
        <f t="shared" si="41"/>
        <v/>
      </c>
    </row>
    <row r="1334" spans="12:14" x14ac:dyDescent="0.3">
      <c r="L1334" t="str">
        <f t="shared" si="40"/>
        <v/>
      </c>
      <c r="N1334" t="str">
        <f t="shared" si="41"/>
        <v/>
      </c>
    </row>
    <row r="1335" spans="12:14" x14ac:dyDescent="0.3">
      <c r="L1335" t="str">
        <f t="shared" si="40"/>
        <v/>
      </c>
      <c r="N1335" t="str">
        <f t="shared" si="41"/>
        <v/>
      </c>
    </row>
    <row r="1336" spans="12:14" x14ac:dyDescent="0.3">
      <c r="L1336" t="str">
        <f t="shared" si="40"/>
        <v/>
      </c>
      <c r="N1336" t="str">
        <f t="shared" si="41"/>
        <v/>
      </c>
    </row>
    <row r="1337" spans="12:14" x14ac:dyDescent="0.3">
      <c r="L1337" t="str">
        <f t="shared" si="40"/>
        <v/>
      </c>
      <c r="N1337" t="str">
        <f t="shared" si="41"/>
        <v/>
      </c>
    </row>
    <row r="1338" spans="12:14" x14ac:dyDescent="0.3">
      <c r="L1338" t="str">
        <f t="shared" si="40"/>
        <v/>
      </c>
      <c r="N1338" t="str">
        <f t="shared" si="41"/>
        <v/>
      </c>
    </row>
    <row r="1339" spans="12:14" x14ac:dyDescent="0.3">
      <c r="L1339" t="str">
        <f t="shared" si="40"/>
        <v/>
      </c>
      <c r="N1339" t="str">
        <f t="shared" si="41"/>
        <v/>
      </c>
    </row>
    <row r="1340" spans="12:14" x14ac:dyDescent="0.3">
      <c r="L1340" t="str">
        <f t="shared" si="40"/>
        <v/>
      </c>
      <c r="N1340" t="str">
        <f t="shared" si="41"/>
        <v/>
      </c>
    </row>
    <row r="1341" spans="12:14" x14ac:dyDescent="0.3">
      <c r="L1341" t="str">
        <f t="shared" si="40"/>
        <v/>
      </c>
      <c r="N1341" t="str">
        <f t="shared" si="41"/>
        <v/>
      </c>
    </row>
    <row r="1342" spans="12:14" x14ac:dyDescent="0.3">
      <c r="L1342" t="str">
        <f t="shared" si="40"/>
        <v/>
      </c>
      <c r="N1342" t="str">
        <f t="shared" si="41"/>
        <v/>
      </c>
    </row>
    <row r="1343" spans="12:14" x14ac:dyDescent="0.3">
      <c r="L1343" t="str">
        <f t="shared" si="40"/>
        <v/>
      </c>
      <c r="N1343" t="str">
        <f t="shared" si="41"/>
        <v/>
      </c>
    </row>
    <row r="1344" spans="12:14" x14ac:dyDescent="0.3">
      <c r="L1344" t="str">
        <f t="shared" si="40"/>
        <v/>
      </c>
      <c r="N1344" t="str">
        <f t="shared" si="41"/>
        <v/>
      </c>
    </row>
    <row r="1345" spans="12:14" x14ac:dyDescent="0.3">
      <c r="L1345" t="str">
        <f t="shared" ref="L1345:L1408" si="42">IF(A1345="","",IF(ISNUMBER(--LEFT(A1345,FIND(" - ",A1345&amp;" - ")-1)),LEFT(A1345,FIND(" - ",A1345&amp;" - ")-1),TRIM(A1345)))</f>
        <v/>
      </c>
      <c r="N1345" t="str">
        <f t="shared" ref="N1345:N1408" si="43">IF(L1345="","",IF(ISNUMBER(INDEX(A1345:H1345,$P$1)),INDEX(A1345:H1345,$P$1),IFERROR(_xlfn.NUMBERVALUE(INDEX(A1345:H1345,$P$1),".",","),0)))</f>
        <v/>
      </c>
    </row>
    <row r="1346" spans="12:14" x14ac:dyDescent="0.3">
      <c r="L1346" t="str">
        <f t="shared" si="42"/>
        <v/>
      </c>
      <c r="N1346" t="str">
        <f t="shared" si="43"/>
        <v/>
      </c>
    </row>
    <row r="1347" spans="12:14" x14ac:dyDescent="0.3">
      <c r="L1347" t="str">
        <f t="shared" si="42"/>
        <v/>
      </c>
      <c r="N1347" t="str">
        <f t="shared" si="43"/>
        <v/>
      </c>
    </row>
    <row r="1348" spans="12:14" x14ac:dyDescent="0.3">
      <c r="L1348" t="str">
        <f t="shared" si="42"/>
        <v/>
      </c>
      <c r="N1348" t="str">
        <f t="shared" si="43"/>
        <v/>
      </c>
    </row>
    <row r="1349" spans="12:14" x14ac:dyDescent="0.3">
      <c r="L1349" t="str">
        <f t="shared" si="42"/>
        <v/>
      </c>
      <c r="N1349" t="str">
        <f t="shared" si="43"/>
        <v/>
      </c>
    </row>
    <row r="1350" spans="12:14" x14ac:dyDescent="0.3">
      <c r="L1350" t="str">
        <f t="shared" si="42"/>
        <v/>
      </c>
      <c r="N1350" t="str">
        <f t="shared" si="43"/>
        <v/>
      </c>
    </row>
    <row r="1351" spans="12:14" x14ac:dyDescent="0.3">
      <c r="L1351" t="str">
        <f t="shared" si="42"/>
        <v/>
      </c>
      <c r="N1351" t="str">
        <f t="shared" si="43"/>
        <v/>
      </c>
    </row>
    <row r="1352" spans="12:14" x14ac:dyDescent="0.3">
      <c r="L1352" t="str">
        <f t="shared" si="42"/>
        <v/>
      </c>
      <c r="N1352" t="str">
        <f t="shared" si="43"/>
        <v/>
      </c>
    </row>
    <row r="1353" spans="12:14" x14ac:dyDescent="0.3">
      <c r="L1353" t="str">
        <f t="shared" si="42"/>
        <v/>
      </c>
      <c r="N1353" t="str">
        <f t="shared" si="43"/>
        <v/>
      </c>
    </row>
    <row r="1354" spans="12:14" x14ac:dyDescent="0.3">
      <c r="L1354" t="str">
        <f t="shared" si="42"/>
        <v/>
      </c>
      <c r="N1354" t="str">
        <f t="shared" si="43"/>
        <v/>
      </c>
    </row>
    <row r="1355" spans="12:14" x14ac:dyDescent="0.3">
      <c r="L1355" t="str">
        <f t="shared" si="42"/>
        <v/>
      </c>
      <c r="N1355" t="str">
        <f t="shared" si="43"/>
        <v/>
      </c>
    </row>
    <row r="1356" spans="12:14" x14ac:dyDescent="0.3">
      <c r="L1356" t="str">
        <f t="shared" si="42"/>
        <v/>
      </c>
      <c r="N1356" t="str">
        <f t="shared" si="43"/>
        <v/>
      </c>
    </row>
    <row r="1357" spans="12:14" x14ac:dyDescent="0.3">
      <c r="L1357" t="str">
        <f t="shared" si="42"/>
        <v/>
      </c>
      <c r="N1357" t="str">
        <f t="shared" si="43"/>
        <v/>
      </c>
    </row>
    <row r="1358" spans="12:14" x14ac:dyDescent="0.3">
      <c r="L1358" t="str">
        <f t="shared" si="42"/>
        <v/>
      </c>
      <c r="N1358" t="str">
        <f t="shared" si="43"/>
        <v/>
      </c>
    </row>
    <row r="1359" spans="12:14" x14ac:dyDescent="0.3">
      <c r="L1359" t="str">
        <f t="shared" si="42"/>
        <v/>
      </c>
      <c r="N1359" t="str">
        <f t="shared" si="43"/>
        <v/>
      </c>
    </row>
    <row r="1360" spans="12:14" x14ac:dyDescent="0.3">
      <c r="L1360" t="str">
        <f t="shared" si="42"/>
        <v/>
      </c>
      <c r="N1360" t="str">
        <f t="shared" si="43"/>
        <v/>
      </c>
    </row>
    <row r="1361" spans="12:14" x14ac:dyDescent="0.3">
      <c r="L1361" t="str">
        <f t="shared" si="42"/>
        <v/>
      </c>
      <c r="N1361" t="str">
        <f t="shared" si="43"/>
        <v/>
      </c>
    </row>
    <row r="1362" spans="12:14" x14ac:dyDescent="0.3">
      <c r="L1362" t="str">
        <f t="shared" si="42"/>
        <v/>
      </c>
      <c r="N1362" t="str">
        <f t="shared" si="43"/>
        <v/>
      </c>
    </row>
    <row r="1363" spans="12:14" x14ac:dyDescent="0.3">
      <c r="L1363" t="str">
        <f t="shared" si="42"/>
        <v/>
      </c>
      <c r="N1363" t="str">
        <f t="shared" si="43"/>
        <v/>
      </c>
    </row>
    <row r="1364" spans="12:14" x14ac:dyDescent="0.3">
      <c r="L1364" t="str">
        <f t="shared" si="42"/>
        <v/>
      </c>
      <c r="N1364" t="str">
        <f t="shared" si="43"/>
        <v/>
      </c>
    </row>
    <row r="1365" spans="12:14" x14ac:dyDescent="0.3">
      <c r="L1365" t="str">
        <f t="shared" si="42"/>
        <v/>
      </c>
      <c r="N1365" t="str">
        <f t="shared" si="43"/>
        <v/>
      </c>
    </row>
    <row r="1366" spans="12:14" x14ac:dyDescent="0.3">
      <c r="L1366" t="str">
        <f t="shared" si="42"/>
        <v/>
      </c>
      <c r="N1366" t="str">
        <f t="shared" si="43"/>
        <v/>
      </c>
    </row>
    <row r="1367" spans="12:14" x14ac:dyDescent="0.3">
      <c r="L1367" t="str">
        <f t="shared" si="42"/>
        <v/>
      </c>
      <c r="N1367" t="str">
        <f t="shared" si="43"/>
        <v/>
      </c>
    </row>
    <row r="1368" spans="12:14" x14ac:dyDescent="0.3">
      <c r="L1368" t="str">
        <f t="shared" si="42"/>
        <v/>
      </c>
      <c r="N1368" t="str">
        <f t="shared" si="43"/>
        <v/>
      </c>
    </row>
    <row r="1369" spans="12:14" x14ac:dyDescent="0.3">
      <c r="L1369" t="str">
        <f t="shared" si="42"/>
        <v/>
      </c>
      <c r="N1369" t="str">
        <f t="shared" si="43"/>
        <v/>
      </c>
    </row>
    <row r="1370" spans="12:14" x14ac:dyDescent="0.3">
      <c r="L1370" t="str">
        <f t="shared" si="42"/>
        <v/>
      </c>
      <c r="N1370" t="str">
        <f t="shared" si="43"/>
        <v/>
      </c>
    </row>
    <row r="1371" spans="12:14" x14ac:dyDescent="0.3">
      <c r="L1371" t="str">
        <f t="shared" si="42"/>
        <v/>
      </c>
      <c r="N1371" t="str">
        <f t="shared" si="43"/>
        <v/>
      </c>
    </row>
    <row r="1372" spans="12:14" x14ac:dyDescent="0.3">
      <c r="L1372" t="str">
        <f t="shared" si="42"/>
        <v/>
      </c>
      <c r="N1372" t="str">
        <f t="shared" si="43"/>
        <v/>
      </c>
    </row>
    <row r="1373" spans="12:14" x14ac:dyDescent="0.3">
      <c r="L1373" t="str">
        <f t="shared" si="42"/>
        <v/>
      </c>
      <c r="N1373" t="str">
        <f t="shared" si="43"/>
        <v/>
      </c>
    </row>
    <row r="1374" spans="12:14" x14ac:dyDescent="0.3">
      <c r="L1374" t="str">
        <f t="shared" si="42"/>
        <v/>
      </c>
      <c r="N1374" t="str">
        <f t="shared" si="43"/>
        <v/>
      </c>
    </row>
    <row r="1375" spans="12:14" x14ac:dyDescent="0.3">
      <c r="L1375" t="str">
        <f t="shared" si="42"/>
        <v/>
      </c>
      <c r="N1375" t="str">
        <f t="shared" si="43"/>
        <v/>
      </c>
    </row>
    <row r="1376" spans="12:14" x14ac:dyDescent="0.3">
      <c r="L1376" t="str">
        <f t="shared" si="42"/>
        <v/>
      </c>
      <c r="N1376" t="str">
        <f t="shared" si="43"/>
        <v/>
      </c>
    </row>
    <row r="1377" spans="12:14" x14ac:dyDescent="0.3">
      <c r="L1377" t="str">
        <f t="shared" si="42"/>
        <v/>
      </c>
      <c r="N1377" t="str">
        <f t="shared" si="43"/>
        <v/>
      </c>
    </row>
    <row r="1378" spans="12:14" x14ac:dyDescent="0.3">
      <c r="L1378" t="str">
        <f t="shared" si="42"/>
        <v/>
      </c>
      <c r="N1378" t="str">
        <f t="shared" si="43"/>
        <v/>
      </c>
    </row>
    <row r="1379" spans="12:14" x14ac:dyDescent="0.3">
      <c r="L1379" t="str">
        <f t="shared" si="42"/>
        <v/>
      </c>
      <c r="N1379" t="str">
        <f t="shared" si="43"/>
        <v/>
      </c>
    </row>
    <row r="1380" spans="12:14" x14ac:dyDescent="0.3">
      <c r="L1380" t="str">
        <f t="shared" si="42"/>
        <v/>
      </c>
      <c r="N1380" t="str">
        <f t="shared" si="43"/>
        <v/>
      </c>
    </row>
    <row r="1381" spans="12:14" x14ac:dyDescent="0.3">
      <c r="L1381" t="str">
        <f t="shared" si="42"/>
        <v/>
      </c>
      <c r="N1381" t="str">
        <f t="shared" si="43"/>
        <v/>
      </c>
    </row>
    <row r="1382" spans="12:14" x14ac:dyDescent="0.3">
      <c r="L1382" t="str">
        <f t="shared" si="42"/>
        <v/>
      </c>
      <c r="N1382" t="str">
        <f t="shared" si="43"/>
        <v/>
      </c>
    </row>
    <row r="1383" spans="12:14" x14ac:dyDescent="0.3">
      <c r="L1383" t="str">
        <f t="shared" si="42"/>
        <v/>
      </c>
      <c r="N1383" t="str">
        <f t="shared" si="43"/>
        <v/>
      </c>
    </row>
    <row r="1384" spans="12:14" x14ac:dyDescent="0.3">
      <c r="L1384" t="str">
        <f t="shared" si="42"/>
        <v/>
      </c>
      <c r="N1384" t="str">
        <f t="shared" si="43"/>
        <v/>
      </c>
    </row>
    <row r="1385" spans="12:14" x14ac:dyDescent="0.3">
      <c r="L1385" t="str">
        <f t="shared" si="42"/>
        <v/>
      </c>
      <c r="N1385" t="str">
        <f t="shared" si="43"/>
        <v/>
      </c>
    </row>
    <row r="1386" spans="12:14" x14ac:dyDescent="0.3">
      <c r="L1386" t="str">
        <f t="shared" si="42"/>
        <v/>
      </c>
      <c r="N1386" t="str">
        <f t="shared" si="43"/>
        <v/>
      </c>
    </row>
    <row r="1387" spans="12:14" x14ac:dyDescent="0.3">
      <c r="L1387" t="str">
        <f t="shared" si="42"/>
        <v/>
      </c>
      <c r="N1387" t="str">
        <f t="shared" si="43"/>
        <v/>
      </c>
    </row>
    <row r="1388" spans="12:14" x14ac:dyDescent="0.3">
      <c r="L1388" t="str">
        <f t="shared" si="42"/>
        <v/>
      </c>
      <c r="N1388" t="str">
        <f t="shared" si="43"/>
        <v/>
      </c>
    </row>
    <row r="1389" spans="12:14" x14ac:dyDescent="0.3">
      <c r="L1389" t="str">
        <f t="shared" si="42"/>
        <v/>
      </c>
      <c r="N1389" t="str">
        <f t="shared" si="43"/>
        <v/>
      </c>
    </row>
    <row r="1390" spans="12:14" x14ac:dyDescent="0.3">
      <c r="L1390" t="str">
        <f t="shared" si="42"/>
        <v/>
      </c>
      <c r="N1390" t="str">
        <f t="shared" si="43"/>
        <v/>
      </c>
    </row>
    <row r="1391" spans="12:14" x14ac:dyDescent="0.3">
      <c r="L1391" t="str">
        <f t="shared" si="42"/>
        <v/>
      </c>
      <c r="N1391" t="str">
        <f t="shared" si="43"/>
        <v/>
      </c>
    </row>
    <row r="1392" spans="12:14" x14ac:dyDescent="0.3">
      <c r="L1392" t="str">
        <f t="shared" si="42"/>
        <v/>
      </c>
      <c r="N1392" t="str">
        <f t="shared" si="43"/>
        <v/>
      </c>
    </row>
    <row r="1393" spans="12:14" x14ac:dyDescent="0.3">
      <c r="L1393" t="str">
        <f t="shared" si="42"/>
        <v/>
      </c>
      <c r="N1393" t="str">
        <f t="shared" si="43"/>
        <v/>
      </c>
    </row>
    <row r="1394" spans="12:14" x14ac:dyDescent="0.3">
      <c r="L1394" t="str">
        <f t="shared" si="42"/>
        <v/>
      </c>
      <c r="N1394" t="str">
        <f t="shared" si="43"/>
        <v/>
      </c>
    </row>
    <row r="1395" spans="12:14" x14ac:dyDescent="0.3">
      <c r="L1395" t="str">
        <f t="shared" si="42"/>
        <v/>
      </c>
      <c r="N1395" t="str">
        <f t="shared" si="43"/>
        <v/>
      </c>
    </row>
    <row r="1396" spans="12:14" x14ac:dyDescent="0.3">
      <c r="L1396" t="str">
        <f t="shared" si="42"/>
        <v/>
      </c>
      <c r="N1396" t="str">
        <f t="shared" si="43"/>
        <v/>
      </c>
    </row>
    <row r="1397" spans="12:14" x14ac:dyDescent="0.3">
      <c r="L1397" t="str">
        <f t="shared" si="42"/>
        <v/>
      </c>
      <c r="N1397" t="str">
        <f t="shared" si="43"/>
        <v/>
      </c>
    </row>
    <row r="1398" spans="12:14" x14ac:dyDescent="0.3">
      <c r="L1398" t="str">
        <f t="shared" si="42"/>
        <v/>
      </c>
      <c r="N1398" t="str">
        <f t="shared" si="43"/>
        <v/>
      </c>
    </row>
    <row r="1399" spans="12:14" x14ac:dyDescent="0.3">
      <c r="L1399" t="str">
        <f t="shared" si="42"/>
        <v/>
      </c>
      <c r="N1399" t="str">
        <f t="shared" si="43"/>
        <v/>
      </c>
    </row>
    <row r="1400" spans="12:14" x14ac:dyDescent="0.3">
      <c r="L1400" t="str">
        <f t="shared" si="42"/>
        <v/>
      </c>
      <c r="N1400" t="str">
        <f t="shared" si="43"/>
        <v/>
      </c>
    </row>
    <row r="1401" spans="12:14" x14ac:dyDescent="0.3">
      <c r="L1401" t="str">
        <f t="shared" si="42"/>
        <v/>
      </c>
      <c r="N1401" t="str">
        <f t="shared" si="43"/>
        <v/>
      </c>
    </row>
    <row r="1402" spans="12:14" x14ac:dyDescent="0.3">
      <c r="L1402" t="str">
        <f t="shared" si="42"/>
        <v/>
      </c>
      <c r="N1402" t="str">
        <f t="shared" si="43"/>
        <v/>
      </c>
    </row>
    <row r="1403" spans="12:14" x14ac:dyDescent="0.3">
      <c r="L1403" t="str">
        <f t="shared" si="42"/>
        <v/>
      </c>
      <c r="N1403" t="str">
        <f t="shared" si="43"/>
        <v/>
      </c>
    </row>
    <row r="1404" spans="12:14" x14ac:dyDescent="0.3">
      <c r="L1404" t="str">
        <f t="shared" si="42"/>
        <v/>
      </c>
      <c r="N1404" t="str">
        <f t="shared" si="43"/>
        <v/>
      </c>
    </row>
    <row r="1405" spans="12:14" x14ac:dyDescent="0.3">
      <c r="L1405" t="str">
        <f t="shared" si="42"/>
        <v/>
      </c>
      <c r="N1405" t="str">
        <f t="shared" si="43"/>
        <v/>
      </c>
    </row>
    <row r="1406" spans="12:14" x14ac:dyDescent="0.3">
      <c r="L1406" t="str">
        <f t="shared" si="42"/>
        <v/>
      </c>
      <c r="N1406" t="str">
        <f t="shared" si="43"/>
        <v/>
      </c>
    </row>
    <row r="1407" spans="12:14" x14ac:dyDescent="0.3">
      <c r="L1407" t="str">
        <f t="shared" si="42"/>
        <v/>
      </c>
      <c r="N1407" t="str">
        <f t="shared" si="43"/>
        <v/>
      </c>
    </row>
    <row r="1408" spans="12:14" x14ac:dyDescent="0.3">
      <c r="L1408" t="str">
        <f t="shared" si="42"/>
        <v/>
      </c>
      <c r="N1408" t="str">
        <f t="shared" si="43"/>
        <v/>
      </c>
    </row>
    <row r="1409" spans="12:14" x14ac:dyDescent="0.3">
      <c r="L1409" t="str">
        <f t="shared" ref="L1409:L1472" si="44">IF(A1409="","",IF(ISNUMBER(--LEFT(A1409,FIND(" - ",A1409&amp;" - ")-1)),LEFT(A1409,FIND(" - ",A1409&amp;" - ")-1),TRIM(A1409)))</f>
        <v/>
      </c>
      <c r="N1409" t="str">
        <f t="shared" ref="N1409:N1472" si="45">IF(L1409="","",IF(ISNUMBER(INDEX(A1409:H1409,$P$1)),INDEX(A1409:H1409,$P$1),IFERROR(_xlfn.NUMBERVALUE(INDEX(A1409:H1409,$P$1),".",","),0)))</f>
        <v/>
      </c>
    </row>
    <row r="1410" spans="12:14" x14ac:dyDescent="0.3">
      <c r="L1410" t="str">
        <f t="shared" si="44"/>
        <v/>
      </c>
      <c r="N1410" t="str">
        <f t="shared" si="45"/>
        <v/>
      </c>
    </row>
    <row r="1411" spans="12:14" x14ac:dyDescent="0.3">
      <c r="L1411" t="str">
        <f t="shared" si="44"/>
        <v/>
      </c>
      <c r="N1411" t="str">
        <f t="shared" si="45"/>
        <v/>
      </c>
    </row>
    <row r="1412" spans="12:14" x14ac:dyDescent="0.3">
      <c r="L1412" t="str">
        <f t="shared" si="44"/>
        <v/>
      </c>
      <c r="N1412" t="str">
        <f t="shared" si="45"/>
        <v/>
      </c>
    </row>
    <row r="1413" spans="12:14" x14ac:dyDescent="0.3">
      <c r="L1413" t="str">
        <f t="shared" si="44"/>
        <v/>
      </c>
      <c r="N1413" t="str">
        <f t="shared" si="45"/>
        <v/>
      </c>
    </row>
    <row r="1414" spans="12:14" x14ac:dyDescent="0.3">
      <c r="L1414" t="str">
        <f t="shared" si="44"/>
        <v/>
      </c>
      <c r="N1414" t="str">
        <f t="shared" si="45"/>
        <v/>
      </c>
    </row>
    <row r="1415" spans="12:14" x14ac:dyDescent="0.3">
      <c r="L1415" t="str">
        <f t="shared" si="44"/>
        <v/>
      </c>
      <c r="N1415" t="str">
        <f t="shared" si="45"/>
        <v/>
      </c>
    </row>
    <row r="1416" spans="12:14" x14ac:dyDescent="0.3">
      <c r="L1416" t="str">
        <f t="shared" si="44"/>
        <v/>
      </c>
      <c r="N1416" t="str">
        <f t="shared" si="45"/>
        <v/>
      </c>
    </row>
    <row r="1417" spans="12:14" x14ac:dyDescent="0.3">
      <c r="L1417" t="str">
        <f t="shared" si="44"/>
        <v/>
      </c>
      <c r="N1417" t="str">
        <f t="shared" si="45"/>
        <v/>
      </c>
    </row>
    <row r="1418" spans="12:14" x14ac:dyDescent="0.3">
      <c r="L1418" t="str">
        <f t="shared" si="44"/>
        <v/>
      </c>
      <c r="N1418" t="str">
        <f t="shared" si="45"/>
        <v/>
      </c>
    </row>
    <row r="1419" spans="12:14" x14ac:dyDescent="0.3">
      <c r="L1419" t="str">
        <f t="shared" si="44"/>
        <v/>
      </c>
      <c r="N1419" t="str">
        <f t="shared" si="45"/>
        <v/>
      </c>
    </row>
    <row r="1420" spans="12:14" x14ac:dyDescent="0.3">
      <c r="L1420" t="str">
        <f t="shared" si="44"/>
        <v/>
      </c>
      <c r="N1420" t="str">
        <f t="shared" si="45"/>
        <v/>
      </c>
    </row>
    <row r="1421" spans="12:14" x14ac:dyDescent="0.3">
      <c r="L1421" t="str">
        <f t="shared" si="44"/>
        <v/>
      </c>
      <c r="N1421" t="str">
        <f t="shared" si="45"/>
        <v/>
      </c>
    </row>
    <row r="1422" spans="12:14" x14ac:dyDescent="0.3">
      <c r="L1422" t="str">
        <f t="shared" si="44"/>
        <v/>
      </c>
      <c r="N1422" t="str">
        <f t="shared" si="45"/>
        <v/>
      </c>
    </row>
    <row r="1423" spans="12:14" x14ac:dyDescent="0.3">
      <c r="L1423" t="str">
        <f t="shared" si="44"/>
        <v/>
      </c>
      <c r="N1423" t="str">
        <f t="shared" si="45"/>
        <v/>
      </c>
    </row>
    <row r="1424" spans="12:14" x14ac:dyDescent="0.3">
      <c r="L1424" t="str">
        <f t="shared" si="44"/>
        <v/>
      </c>
      <c r="N1424" t="str">
        <f t="shared" si="45"/>
        <v/>
      </c>
    </row>
    <row r="1425" spans="12:14" x14ac:dyDescent="0.3">
      <c r="L1425" t="str">
        <f t="shared" si="44"/>
        <v/>
      </c>
      <c r="N1425" t="str">
        <f t="shared" si="45"/>
        <v/>
      </c>
    </row>
    <row r="1426" spans="12:14" x14ac:dyDescent="0.3">
      <c r="L1426" t="str">
        <f t="shared" si="44"/>
        <v/>
      </c>
      <c r="N1426" t="str">
        <f t="shared" si="45"/>
        <v/>
      </c>
    </row>
    <row r="1427" spans="12:14" x14ac:dyDescent="0.3">
      <c r="L1427" t="str">
        <f t="shared" si="44"/>
        <v/>
      </c>
      <c r="N1427" t="str">
        <f t="shared" si="45"/>
        <v/>
      </c>
    </row>
    <row r="1428" spans="12:14" x14ac:dyDescent="0.3">
      <c r="L1428" t="str">
        <f t="shared" si="44"/>
        <v/>
      </c>
      <c r="N1428" t="str">
        <f t="shared" si="45"/>
        <v/>
      </c>
    </row>
    <row r="1429" spans="12:14" x14ac:dyDescent="0.3">
      <c r="L1429" t="str">
        <f t="shared" si="44"/>
        <v/>
      </c>
      <c r="N1429" t="str">
        <f t="shared" si="45"/>
        <v/>
      </c>
    </row>
    <row r="1430" spans="12:14" x14ac:dyDescent="0.3">
      <c r="L1430" t="str">
        <f t="shared" si="44"/>
        <v/>
      </c>
      <c r="N1430" t="str">
        <f t="shared" si="45"/>
        <v/>
      </c>
    </row>
    <row r="1431" spans="12:14" x14ac:dyDescent="0.3">
      <c r="L1431" t="str">
        <f t="shared" si="44"/>
        <v/>
      </c>
      <c r="N1431" t="str">
        <f t="shared" si="45"/>
        <v/>
      </c>
    </row>
    <row r="1432" spans="12:14" x14ac:dyDescent="0.3">
      <c r="L1432" t="str">
        <f t="shared" si="44"/>
        <v/>
      </c>
      <c r="N1432" t="str">
        <f t="shared" si="45"/>
        <v/>
      </c>
    </row>
    <row r="1433" spans="12:14" x14ac:dyDescent="0.3">
      <c r="L1433" t="str">
        <f t="shared" si="44"/>
        <v/>
      </c>
      <c r="N1433" t="str">
        <f t="shared" si="45"/>
        <v/>
      </c>
    </row>
    <row r="1434" spans="12:14" x14ac:dyDescent="0.3">
      <c r="L1434" t="str">
        <f t="shared" si="44"/>
        <v/>
      </c>
      <c r="N1434" t="str">
        <f t="shared" si="45"/>
        <v/>
      </c>
    </row>
    <row r="1435" spans="12:14" x14ac:dyDescent="0.3">
      <c r="L1435" t="str">
        <f t="shared" si="44"/>
        <v/>
      </c>
      <c r="N1435" t="str">
        <f t="shared" si="45"/>
        <v/>
      </c>
    </row>
    <row r="1436" spans="12:14" x14ac:dyDescent="0.3">
      <c r="L1436" t="str">
        <f t="shared" si="44"/>
        <v/>
      </c>
      <c r="N1436" t="str">
        <f t="shared" si="45"/>
        <v/>
      </c>
    </row>
    <row r="1437" spans="12:14" x14ac:dyDescent="0.3">
      <c r="L1437" t="str">
        <f t="shared" si="44"/>
        <v/>
      </c>
      <c r="N1437" t="str">
        <f t="shared" si="45"/>
        <v/>
      </c>
    </row>
    <row r="1438" spans="12:14" x14ac:dyDescent="0.3">
      <c r="L1438" t="str">
        <f t="shared" si="44"/>
        <v/>
      </c>
      <c r="N1438" t="str">
        <f t="shared" si="45"/>
        <v/>
      </c>
    </row>
    <row r="1439" spans="12:14" x14ac:dyDescent="0.3">
      <c r="L1439" t="str">
        <f t="shared" si="44"/>
        <v/>
      </c>
      <c r="N1439" t="str">
        <f t="shared" si="45"/>
        <v/>
      </c>
    </row>
    <row r="1440" spans="12:14" x14ac:dyDescent="0.3">
      <c r="L1440" t="str">
        <f t="shared" si="44"/>
        <v/>
      </c>
      <c r="N1440" t="str">
        <f t="shared" si="45"/>
        <v/>
      </c>
    </row>
    <row r="1441" spans="12:14" x14ac:dyDescent="0.3">
      <c r="L1441" t="str">
        <f t="shared" si="44"/>
        <v/>
      </c>
      <c r="N1441" t="str">
        <f t="shared" si="45"/>
        <v/>
      </c>
    </row>
    <row r="1442" spans="12:14" x14ac:dyDescent="0.3">
      <c r="L1442" t="str">
        <f t="shared" si="44"/>
        <v/>
      </c>
      <c r="N1442" t="str">
        <f t="shared" si="45"/>
        <v/>
      </c>
    </row>
    <row r="1443" spans="12:14" x14ac:dyDescent="0.3">
      <c r="L1443" t="str">
        <f t="shared" si="44"/>
        <v/>
      </c>
      <c r="N1443" t="str">
        <f t="shared" si="45"/>
        <v/>
      </c>
    </row>
    <row r="1444" spans="12:14" x14ac:dyDescent="0.3">
      <c r="L1444" t="str">
        <f t="shared" si="44"/>
        <v/>
      </c>
      <c r="N1444" t="str">
        <f t="shared" si="45"/>
        <v/>
      </c>
    </row>
    <row r="1445" spans="12:14" x14ac:dyDescent="0.3">
      <c r="L1445" t="str">
        <f t="shared" si="44"/>
        <v/>
      </c>
      <c r="N1445" t="str">
        <f t="shared" si="45"/>
        <v/>
      </c>
    </row>
    <row r="1446" spans="12:14" x14ac:dyDescent="0.3">
      <c r="L1446" t="str">
        <f t="shared" si="44"/>
        <v/>
      </c>
      <c r="N1446" t="str">
        <f t="shared" si="45"/>
        <v/>
      </c>
    </row>
    <row r="1447" spans="12:14" x14ac:dyDescent="0.3">
      <c r="L1447" t="str">
        <f t="shared" si="44"/>
        <v/>
      </c>
      <c r="N1447" t="str">
        <f t="shared" si="45"/>
        <v/>
      </c>
    </row>
    <row r="1448" spans="12:14" x14ac:dyDescent="0.3">
      <c r="L1448" t="str">
        <f t="shared" si="44"/>
        <v/>
      </c>
      <c r="N1448" t="str">
        <f t="shared" si="45"/>
        <v/>
      </c>
    </row>
    <row r="1449" spans="12:14" x14ac:dyDescent="0.3">
      <c r="L1449" t="str">
        <f t="shared" si="44"/>
        <v/>
      </c>
      <c r="N1449" t="str">
        <f t="shared" si="45"/>
        <v/>
      </c>
    </row>
    <row r="1450" spans="12:14" x14ac:dyDescent="0.3">
      <c r="L1450" t="str">
        <f t="shared" si="44"/>
        <v/>
      </c>
      <c r="N1450" t="str">
        <f t="shared" si="45"/>
        <v/>
      </c>
    </row>
    <row r="1451" spans="12:14" x14ac:dyDescent="0.3">
      <c r="L1451" t="str">
        <f t="shared" si="44"/>
        <v/>
      </c>
      <c r="N1451" t="str">
        <f t="shared" si="45"/>
        <v/>
      </c>
    </row>
    <row r="1452" spans="12:14" x14ac:dyDescent="0.3">
      <c r="L1452" t="str">
        <f t="shared" si="44"/>
        <v/>
      </c>
      <c r="N1452" t="str">
        <f t="shared" si="45"/>
        <v/>
      </c>
    </row>
    <row r="1453" spans="12:14" x14ac:dyDescent="0.3">
      <c r="L1453" t="str">
        <f t="shared" si="44"/>
        <v/>
      </c>
      <c r="N1453" t="str">
        <f t="shared" si="45"/>
        <v/>
      </c>
    </row>
    <row r="1454" spans="12:14" x14ac:dyDescent="0.3">
      <c r="L1454" t="str">
        <f t="shared" si="44"/>
        <v/>
      </c>
      <c r="N1454" t="str">
        <f t="shared" si="45"/>
        <v/>
      </c>
    </row>
    <row r="1455" spans="12:14" x14ac:dyDescent="0.3">
      <c r="L1455" t="str">
        <f t="shared" si="44"/>
        <v/>
      </c>
      <c r="N1455" t="str">
        <f t="shared" si="45"/>
        <v/>
      </c>
    </row>
    <row r="1456" spans="12:14" x14ac:dyDescent="0.3">
      <c r="L1456" t="str">
        <f t="shared" si="44"/>
        <v/>
      </c>
      <c r="N1456" t="str">
        <f t="shared" si="45"/>
        <v/>
      </c>
    </row>
    <row r="1457" spans="12:14" x14ac:dyDescent="0.3">
      <c r="L1457" t="str">
        <f t="shared" si="44"/>
        <v/>
      </c>
      <c r="N1457" t="str">
        <f t="shared" si="45"/>
        <v/>
      </c>
    </row>
    <row r="1458" spans="12:14" x14ac:dyDescent="0.3">
      <c r="L1458" t="str">
        <f t="shared" si="44"/>
        <v/>
      </c>
      <c r="N1458" t="str">
        <f t="shared" si="45"/>
        <v/>
      </c>
    </row>
    <row r="1459" spans="12:14" x14ac:dyDescent="0.3">
      <c r="L1459" t="str">
        <f t="shared" si="44"/>
        <v/>
      </c>
      <c r="N1459" t="str">
        <f t="shared" si="45"/>
        <v/>
      </c>
    </row>
    <row r="1460" spans="12:14" x14ac:dyDescent="0.3">
      <c r="L1460" t="str">
        <f t="shared" si="44"/>
        <v/>
      </c>
      <c r="N1460" t="str">
        <f t="shared" si="45"/>
        <v/>
      </c>
    </row>
    <row r="1461" spans="12:14" x14ac:dyDescent="0.3">
      <c r="L1461" t="str">
        <f t="shared" si="44"/>
        <v/>
      </c>
      <c r="N1461" t="str">
        <f t="shared" si="45"/>
        <v/>
      </c>
    </row>
    <row r="1462" spans="12:14" x14ac:dyDescent="0.3">
      <c r="L1462" t="str">
        <f t="shared" si="44"/>
        <v/>
      </c>
      <c r="N1462" t="str">
        <f t="shared" si="45"/>
        <v/>
      </c>
    </row>
    <row r="1463" spans="12:14" x14ac:dyDescent="0.3">
      <c r="L1463" t="str">
        <f t="shared" si="44"/>
        <v/>
      </c>
      <c r="N1463" t="str">
        <f t="shared" si="45"/>
        <v/>
      </c>
    </row>
    <row r="1464" spans="12:14" x14ac:dyDescent="0.3">
      <c r="L1464" t="str">
        <f t="shared" si="44"/>
        <v/>
      </c>
      <c r="N1464" t="str">
        <f t="shared" si="45"/>
        <v/>
      </c>
    </row>
    <row r="1465" spans="12:14" x14ac:dyDescent="0.3">
      <c r="L1465" t="str">
        <f t="shared" si="44"/>
        <v/>
      </c>
      <c r="N1465" t="str">
        <f t="shared" si="45"/>
        <v/>
      </c>
    </row>
    <row r="1466" spans="12:14" x14ac:dyDescent="0.3">
      <c r="L1466" t="str">
        <f t="shared" si="44"/>
        <v/>
      </c>
      <c r="N1466" t="str">
        <f t="shared" si="45"/>
        <v/>
      </c>
    </row>
    <row r="1467" spans="12:14" x14ac:dyDescent="0.3">
      <c r="L1467" t="str">
        <f t="shared" si="44"/>
        <v/>
      </c>
      <c r="N1467" t="str">
        <f t="shared" si="45"/>
        <v/>
      </c>
    </row>
    <row r="1468" spans="12:14" x14ac:dyDescent="0.3">
      <c r="L1468" t="str">
        <f t="shared" si="44"/>
        <v/>
      </c>
      <c r="N1468" t="str">
        <f t="shared" si="45"/>
        <v/>
      </c>
    </row>
    <row r="1469" spans="12:14" x14ac:dyDescent="0.3">
      <c r="L1469" t="str">
        <f t="shared" si="44"/>
        <v/>
      </c>
      <c r="N1469" t="str">
        <f t="shared" si="45"/>
        <v/>
      </c>
    </row>
    <row r="1470" spans="12:14" x14ac:dyDescent="0.3">
      <c r="L1470" t="str">
        <f t="shared" si="44"/>
        <v/>
      </c>
      <c r="N1470" t="str">
        <f t="shared" si="45"/>
        <v/>
      </c>
    </row>
    <row r="1471" spans="12:14" x14ac:dyDescent="0.3">
      <c r="L1471" t="str">
        <f t="shared" si="44"/>
        <v/>
      </c>
      <c r="N1471" t="str">
        <f t="shared" si="45"/>
        <v/>
      </c>
    </row>
    <row r="1472" spans="12:14" x14ac:dyDescent="0.3">
      <c r="L1472" t="str">
        <f t="shared" si="44"/>
        <v/>
      </c>
      <c r="N1472" t="str">
        <f t="shared" si="45"/>
        <v/>
      </c>
    </row>
    <row r="1473" spans="12:14" x14ac:dyDescent="0.3">
      <c r="L1473" t="str">
        <f t="shared" ref="L1473:L1500" si="46">IF(A1473="","",IF(ISNUMBER(--LEFT(A1473,FIND(" - ",A1473&amp;" - ")-1)),LEFT(A1473,FIND(" - ",A1473&amp;" - ")-1),TRIM(A1473)))</f>
        <v/>
      </c>
      <c r="N1473" t="str">
        <f t="shared" ref="N1473:N1500" si="47">IF(L1473="","",IF(ISNUMBER(INDEX(A1473:H1473,$P$1)),INDEX(A1473:H1473,$P$1),IFERROR(_xlfn.NUMBERVALUE(INDEX(A1473:H1473,$P$1),".",","),0)))</f>
        <v/>
      </c>
    </row>
    <row r="1474" spans="12:14" x14ac:dyDescent="0.3">
      <c r="L1474" t="str">
        <f t="shared" si="46"/>
        <v/>
      </c>
      <c r="N1474" t="str">
        <f t="shared" si="47"/>
        <v/>
      </c>
    </row>
    <row r="1475" spans="12:14" x14ac:dyDescent="0.3">
      <c r="L1475" t="str">
        <f t="shared" si="46"/>
        <v/>
      </c>
      <c r="N1475" t="str">
        <f t="shared" si="47"/>
        <v/>
      </c>
    </row>
    <row r="1476" spans="12:14" x14ac:dyDescent="0.3">
      <c r="L1476" t="str">
        <f t="shared" si="46"/>
        <v/>
      </c>
      <c r="N1476" t="str">
        <f t="shared" si="47"/>
        <v/>
      </c>
    </row>
    <row r="1477" spans="12:14" x14ac:dyDescent="0.3">
      <c r="L1477" t="str">
        <f t="shared" si="46"/>
        <v/>
      </c>
      <c r="N1477" t="str">
        <f t="shared" si="47"/>
        <v/>
      </c>
    </row>
    <row r="1478" spans="12:14" x14ac:dyDescent="0.3">
      <c r="L1478" t="str">
        <f t="shared" si="46"/>
        <v/>
      </c>
      <c r="N1478" t="str">
        <f t="shared" si="47"/>
        <v/>
      </c>
    </row>
    <row r="1479" spans="12:14" x14ac:dyDescent="0.3">
      <c r="L1479" t="str">
        <f t="shared" si="46"/>
        <v/>
      </c>
      <c r="N1479" t="str">
        <f t="shared" si="47"/>
        <v/>
      </c>
    </row>
    <row r="1480" spans="12:14" x14ac:dyDescent="0.3">
      <c r="L1480" t="str">
        <f t="shared" si="46"/>
        <v/>
      </c>
      <c r="N1480" t="str">
        <f t="shared" si="47"/>
        <v/>
      </c>
    </row>
    <row r="1481" spans="12:14" x14ac:dyDescent="0.3">
      <c r="L1481" t="str">
        <f t="shared" si="46"/>
        <v/>
      </c>
      <c r="N1481" t="str">
        <f t="shared" si="47"/>
        <v/>
      </c>
    </row>
    <row r="1482" spans="12:14" x14ac:dyDescent="0.3">
      <c r="L1482" t="str">
        <f t="shared" si="46"/>
        <v/>
      </c>
      <c r="N1482" t="str">
        <f t="shared" si="47"/>
        <v/>
      </c>
    </row>
    <row r="1483" spans="12:14" x14ac:dyDescent="0.3">
      <c r="L1483" t="str">
        <f t="shared" si="46"/>
        <v/>
      </c>
      <c r="N1483" t="str">
        <f t="shared" si="47"/>
        <v/>
      </c>
    </row>
    <row r="1484" spans="12:14" x14ac:dyDescent="0.3">
      <c r="L1484" t="str">
        <f t="shared" si="46"/>
        <v/>
      </c>
      <c r="N1484" t="str">
        <f t="shared" si="47"/>
        <v/>
      </c>
    </row>
    <row r="1485" spans="12:14" x14ac:dyDescent="0.3">
      <c r="L1485" t="str">
        <f t="shared" si="46"/>
        <v/>
      </c>
      <c r="N1485" t="str">
        <f t="shared" si="47"/>
        <v/>
      </c>
    </row>
    <row r="1486" spans="12:14" x14ac:dyDescent="0.3">
      <c r="L1486" t="str">
        <f t="shared" si="46"/>
        <v/>
      </c>
      <c r="N1486" t="str">
        <f t="shared" si="47"/>
        <v/>
      </c>
    </row>
    <row r="1487" spans="12:14" x14ac:dyDescent="0.3">
      <c r="L1487" t="str">
        <f t="shared" si="46"/>
        <v/>
      </c>
      <c r="N1487" t="str">
        <f t="shared" si="47"/>
        <v/>
      </c>
    </row>
    <row r="1488" spans="12:14" x14ac:dyDescent="0.3">
      <c r="L1488" t="str">
        <f t="shared" si="46"/>
        <v/>
      </c>
      <c r="N1488" t="str">
        <f t="shared" si="47"/>
        <v/>
      </c>
    </row>
    <row r="1489" spans="12:14" x14ac:dyDescent="0.3">
      <c r="L1489" t="str">
        <f t="shared" si="46"/>
        <v/>
      </c>
      <c r="N1489" t="str">
        <f t="shared" si="47"/>
        <v/>
      </c>
    </row>
    <row r="1490" spans="12:14" x14ac:dyDescent="0.3">
      <c r="L1490" t="str">
        <f t="shared" si="46"/>
        <v/>
      </c>
      <c r="N1490" t="str">
        <f t="shared" si="47"/>
        <v/>
      </c>
    </row>
    <row r="1491" spans="12:14" x14ac:dyDescent="0.3">
      <c r="L1491" t="str">
        <f t="shared" si="46"/>
        <v/>
      </c>
      <c r="N1491" t="str">
        <f t="shared" si="47"/>
        <v/>
      </c>
    </row>
    <row r="1492" spans="12:14" x14ac:dyDescent="0.3">
      <c r="L1492" t="str">
        <f t="shared" si="46"/>
        <v/>
      </c>
      <c r="N1492" t="str">
        <f t="shared" si="47"/>
        <v/>
      </c>
    </row>
    <row r="1493" spans="12:14" x14ac:dyDescent="0.3">
      <c r="L1493" t="str">
        <f t="shared" si="46"/>
        <v/>
      </c>
      <c r="N1493" t="str">
        <f t="shared" si="47"/>
        <v/>
      </c>
    </row>
    <row r="1494" spans="12:14" x14ac:dyDescent="0.3">
      <c r="L1494" t="str">
        <f t="shared" si="46"/>
        <v/>
      </c>
      <c r="N1494" t="str">
        <f t="shared" si="47"/>
        <v/>
      </c>
    </row>
    <row r="1495" spans="12:14" x14ac:dyDescent="0.3">
      <c r="L1495" t="str">
        <f t="shared" si="46"/>
        <v/>
      </c>
      <c r="N1495" t="str">
        <f t="shared" si="47"/>
        <v/>
      </c>
    </row>
    <row r="1496" spans="12:14" x14ac:dyDescent="0.3">
      <c r="L1496" t="str">
        <f t="shared" si="46"/>
        <v/>
      </c>
      <c r="N1496" t="str">
        <f t="shared" si="47"/>
        <v/>
      </c>
    </row>
    <row r="1497" spans="12:14" x14ac:dyDescent="0.3">
      <c r="L1497" t="str">
        <f t="shared" si="46"/>
        <v/>
      </c>
      <c r="N1497" t="str">
        <f t="shared" si="47"/>
        <v/>
      </c>
    </row>
    <row r="1498" spans="12:14" x14ac:dyDescent="0.3">
      <c r="L1498" t="str">
        <f t="shared" si="46"/>
        <v/>
      </c>
      <c r="N1498" t="str">
        <f t="shared" si="47"/>
        <v/>
      </c>
    </row>
    <row r="1499" spans="12:14" x14ac:dyDescent="0.3">
      <c r="L1499" t="str">
        <f t="shared" si="46"/>
        <v/>
      </c>
      <c r="N1499" t="str">
        <f t="shared" si="47"/>
        <v/>
      </c>
    </row>
    <row r="1500" spans="12:14" x14ac:dyDescent="0.3">
      <c r="L1500" t="str">
        <f t="shared" si="46"/>
        <v/>
      </c>
      <c r="N1500" t="str">
        <f t="shared" si="47"/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322"/>
  <sheetViews>
    <sheetView workbookViewId="0"/>
  </sheetViews>
  <sheetFormatPr defaultRowHeight="14.4" x14ac:dyDescent="0.3"/>
  <cols>
    <col min="2" max="2" width="20" customWidth="1"/>
    <col min="3" max="3" width="26" customWidth="1"/>
  </cols>
  <sheetData>
    <row r="1" spans="1:29" x14ac:dyDescent="0.3">
      <c r="A1" s="45" t="s">
        <v>110</v>
      </c>
    </row>
    <row r="2" spans="1:29" x14ac:dyDescent="0.3">
      <c r="A2" s="46" t="s">
        <v>111</v>
      </c>
      <c r="B2" s="46" t="s">
        <v>112</v>
      </c>
      <c r="C2" s="46" t="s">
        <v>113</v>
      </c>
      <c r="D2" s="46" t="s">
        <v>23</v>
      </c>
      <c r="E2" s="46" t="s">
        <v>114</v>
      </c>
      <c r="F2" s="46" t="s">
        <v>115</v>
      </c>
      <c r="G2" s="46" t="s">
        <v>116</v>
      </c>
      <c r="H2" s="46" t="s">
        <v>117</v>
      </c>
      <c r="I2" s="46" t="s">
        <v>118</v>
      </c>
      <c r="J2" s="46" t="s">
        <v>119</v>
      </c>
      <c r="K2" s="46" t="s">
        <v>120</v>
      </c>
      <c r="L2" s="46" t="s">
        <v>121</v>
      </c>
      <c r="M2" s="46" t="s">
        <v>122</v>
      </c>
      <c r="N2" s="46" t="s">
        <v>123</v>
      </c>
      <c r="O2" s="46" t="s">
        <v>124</v>
      </c>
      <c r="P2" s="46" t="s">
        <v>125</v>
      </c>
      <c r="Q2" s="46" t="s">
        <v>126</v>
      </c>
      <c r="R2" s="46" t="s">
        <v>127</v>
      </c>
      <c r="S2" s="46" t="s">
        <v>128</v>
      </c>
      <c r="T2" s="46" t="s">
        <v>129</v>
      </c>
      <c r="U2" s="46" t="s">
        <v>130</v>
      </c>
      <c r="V2" s="46" t="s">
        <v>131</v>
      </c>
      <c r="W2" s="46" t="s">
        <v>132</v>
      </c>
      <c r="X2" s="46" t="s">
        <v>133</v>
      </c>
      <c r="Y2" s="46" t="s">
        <v>134</v>
      </c>
      <c r="Z2" s="46" t="s">
        <v>135</v>
      </c>
      <c r="AA2" s="46" t="s">
        <v>136</v>
      </c>
      <c r="AB2" s="46" t="s">
        <v>137</v>
      </c>
      <c r="AC2" s="46" t="s">
        <v>138</v>
      </c>
    </row>
    <row r="3" spans="1:29" x14ac:dyDescent="0.3">
      <c r="A3">
        <v>1</v>
      </c>
      <c r="B3" t="str">
        <f>IF('Khai báo'!A18="","",'Khai báo'!A18)</f>
        <v/>
      </c>
      <c r="C3" t="str">
        <f>IF(B3="","",TRIM('Khai báo'!B18))</f>
        <v/>
      </c>
      <c r="D3" t="str">
        <f>IF(B3="","",IF('Khai báo'!C18="Vượt trội","Vượt trội","Chính"))</f>
        <v/>
      </c>
      <c r="E3">
        <f>IF(OR($B3="",'Khai báo'!$C$12=""),0,IFERROR(INDEX('Dán TĐ lũy kế'!$N$1:$N$1500,MATCH("*"&amp;$C3&amp;"|"&amp;'Khai báo'!$C$12,'Dán TĐ lũy kế'!$M$1:$M$1500,0)),0))</f>
        <v>0</v>
      </c>
      <c r="F3">
        <f>IF(OR($B3="",'Khai báo'!$C$12=""),0,IFERROR(INDEX('Dán TĐ lũy kế'!$O$1:$O$1500,MATCH("*"&amp;$C3&amp;"|"&amp;'Khai báo'!$C$12,'Dán TĐ lũy kế'!$M$1:$M$1500,0)),0))</f>
        <v>0</v>
      </c>
      <c r="G3">
        <f>IF(N('Khai báo'!D18)&gt;0,'Khai báo'!D18,F3)</f>
        <v>0</v>
      </c>
      <c r="H3">
        <f>IF(OR($B3="",'Khai báo'!$C$12=""),0,IFERROR(INDEX('Dán TĐ realtime'!$N$1:$N$1500,MATCH("*"&amp;$C3&amp;"|"&amp;'Khai báo'!$C$12,'Dán TĐ realtime'!$M$1:$M$1500,0)),0))</f>
        <v>0</v>
      </c>
      <c r="I3">
        <f>IF(OR($B3="",'Khai báo'!$C$12=""),0,IFERROR(1/(1/IFERROR(INDEX('Dán TĐ realtime'!$O$1:$O$1500,MATCH("*"&amp;$C3&amp;"|"&amp;'Khai báo'!$C$12,'Dán TĐ realtime'!$M$1:$M$1500,0)),0)),G3/SoNgay))</f>
        <v>0</v>
      </c>
      <c r="J3">
        <f>IF(OR($B3="",'Khai báo'!$C$13=""),0,IFERROR(INDEX('Dán TĐ lũy kế'!$N$1:$N$1500,MATCH("*"&amp;$C3&amp;"|"&amp;'Khai báo'!$C$13,'Dán TĐ lũy kế'!$M$1:$M$1500,0)),0))</f>
        <v>0</v>
      </c>
      <c r="K3">
        <f>IF(OR($B3="",'Khai báo'!$C$13=""),0,IFERROR(INDEX('Dán TĐ lũy kế'!$O$1:$O$1500,MATCH("*"&amp;$C3&amp;"|"&amp;'Khai báo'!$C$13,'Dán TĐ lũy kế'!$M$1:$M$1500,0)),0))</f>
        <v>0</v>
      </c>
      <c r="L3">
        <f>IF(N('Khai báo'!E18)&gt;0,'Khai báo'!E18,K3)</f>
        <v>0</v>
      </c>
      <c r="M3">
        <f>IF(OR($B3="",'Khai báo'!$C$13=""),0,IFERROR(INDEX('Dán TĐ realtime'!$N$1:$N$1500,MATCH("*"&amp;$C3&amp;"|"&amp;'Khai báo'!$C$13,'Dán TĐ realtime'!$M$1:$M$1500,0)),0))</f>
        <v>0</v>
      </c>
      <c r="N3">
        <f>IF(OR($B3="",'Khai báo'!$C$13=""),0,IFERROR(1/(1/IFERROR(INDEX('Dán TĐ realtime'!$O$1:$O$1500,MATCH("*"&amp;$C3&amp;"|"&amp;'Khai báo'!$C$13,'Dán TĐ realtime'!$M$1:$M$1500,0)),0)),L3/SoNgay))</f>
        <v>0</v>
      </c>
      <c r="O3">
        <f>IF(OR($B3="",'Khai báo'!$C$14=""),0,IFERROR(INDEX('Dán TĐ lũy kế'!$N$1:$N$1500,MATCH("*"&amp;$C3&amp;"|"&amp;'Khai báo'!$C$14,'Dán TĐ lũy kế'!$M$1:$M$1500,0)),0))</f>
        <v>0</v>
      </c>
      <c r="P3">
        <f>IF(OR($B3="",'Khai báo'!$C$14=""),0,IFERROR(INDEX('Dán TĐ lũy kế'!$O$1:$O$1500,MATCH("*"&amp;$C3&amp;"|"&amp;'Khai báo'!$C$14,'Dán TĐ lũy kế'!$M$1:$M$1500,0)),0))</f>
        <v>0</v>
      </c>
      <c r="Q3">
        <f>IF(N('Khai báo'!F18)&gt;0,'Khai báo'!F18,P3)</f>
        <v>0</v>
      </c>
      <c r="R3">
        <f>IF(OR($B3="",'Khai báo'!$C$14=""),0,IFERROR(INDEX('Dán TĐ realtime'!$N$1:$N$1500,MATCH("*"&amp;$C3&amp;"|"&amp;'Khai báo'!$C$14,'Dán TĐ realtime'!$M$1:$M$1500,0)),0))</f>
        <v>0</v>
      </c>
      <c r="S3">
        <f>IF(OR($B3="",'Khai báo'!$C$14=""),0,IFERROR(1/(1/IFERROR(INDEX('Dán TĐ realtime'!$O$1:$O$1500,MATCH("*"&amp;$C3&amp;"|"&amp;'Khai báo'!$C$14,'Dán TĐ realtime'!$M$1:$M$1500,0)),0)),Q3/SoNgay))</f>
        <v>0</v>
      </c>
      <c r="T3">
        <f>IF(OR($B3="",'Khai báo'!$C$15=""),0,IFERROR(INDEX('Dán TĐ lũy kế'!$N$1:$N$1500,MATCH("*"&amp;$C3&amp;"|"&amp;'Khai báo'!$C$15,'Dán TĐ lũy kế'!$M$1:$M$1500,0)),0))</f>
        <v>0</v>
      </c>
      <c r="U3">
        <f>IF(OR($B3="",'Khai báo'!$C$15=""),0,IFERROR(INDEX('Dán TĐ lũy kế'!$O$1:$O$1500,MATCH("*"&amp;$C3&amp;"|"&amp;'Khai báo'!$C$15,'Dán TĐ lũy kế'!$M$1:$M$1500,0)),0))</f>
        <v>0</v>
      </c>
      <c r="V3">
        <f>IF(N('Khai báo'!G18)&gt;0,'Khai báo'!G18,U3)</f>
        <v>0</v>
      </c>
      <c r="W3">
        <f>IF(OR($B3="",'Khai báo'!$C$15=""),0,IFERROR(INDEX('Dán TĐ realtime'!$N$1:$N$1500,MATCH("*"&amp;$C3&amp;"|"&amp;'Khai báo'!$C$15,'Dán TĐ realtime'!$M$1:$M$1500,0)),0))</f>
        <v>0</v>
      </c>
      <c r="X3">
        <f>IF(OR($B3="",'Khai báo'!$C$15=""),0,IFERROR(1/(1/IFERROR(INDEX('Dán TĐ realtime'!$O$1:$O$1500,MATCH("*"&amp;$C3&amp;"|"&amp;'Khai báo'!$C$15,'Dán TĐ realtime'!$M$1:$M$1500,0)),0)),V3/SoNgay))</f>
        <v>0</v>
      </c>
      <c r="Y3">
        <f t="shared" ref="Y3:Y22" si="0">E3+J3+O3+T3</f>
        <v>0</v>
      </c>
      <c r="Z3">
        <f t="shared" ref="Z3:Z22" si="1">G3+L3+Q3+V3</f>
        <v>0</v>
      </c>
      <c r="AA3">
        <f t="shared" ref="AA3:AA22" si="2">H3+M3+R3+W3</f>
        <v>0</v>
      </c>
      <c r="AB3">
        <f t="shared" ref="AB3:AB22" si="3">I3+N3+S3+X3</f>
        <v>0</v>
      </c>
      <c r="AC3" t="str">
        <f>IF(B3="","",IFERROR(IF(LEFT(INDEX('Dán TĐ lũy kế'!$B$1:$B$1500,MATCH("*"&amp;C3,'Dán TĐ lũy kế'!$A$1:$A$1500,0)),8)="SỐ LƯỢNG","SL","DT"),"DT"))</f>
        <v/>
      </c>
    </row>
    <row r="4" spans="1:29" x14ac:dyDescent="0.3">
      <c r="A4">
        <v>2</v>
      </c>
      <c r="B4" t="str">
        <f>IF('Khai báo'!A19="","",'Khai báo'!A19)</f>
        <v/>
      </c>
      <c r="C4" t="str">
        <f>IF(B4="","",TRIM('Khai báo'!B19))</f>
        <v/>
      </c>
      <c r="D4" t="str">
        <f>IF(B4="","",IF('Khai báo'!C19="Vượt trội","Vượt trội","Chính"))</f>
        <v/>
      </c>
      <c r="E4">
        <f>IF(OR($B4="",'Khai báo'!$C$12=""),0,IFERROR(INDEX('Dán TĐ lũy kế'!$N$1:$N$1500,MATCH("*"&amp;$C4&amp;"|"&amp;'Khai báo'!$C$12,'Dán TĐ lũy kế'!$M$1:$M$1500,0)),0))</f>
        <v>0</v>
      </c>
      <c r="F4">
        <f>IF(OR($B4="",'Khai báo'!$C$12=""),0,IFERROR(INDEX('Dán TĐ lũy kế'!$O$1:$O$1500,MATCH("*"&amp;$C4&amp;"|"&amp;'Khai báo'!$C$12,'Dán TĐ lũy kế'!$M$1:$M$1500,0)),0))</f>
        <v>0</v>
      </c>
      <c r="G4">
        <f>IF(N('Khai báo'!D19)&gt;0,'Khai báo'!D19,F4)</f>
        <v>0</v>
      </c>
      <c r="H4">
        <f>IF(OR($B4="",'Khai báo'!$C$12=""),0,IFERROR(INDEX('Dán TĐ realtime'!$N$1:$N$1500,MATCH("*"&amp;$C4&amp;"|"&amp;'Khai báo'!$C$12,'Dán TĐ realtime'!$M$1:$M$1500,0)),0))</f>
        <v>0</v>
      </c>
      <c r="I4">
        <f>IF(OR($B4="",'Khai báo'!$C$12=""),0,IFERROR(1/(1/IFERROR(INDEX('Dán TĐ realtime'!$O$1:$O$1500,MATCH("*"&amp;$C4&amp;"|"&amp;'Khai báo'!$C$12,'Dán TĐ realtime'!$M$1:$M$1500,0)),0)),G4/SoNgay))</f>
        <v>0</v>
      </c>
      <c r="J4">
        <f>IF(OR($B4="",'Khai báo'!$C$13=""),0,IFERROR(INDEX('Dán TĐ lũy kế'!$N$1:$N$1500,MATCH("*"&amp;$C4&amp;"|"&amp;'Khai báo'!$C$13,'Dán TĐ lũy kế'!$M$1:$M$1500,0)),0))</f>
        <v>0</v>
      </c>
      <c r="K4">
        <f>IF(OR($B4="",'Khai báo'!$C$13=""),0,IFERROR(INDEX('Dán TĐ lũy kế'!$O$1:$O$1500,MATCH("*"&amp;$C4&amp;"|"&amp;'Khai báo'!$C$13,'Dán TĐ lũy kế'!$M$1:$M$1500,0)),0))</f>
        <v>0</v>
      </c>
      <c r="L4">
        <f>IF(N('Khai báo'!E19)&gt;0,'Khai báo'!E19,K4)</f>
        <v>0</v>
      </c>
      <c r="M4">
        <f>IF(OR($B4="",'Khai báo'!$C$13=""),0,IFERROR(INDEX('Dán TĐ realtime'!$N$1:$N$1500,MATCH("*"&amp;$C4&amp;"|"&amp;'Khai báo'!$C$13,'Dán TĐ realtime'!$M$1:$M$1500,0)),0))</f>
        <v>0</v>
      </c>
      <c r="N4">
        <f>IF(OR($B4="",'Khai báo'!$C$13=""),0,IFERROR(1/(1/IFERROR(INDEX('Dán TĐ realtime'!$O$1:$O$1500,MATCH("*"&amp;$C4&amp;"|"&amp;'Khai báo'!$C$13,'Dán TĐ realtime'!$M$1:$M$1500,0)),0)),L4/SoNgay))</f>
        <v>0</v>
      </c>
      <c r="O4">
        <f>IF(OR($B4="",'Khai báo'!$C$14=""),0,IFERROR(INDEX('Dán TĐ lũy kế'!$N$1:$N$1500,MATCH("*"&amp;$C4&amp;"|"&amp;'Khai báo'!$C$14,'Dán TĐ lũy kế'!$M$1:$M$1500,0)),0))</f>
        <v>0</v>
      </c>
      <c r="P4">
        <f>IF(OR($B4="",'Khai báo'!$C$14=""),0,IFERROR(INDEX('Dán TĐ lũy kế'!$O$1:$O$1500,MATCH("*"&amp;$C4&amp;"|"&amp;'Khai báo'!$C$14,'Dán TĐ lũy kế'!$M$1:$M$1500,0)),0))</f>
        <v>0</v>
      </c>
      <c r="Q4">
        <f>IF(N('Khai báo'!F19)&gt;0,'Khai báo'!F19,P4)</f>
        <v>0</v>
      </c>
      <c r="R4">
        <f>IF(OR($B4="",'Khai báo'!$C$14=""),0,IFERROR(INDEX('Dán TĐ realtime'!$N$1:$N$1500,MATCH("*"&amp;$C4&amp;"|"&amp;'Khai báo'!$C$14,'Dán TĐ realtime'!$M$1:$M$1500,0)),0))</f>
        <v>0</v>
      </c>
      <c r="S4">
        <f>IF(OR($B4="",'Khai báo'!$C$14=""),0,IFERROR(1/(1/IFERROR(INDEX('Dán TĐ realtime'!$O$1:$O$1500,MATCH("*"&amp;$C4&amp;"|"&amp;'Khai báo'!$C$14,'Dán TĐ realtime'!$M$1:$M$1500,0)),0)),Q4/SoNgay))</f>
        <v>0</v>
      </c>
      <c r="T4">
        <f>IF(OR($B4="",'Khai báo'!$C$15=""),0,IFERROR(INDEX('Dán TĐ lũy kế'!$N$1:$N$1500,MATCH("*"&amp;$C4&amp;"|"&amp;'Khai báo'!$C$15,'Dán TĐ lũy kế'!$M$1:$M$1500,0)),0))</f>
        <v>0</v>
      </c>
      <c r="U4">
        <f>IF(OR($B4="",'Khai báo'!$C$15=""),0,IFERROR(INDEX('Dán TĐ lũy kế'!$O$1:$O$1500,MATCH("*"&amp;$C4&amp;"|"&amp;'Khai báo'!$C$15,'Dán TĐ lũy kế'!$M$1:$M$1500,0)),0))</f>
        <v>0</v>
      </c>
      <c r="V4">
        <f>IF(N('Khai báo'!G19)&gt;0,'Khai báo'!G19,U4)</f>
        <v>0</v>
      </c>
      <c r="W4">
        <f>IF(OR($B4="",'Khai báo'!$C$15=""),0,IFERROR(INDEX('Dán TĐ realtime'!$N$1:$N$1500,MATCH("*"&amp;$C4&amp;"|"&amp;'Khai báo'!$C$15,'Dán TĐ realtime'!$M$1:$M$1500,0)),0))</f>
        <v>0</v>
      </c>
      <c r="X4">
        <f>IF(OR($B4="",'Khai báo'!$C$15=""),0,IFERROR(1/(1/IFERROR(INDEX('Dán TĐ realtime'!$O$1:$O$1500,MATCH("*"&amp;$C4&amp;"|"&amp;'Khai báo'!$C$15,'Dán TĐ realtime'!$M$1:$M$1500,0)),0)),V4/SoNgay))</f>
        <v>0</v>
      </c>
      <c r="Y4">
        <f t="shared" si="0"/>
        <v>0</v>
      </c>
      <c r="Z4">
        <f t="shared" si="1"/>
        <v>0</v>
      </c>
      <c r="AA4">
        <f t="shared" si="2"/>
        <v>0</v>
      </c>
      <c r="AB4">
        <f t="shared" si="3"/>
        <v>0</v>
      </c>
      <c r="AC4" t="str">
        <f>IF(B4="","",IFERROR(IF(LEFT(INDEX('Dán TĐ lũy kế'!$B$1:$B$1500,MATCH("*"&amp;C4,'Dán TĐ lũy kế'!$A$1:$A$1500,0)),8)="SỐ LƯỢNG","SL","DT"),"DT"))</f>
        <v/>
      </c>
    </row>
    <row r="5" spans="1:29" x14ac:dyDescent="0.3">
      <c r="A5">
        <v>3</v>
      </c>
      <c r="B5" t="str">
        <f>IF('Khai báo'!A20="","",'Khai báo'!A20)</f>
        <v/>
      </c>
      <c r="C5" t="str">
        <f>IF(B5="","",TRIM('Khai báo'!B20))</f>
        <v/>
      </c>
      <c r="D5" t="str">
        <f>IF(B5="","",IF('Khai báo'!C20="Vượt trội","Vượt trội","Chính"))</f>
        <v/>
      </c>
      <c r="E5">
        <f>IF(OR($B5="",'Khai báo'!$C$12=""),0,IFERROR(INDEX('Dán TĐ lũy kế'!$N$1:$N$1500,MATCH("*"&amp;$C5&amp;"|"&amp;'Khai báo'!$C$12,'Dán TĐ lũy kế'!$M$1:$M$1500,0)),0))</f>
        <v>0</v>
      </c>
      <c r="F5">
        <f>IF(OR($B5="",'Khai báo'!$C$12=""),0,IFERROR(INDEX('Dán TĐ lũy kế'!$O$1:$O$1500,MATCH("*"&amp;$C5&amp;"|"&amp;'Khai báo'!$C$12,'Dán TĐ lũy kế'!$M$1:$M$1500,0)),0))</f>
        <v>0</v>
      </c>
      <c r="G5">
        <f>IF(N('Khai báo'!D20)&gt;0,'Khai báo'!D20,F5)</f>
        <v>0</v>
      </c>
      <c r="H5">
        <f>IF(OR($B5="",'Khai báo'!$C$12=""),0,IFERROR(INDEX('Dán TĐ realtime'!$N$1:$N$1500,MATCH("*"&amp;$C5&amp;"|"&amp;'Khai báo'!$C$12,'Dán TĐ realtime'!$M$1:$M$1500,0)),0))</f>
        <v>0</v>
      </c>
      <c r="I5">
        <f>IF(OR($B5="",'Khai báo'!$C$12=""),0,IFERROR(1/(1/IFERROR(INDEX('Dán TĐ realtime'!$O$1:$O$1500,MATCH("*"&amp;$C5&amp;"|"&amp;'Khai báo'!$C$12,'Dán TĐ realtime'!$M$1:$M$1500,0)),0)),G5/SoNgay))</f>
        <v>0</v>
      </c>
      <c r="J5">
        <f>IF(OR($B5="",'Khai báo'!$C$13=""),0,IFERROR(INDEX('Dán TĐ lũy kế'!$N$1:$N$1500,MATCH("*"&amp;$C5&amp;"|"&amp;'Khai báo'!$C$13,'Dán TĐ lũy kế'!$M$1:$M$1500,0)),0))</f>
        <v>0</v>
      </c>
      <c r="K5">
        <f>IF(OR($B5="",'Khai báo'!$C$13=""),0,IFERROR(INDEX('Dán TĐ lũy kế'!$O$1:$O$1500,MATCH("*"&amp;$C5&amp;"|"&amp;'Khai báo'!$C$13,'Dán TĐ lũy kế'!$M$1:$M$1500,0)),0))</f>
        <v>0</v>
      </c>
      <c r="L5">
        <f>IF(N('Khai báo'!E20)&gt;0,'Khai báo'!E20,K5)</f>
        <v>0</v>
      </c>
      <c r="M5">
        <f>IF(OR($B5="",'Khai báo'!$C$13=""),0,IFERROR(INDEX('Dán TĐ realtime'!$N$1:$N$1500,MATCH("*"&amp;$C5&amp;"|"&amp;'Khai báo'!$C$13,'Dán TĐ realtime'!$M$1:$M$1500,0)),0))</f>
        <v>0</v>
      </c>
      <c r="N5">
        <f>IF(OR($B5="",'Khai báo'!$C$13=""),0,IFERROR(1/(1/IFERROR(INDEX('Dán TĐ realtime'!$O$1:$O$1500,MATCH("*"&amp;$C5&amp;"|"&amp;'Khai báo'!$C$13,'Dán TĐ realtime'!$M$1:$M$1500,0)),0)),L5/SoNgay))</f>
        <v>0</v>
      </c>
      <c r="O5">
        <f>IF(OR($B5="",'Khai báo'!$C$14=""),0,IFERROR(INDEX('Dán TĐ lũy kế'!$N$1:$N$1500,MATCH("*"&amp;$C5&amp;"|"&amp;'Khai báo'!$C$14,'Dán TĐ lũy kế'!$M$1:$M$1500,0)),0))</f>
        <v>0</v>
      </c>
      <c r="P5">
        <f>IF(OR($B5="",'Khai báo'!$C$14=""),0,IFERROR(INDEX('Dán TĐ lũy kế'!$O$1:$O$1500,MATCH("*"&amp;$C5&amp;"|"&amp;'Khai báo'!$C$14,'Dán TĐ lũy kế'!$M$1:$M$1500,0)),0))</f>
        <v>0</v>
      </c>
      <c r="Q5">
        <f>IF(N('Khai báo'!F20)&gt;0,'Khai báo'!F20,P5)</f>
        <v>0</v>
      </c>
      <c r="R5">
        <f>IF(OR($B5="",'Khai báo'!$C$14=""),0,IFERROR(INDEX('Dán TĐ realtime'!$N$1:$N$1500,MATCH("*"&amp;$C5&amp;"|"&amp;'Khai báo'!$C$14,'Dán TĐ realtime'!$M$1:$M$1500,0)),0))</f>
        <v>0</v>
      </c>
      <c r="S5">
        <f>IF(OR($B5="",'Khai báo'!$C$14=""),0,IFERROR(1/(1/IFERROR(INDEX('Dán TĐ realtime'!$O$1:$O$1500,MATCH("*"&amp;$C5&amp;"|"&amp;'Khai báo'!$C$14,'Dán TĐ realtime'!$M$1:$M$1500,0)),0)),Q5/SoNgay))</f>
        <v>0</v>
      </c>
      <c r="T5">
        <f>IF(OR($B5="",'Khai báo'!$C$15=""),0,IFERROR(INDEX('Dán TĐ lũy kế'!$N$1:$N$1500,MATCH("*"&amp;$C5&amp;"|"&amp;'Khai báo'!$C$15,'Dán TĐ lũy kế'!$M$1:$M$1500,0)),0))</f>
        <v>0</v>
      </c>
      <c r="U5">
        <f>IF(OR($B5="",'Khai báo'!$C$15=""),0,IFERROR(INDEX('Dán TĐ lũy kế'!$O$1:$O$1500,MATCH("*"&amp;$C5&amp;"|"&amp;'Khai báo'!$C$15,'Dán TĐ lũy kế'!$M$1:$M$1500,0)),0))</f>
        <v>0</v>
      </c>
      <c r="V5">
        <f>IF(N('Khai báo'!G20)&gt;0,'Khai báo'!G20,U5)</f>
        <v>0</v>
      </c>
      <c r="W5">
        <f>IF(OR($B5="",'Khai báo'!$C$15=""),0,IFERROR(INDEX('Dán TĐ realtime'!$N$1:$N$1500,MATCH("*"&amp;$C5&amp;"|"&amp;'Khai báo'!$C$15,'Dán TĐ realtime'!$M$1:$M$1500,0)),0))</f>
        <v>0</v>
      </c>
      <c r="X5">
        <f>IF(OR($B5="",'Khai báo'!$C$15=""),0,IFERROR(1/(1/IFERROR(INDEX('Dán TĐ realtime'!$O$1:$O$1500,MATCH("*"&amp;$C5&amp;"|"&amp;'Khai báo'!$C$15,'Dán TĐ realtime'!$M$1:$M$1500,0)),0)),V5/SoNgay))</f>
        <v>0</v>
      </c>
      <c r="Y5">
        <f t="shared" si="0"/>
        <v>0</v>
      </c>
      <c r="Z5">
        <f t="shared" si="1"/>
        <v>0</v>
      </c>
      <c r="AA5">
        <f t="shared" si="2"/>
        <v>0</v>
      </c>
      <c r="AB5">
        <f t="shared" si="3"/>
        <v>0</v>
      </c>
      <c r="AC5" t="str">
        <f>IF(B5="","",IFERROR(IF(LEFT(INDEX('Dán TĐ lũy kế'!$B$1:$B$1500,MATCH("*"&amp;C5,'Dán TĐ lũy kế'!$A$1:$A$1500,0)),8)="SỐ LƯỢNG","SL","DT"),"DT"))</f>
        <v/>
      </c>
    </row>
    <row r="6" spans="1:29" x14ac:dyDescent="0.3">
      <c r="A6">
        <v>4</v>
      </c>
      <c r="B6" t="str">
        <f>IF('Khai báo'!A21="","",'Khai báo'!A21)</f>
        <v/>
      </c>
      <c r="C6" t="str">
        <f>IF(B6="","",TRIM('Khai báo'!B21))</f>
        <v/>
      </c>
      <c r="D6" t="str">
        <f>IF(B6="","",IF('Khai báo'!C21="Vượt trội","Vượt trội","Chính"))</f>
        <v/>
      </c>
      <c r="E6">
        <f>IF(OR($B6="",'Khai báo'!$C$12=""),0,IFERROR(INDEX('Dán TĐ lũy kế'!$N$1:$N$1500,MATCH("*"&amp;$C6&amp;"|"&amp;'Khai báo'!$C$12,'Dán TĐ lũy kế'!$M$1:$M$1500,0)),0))</f>
        <v>0</v>
      </c>
      <c r="F6">
        <f>IF(OR($B6="",'Khai báo'!$C$12=""),0,IFERROR(INDEX('Dán TĐ lũy kế'!$O$1:$O$1500,MATCH("*"&amp;$C6&amp;"|"&amp;'Khai báo'!$C$12,'Dán TĐ lũy kế'!$M$1:$M$1500,0)),0))</f>
        <v>0</v>
      </c>
      <c r="G6">
        <f>IF(N('Khai báo'!D21)&gt;0,'Khai báo'!D21,F6)</f>
        <v>0</v>
      </c>
      <c r="H6">
        <f>IF(OR($B6="",'Khai báo'!$C$12=""),0,IFERROR(INDEX('Dán TĐ realtime'!$N$1:$N$1500,MATCH("*"&amp;$C6&amp;"|"&amp;'Khai báo'!$C$12,'Dán TĐ realtime'!$M$1:$M$1500,0)),0))</f>
        <v>0</v>
      </c>
      <c r="I6">
        <f>IF(OR($B6="",'Khai báo'!$C$12=""),0,IFERROR(1/(1/IFERROR(INDEX('Dán TĐ realtime'!$O$1:$O$1500,MATCH("*"&amp;$C6&amp;"|"&amp;'Khai báo'!$C$12,'Dán TĐ realtime'!$M$1:$M$1500,0)),0)),G6/SoNgay))</f>
        <v>0</v>
      </c>
      <c r="J6">
        <f>IF(OR($B6="",'Khai báo'!$C$13=""),0,IFERROR(INDEX('Dán TĐ lũy kế'!$N$1:$N$1500,MATCH("*"&amp;$C6&amp;"|"&amp;'Khai báo'!$C$13,'Dán TĐ lũy kế'!$M$1:$M$1500,0)),0))</f>
        <v>0</v>
      </c>
      <c r="K6">
        <f>IF(OR($B6="",'Khai báo'!$C$13=""),0,IFERROR(INDEX('Dán TĐ lũy kế'!$O$1:$O$1500,MATCH("*"&amp;$C6&amp;"|"&amp;'Khai báo'!$C$13,'Dán TĐ lũy kế'!$M$1:$M$1500,0)),0))</f>
        <v>0</v>
      </c>
      <c r="L6">
        <f>IF(N('Khai báo'!E21)&gt;0,'Khai báo'!E21,K6)</f>
        <v>0</v>
      </c>
      <c r="M6">
        <f>IF(OR($B6="",'Khai báo'!$C$13=""),0,IFERROR(INDEX('Dán TĐ realtime'!$N$1:$N$1500,MATCH("*"&amp;$C6&amp;"|"&amp;'Khai báo'!$C$13,'Dán TĐ realtime'!$M$1:$M$1500,0)),0))</f>
        <v>0</v>
      </c>
      <c r="N6">
        <f>IF(OR($B6="",'Khai báo'!$C$13=""),0,IFERROR(1/(1/IFERROR(INDEX('Dán TĐ realtime'!$O$1:$O$1500,MATCH("*"&amp;$C6&amp;"|"&amp;'Khai báo'!$C$13,'Dán TĐ realtime'!$M$1:$M$1500,0)),0)),L6/SoNgay))</f>
        <v>0</v>
      </c>
      <c r="O6">
        <f>IF(OR($B6="",'Khai báo'!$C$14=""),0,IFERROR(INDEX('Dán TĐ lũy kế'!$N$1:$N$1500,MATCH("*"&amp;$C6&amp;"|"&amp;'Khai báo'!$C$14,'Dán TĐ lũy kế'!$M$1:$M$1500,0)),0))</f>
        <v>0</v>
      </c>
      <c r="P6">
        <f>IF(OR($B6="",'Khai báo'!$C$14=""),0,IFERROR(INDEX('Dán TĐ lũy kế'!$O$1:$O$1500,MATCH("*"&amp;$C6&amp;"|"&amp;'Khai báo'!$C$14,'Dán TĐ lũy kế'!$M$1:$M$1500,0)),0))</f>
        <v>0</v>
      </c>
      <c r="Q6">
        <f>IF(N('Khai báo'!F21)&gt;0,'Khai báo'!F21,P6)</f>
        <v>0</v>
      </c>
      <c r="R6">
        <f>IF(OR($B6="",'Khai báo'!$C$14=""),0,IFERROR(INDEX('Dán TĐ realtime'!$N$1:$N$1500,MATCH("*"&amp;$C6&amp;"|"&amp;'Khai báo'!$C$14,'Dán TĐ realtime'!$M$1:$M$1500,0)),0))</f>
        <v>0</v>
      </c>
      <c r="S6">
        <f>IF(OR($B6="",'Khai báo'!$C$14=""),0,IFERROR(1/(1/IFERROR(INDEX('Dán TĐ realtime'!$O$1:$O$1500,MATCH("*"&amp;$C6&amp;"|"&amp;'Khai báo'!$C$14,'Dán TĐ realtime'!$M$1:$M$1500,0)),0)),Q6/SoNgay))</f>
        <v>0</v>
      </c>
      <c r="T6">
        <f>IF(OR($B6="",'Khai báo'!$C$15=""),0,IFERROR(INDEX('Dán TĐ lũy kế'!$N$1:$N$1500,MATCH("*"&amp;$C6&amp;"|"&amp;'Khai báo'!$C$15,'Dán TĐ lũy kế'!$M$1:$M$1500,0)),0))</f>
        <v>0</v>
      </c>
      <c r="U6">
        <f>IF(OR($B6="",'Khai báo'!$C$15=""),0,IFERROR(INDEX('Dán TĐ lũy kế'!$O$1:$O$1500,MATCH("*"&amp;$C6&amp;"|"&amp;'Khai báo'!$C$15,'Dán TĐ lũy kế'!$M$1:$M$1500,0)),0))</f>
        <v>0</v>
      </c>
      <c r="V6">
        <f>IF(N('Khai báo'!G21)&gt;0,'Khai báo'!G21,U6)</f>
        <v>0</v>
      </c>
      <c r="W6">
        <f>IF(OR($B6="",'Khai báo'!$C$15=""),0,IFERROR(INDEX('Dán TĐ realtime'!$N$1:$N$1500,MATCH("*"&amp;$C6&amp;"|"&amp;'Khai báo'!$C$15,'Dán TĐ realtime'!$M$1:$M$1500,0)),0))</f>
        <v>0</v>
      </c>
      <c r="X6">
        <f>IF(OR($B6="",'Khai báo'!$C$15=""),0,IFERROR(1/(1/IFERROR(INDEX('Dán TĐ realtime'!$O$1:$O$1500,MATCH("*"&amp;$C6&amp;"|"&amp;'Khai báo'!$C$15,'Dán TĐ realtime'!$M$1:$M$1500,0)),0)),V6/SoNgay))</f>
        <v>0</v>
      </c>
      <c r="Y6">
        <f t="shared" si="0"/>
        <v>0</v>
      </c>
      <c r="Z6">
        <f t="shared" si="1"/>
        <v>0</v>
      </c>
      <c r="AA6">
        <f t="shared" si="2"/>
        <v>0</v>
      </c>
      <c r="AB6">
        <f t="shared" si="3"/>
        <v>0</v>
      </c>
      <c r="AC6" t="str">
        <f>IF(B6="","",IFERROR(IF(LEFT(INDEX('Dán TĐ lũy kế'!$B$1:$B$1500,MATCH("*"&amp;C6,'Dán TĐ lũy kế'!$A$1:$A$1500,0)),8)="SỐ LƯỢNG","SL","DT"),"DT"))</f>
        <v/>
      </c>
    </row>
    <row r="7" spans="1:29" x14ac:dyDescent="0.3">
      <c r="A7">
        <v>5</v>
      </c>
      <c r="B7" t="str">
        <f>IF('Khai báo'!A22="","",'Khai báo'!A22)</f>
        <v/>
      </c>
      <c r="C7" t="str">
        <f>IF(B7="","",TRIM('Khai báo'!B22))</f>
        <v/>
      </c>
      <c r="D7" t="str">
        <f>IF(B7="","",IF('Khai báo'!C22="Vượt trội","Vượt trội","Chính"))</f>
        <v/>
      </c>
      <c r="E7">
        <f>IF(OR($B7="",'Khai báo'!$C$12=""),0,IFERROR(INDEX('Dán TĐ lũy kế'!$N$1:$N$1500,MATCH("*"&amp;$C7&amp;"|"&amp;'Khai báo'!$C$12,'Dán TĐ lũy kế'!$M$1:$M$1500,0)),0))</f>
        <v>0</v>
      </c>
      <c r="F7">
        <f>IF(OR($B7="",'Khai báo'!$C$12=""),0,IFERROR(INDEX('Dán TĐ lũy kế'!$O$1:$O$1500,MATCH("*"&amp;$C7&amp;"|"&amp;'Khai báo'!$C$12,'Dán TĐ lũy kế'!$M$1:$M$1500,0)),0))</f>
        <v>0</v>
      </c>
      <c r="G7">
        <f>IF(N('Khai báo'!D22)&gt;0,'Khai báo'!D22,F7)</f>
        <v>0</v>
      </c>
      <c r="H7">
        <f>IF(OR($B7="",'Khai báo'!$C$12=""),0,IFERROR(INDEX('Dán TĐ realtime'!$N$1:$N$1500,MATCH("*"&amp;$C7&amp;"|"&amp;'Khai báo'!$C$12,'Dán TĐ realtime'!$M$1:$M$1500,0)),0))</f>
        <v>0</v>
      </c>
      <c r="I7">
        <f>IF(OR($B7="",'Khai báo'!$C$12=""),0,IFERROR(1/(1/IFERROR(INDEX('Dán TĐ realtime'!$O$1:$O$1500,MATCH("*"&amp;$C7&amp;"|"&amp;'Khai báo'!$C$12,'Dán TĐ realtime'!$M$1:$M$1500,0)),0)),G7/SoNgay))</f>
        <v>0</v>
      </c>
      <c r="J7">
        <f>IF(OR($B7="",'Khai báo'!$C$13=""),0,IFERROR(INDEX('Dán TĐ lũy kế'!$N$1:$N$1500,MATCH("*"&amp;$C7&amp;"|"&amp;'Khai báo'!$C$13,'Dán TĐ lũy kế'!$M$1:$M$1500,0)),0))</f>
        <v>0</v>
      </c>
      <c r="K7">
        <f>IF(OR($B7="",'Khai báo'!$C$13=""),0,IFERROR(INDEX('Dán TĐ lũy kế'!$O$1:$O$1500,MATCH("*"&amp;$C7&amp;"|"&amp;'Khai báo'!$C$13,'Dán TĐ lũy kế'!$M$1:$M$1500,0)),0))</f>
        <v>0</v>
      </c>
      <c r="L7">
        <f>IF(N('Khai báo'!E22)&gt;0,'Khai báo'!E22,K7)</f>
        <v>0</v>
      </c>
      <c r="M7">
        <f>IF(OR($B7="",'Khai báo'!$C$13=""),0,IFERROR(INDEX('Dán TĐ realtime'!$N$1:$N$1500,MATCH("*"&amp;$C7&amp;"|"&amp;'Khai báo'!$C$13,'Dán TĐ realtime'!$M$1:$M$1500,0)),0))</f>
        <v>0</v>
      </c>
      <c r="N7">
        <f>IF(OR($B7="",'Khai báo'!$C$13=""),0,IFERROR(1/(1/IFERROR(INDEX('Dán TĐ realtime'!$O$1:$O$1500,MATCH("*"&amp;$C7&amp;"|"&amp;'Khai báo'!$C$13,'Dán TĐ realtime'!$M$1:$M$1500,0)),0)),L7/SoNgay))</f>
        <v>0</v>
      </c>
      <c r="O7">
        <f>IF(OR($B7="",'Khai báo'!$C$14=""),0,IFERROR(INDEX('Dán TĐ lũy kế'!$N$1:$N$1500,MATCH("*"&amp;$C7&amp;"|"&amp;'Khai báo'!$C$14,'Dán TĐ lũy kế'!$M$1:$M$1500,0)),0))</f>
        <v>0</v>
      </c>
      <c r="P7">
        <f>IF(OR($B7="",'Khai báo'!$C$14=""),0,IFERROR(INDEX('Dán TĐ lũy kế'!$O$1:$O$1500,MATCH("*"&amp;$C7&amp;"|"&amp;'Khai báo'!$C$14,'Dán TĐ lũy kế'!$M$1:$M$1500,0)),0))</f>
        <v>0</v>
      </c>
      <c r="Q7">
        <f>IF(N('Khai báo'!F22)&gt;0,'Khai báo'!F22,P7)</f>
        <v>0</v>
      </c>
      <c r="R7">
        <f>IF(OR($B7="",'Khai báo'!$C$14=""),0,IFERROR(INDEX('Dán TĐ realtime'!$N$1:$N$1500,MATCH("*"&amp;$C7&amp;"|"&amp;'Khai báo'!$C$14,'Dán TĐ realtime'!$M$1:$M$1500,0)),0))</f>
        <v>0</v>
      </c>
      <c r="S7">
        <f>IF(OR($B7="",'Khai báo'!$C$14=""),0,IFERROR(1/(1/IFERROR(INDEX('Dán TĐ realtime'!$O$1:$O$1500,MATCH("*"&amp;$C7&amp;"|"&amp;'Khai báo'!$C$14,'Dán TĐ realtime'!$M$1:$M$1500,0)),0)),Q7/SoNgay))</f>
        <v>0</v>
      </c>
      <c r="T7">
        <f>IF(OR($B7="",'Khai báo'!$C$15=""),0,IFERROR(INDEX('Dán TĐ lũy kế'!$N$1:$N$1500,MATCH("*"&amp;$C7&amp;"|"&amp;'Khai báo'!$C$15,'Dán TĐ lũy kế'!$M$1:$M$1500,0)),0))</f>
        <v>0</v>
      </c>
      <c r="U7">
        <f>IF(OR($B7="",'Khai báo'!$C$15=""),0,IFERROR(INDEX('Dán TĐ lũy kế'!$O$1:$O$1500,MATCH("*"&amp;$C7&amp;"|"&amp;'Khai báo'!$C$15,'Dán TĐ lũy kế'!$M$1:$M$1500,0)),0))</f>
        <v>0</v>
      </c>
      <c r="V7">
        <f>IF(N('Khai báo'!G22)&gt;0,'Khai báo'!G22,U7)</f>
        <v>0</v>
      </c>
      <c r="W7">
        <f>IF(OR($B7="",'Khai báo'!$C$15=""),0,IFERROR(INDEX('Dán TĐ realtime'!$N$1:$N$1500,MATCH("*"&amp;$C7&amp;"|"&amp;'Khai báo'!$C$15,'Dán TĐ realtime'!$M$1:$M$1500,0)),0))</f>
        <v>0</v>
      </c>
      <c r="X7">
        <f>IF(OR($B7="",'Khai báo'!$C$15=""),0,IFERROR(1/(1/IFERROR(INDEX('Dán TĐ realtime'!$O$1:$O$1500,MATCH("*"&amp;$C7&amp;"|"&amp;'Khai báo'!$C$15,'Dán TĐ realtime'!$M$1:$M$1500,0)),0)),V7/SoNgay))</f>
        <v>0</v>
      </c>
      <c r="Y7">
        <f t="shared" si="0"/>
        <v>0</v>
      </c>
      <c r="Z7">
        <f t="shared" si="1"/>
        <v>0</v>
      </c>
      <c r="AA7">
        <f t="shared" si="2"/>
        <v>0</v>
      </c>
      <c r="AB7">
        <f t="shared" si="3"/>
        <v>0</v>
      </c>
      <c r="AC7" t="str">
        <f>IF(B7="","",IFERROR(IF(LEFT(INDEX('Dán TĐ lũy kế'!$B$1:$B$1500,MATCH("*"&amp;C7,'Dán TĐ lũy kế'!$A$1:$A$1500,0)),8)="SỐ LƯỢNG","SL","DT"),"DT"))</f>
        <v/>
      </c>
    </row>
    <row r="8" spans="1:29" x14ac:dyDescent="0.3">
      <c r="A8">
        <v>6</v>
      </c>
      <c r="B8" t="str">
        <f>IF('Khai báo'!A23="","",'Khai báo'!A23)</f>
        <v/>
      </c>
      <c r="C8" t="str">
        <f>IF(B8="","",TRIM('Khai báo'!B23))</f>
        <v/>
      </c>
      <c r="D8" t="str">
        <f>IF(B8="","",IF('Khai báo'!C23="Vượt trội","Vượt trội","Chính"))</f>
        <v/>
      </c>
      <c r="E8">
        <f>IF(OR($B8="",'Khai báo'!$C$12=""),0,IFERROR(INDEX('Dán TĐ lũy kế'!$N$1:$N$1500,MATCH("*"&amp;$C8&amp;"|"&amp;'Khai báo'!$C$12,'Dán TĐ lũy kế'!$M$1:$M$1500,0)),0))</f>
        <v>0</v>
      </c>
      <c r="F8">
        <f>IF(OR($B8="",'Khai báo'!$C$12=""),0,IFERROR(INDEX('Dán TĐ lũy kế'!$O$1:$O$1500,MATCH("*"&amp;$C8&amp;"|"&amp;'Khai báo'!$C$12,'Dán TĐ lũy kế'!$M$1:$M$1500,0)),0))</f>
        <v>0</v>
      </c>
      <c r="G8">
        <f>IF(N('Khai báo'!D23)&gt;0,'Khai báo'!D23,F8)</f>
        <v>0</v>
      </c>
      <c r="H8">
        <f>IF(OR($B8="",'Khai báo'!$C$12=""),0,IFERROR(INDEX('Dán TĐ realtime'!$N$1:$N$1500,MATCH("*"&amp;$C8&amp;"|"&amp;'Khai báo'!$C$12,'Dán TĐ realtime'!$M$1:$M$1500,0)),0))</f>
        <v>0</v>
      </c>
      <c r="I8">
        <f>IF(OR($B8="",'Khai báo'!$C$12=""),0,IFERROR(1/(1/IFERROR(INDEX('Dán TĐ realtime'!$O$1:$O$1500,MATCH("*"&amp;$C8&amp;"|"&amp;'Khai báo'!$C$12,'Dán TĐ realtime'!$M$1:$M$1500,0)),0)),G8/SoNgay))</f>
        <v>0</v>
      </c>
      <c r="J8">
        <f>IF(OR($B8="",'Khai báo'!$C$13=""),0,IFERROR(INDEX('Dán TĐ lũy kế'!$N$1:$N$1500,MATCH("*"&amp;$C8&amp;"|"&amp;'Khai báo'!$C$13,'Dán TĐ lũy kế'!$M$1:$M$1500,0)),0))</f>
        <v>0</v>
      </c>
      <c r="K8">
        <f>IF(OR($B8="",'Khai báo'!$C$13=""),0,IFERROR(INDEX('Dán TĐ lũy kế'!$O$1:$O$1500,MATCH("*"&amp;$C8&amp;"|"&amp;'Khai báo'!$C$13,'Dán TĐ lũy kế'!$M$1:$M$1500,0)),0))</f>
        <v>0</v>
      </c>
      <c r="L8">
        <f>IF(N('Khai báo'!E23)&gt;0,'Khai báo'!E23,K8)</f>
        <v>0</v>
      </c>
      <c r="M8">
        <f>IF(OR($B8="",'Khai báo'!$C$13=""),0,IFERROR(INDEX('Dán TĐ realtime'!$N$1:$N$1500,MATCH("*"&amp;$C8&amp;"|"&amp;'Khai báo'!$C$13,'Dán TĐ realtime'!$M$1:$M$1500,0)),0))</f>
        <v>0</v>
      </c>
      <c r="N8">
        <f>IF(OR($B8="",'Khai báo'!$C$13=""),0,IFERROR(1/(1/IFERROR(INDEX('Dán TĐ realtime'!$O$1:$O$1500,MATCH("*"&amp;$C8&amp;"|"&amp;'Khai báo'!$C$13,'Dán TĐ realtime'!$M$1:$M$1500,0)),0)),L8/SoNgay))</f>
        <v>0</v>
      </c>
      <c r="O8">
        <f>IF(OR($B8="",'Khai báo'!$C$14=""),0,IFERROR(INDEX('Dán TĐ lũy kế'!$N$1:$N$1500,MATCH("*"&amp;$C8&amp;"|"&amp;'Khai báo'!$C$14,'Dán TĐ lũy kế'!$M$1:$M$1500,0)),0))</f>
        <v>0</v>
      </c>
      <c r="P8">
        <f>IF(OR($B8="",'Khai báo'!$C$14=""),0,IFERROR(INDEX('Dán TĐ lũy kế'!$O$1:$O$1500,MATCH("*"&amp;$C8&amp;"|"&amp;'Khai báo'!$C$14,'Dán TĐ lũy kế'!$M$1:$M$1500,0)),0))</f>
        <v>0</v>
      </c>
      <c r="Q8">
        <f>IF(N('Khai báo'!F23)&gt;0,'Khai báo'!F23,P8)</f>
        <v>0</v>
      </c>
      <c r="R8">
        <f>IF(OR($B8="",'Khai báo'!$C$14=""),0,IFERROR(INDEX('Dán TĐ realtime'!$N$1:$N$1500,MATCH("*"&amp;$C8&amp;"|"&amp;'Khai báo'!$C$14,'Dán TĐ realtime'!$M$1:$M$1500,0)),0))</f>
        <v>0</v>
      </c>
      <c r="S8">
        <f>IF(OR($B8="",'Khai báo'!$C$14=""),0,IFERROR(1/(1/IFERROR(INDEX('Dán TĐ realtime'!$O$1:$O$1500,MATCH("*"&amp;$C8&amp;"|"&amp;'Khai báo'!$C$14,'Dán TĐ realtime'!$M$1:$M$1500,0)),0)),Q8/SoNgay))</f>
        <v>0</v>
      </c>
      <c r="T8">
        <f>IF(OR($B8="",'Khai báo'!$C$15=""),0,IFERROR(INDEX('Dán TĐ lũy kế'!$N$1:$N$1500,MATCH("*"&amp;$C8&amp;"|"&amp;'Khai báo'!$C$15,'Dán TĐ lũy kế'!$M$1:$M$1500,0)),0))</f>
        <v>0</v>
      </c>
      <c r="U8">
        <f>IF(OR($B8="",'Khai báo'!$C$15=""),0,IFERROR(INDEX('Dán TĐ lũy kế'!$O$1:$O$1500,MATCH("*"&amp;$C8&amp;"|"&amp;'Khai báo'!$C$15,'Dán TĐ lũy kế'!$M$1:$M$1500,0)),0))</f>
        <v>0</v>
      </c>
      <c r="V8">
        <f>IF(N('Khai báo'!G23)&gt;0,'Khai báo'!G23,U8)</f>
        <v>0</v>
      </c>
      <c r="W8">
        <f>IF(OR($B8="",'Khai báo'!$C$15=""),0,IFERROR(INDEX('Dán TĐ realtime'!$N$1:$N$1500,MATCH("*"&amp;$C8&amp;"|"&amp;'Khai báo'!$C$15,'Dán TĐ realtime'!$M$1:$M$1500,0)),0))</f>
        <v>0</v>
      </c>
      <c r="X8">
        <f>IF(OR($B8="",'Khai báo'!$C$15=""),0,IFERROR(1/(1/IFERROR(INDEX('Dán TĐ realtime'!$O$1:$O$1500,MATCH("*"&amp;$C8&amp;"|"&amp;'Khai báo'!$C$15,'Dán TĐ realtime'!$M$1:$M$1500,0)),0)),V8/SoNgay))</f>
        <v>0</v>
      </c>
      <c r="Y8">
        <f t="shared" si="0"/>
        <v>0</v>
      </c>
      <c r="Z8">
        <f t="shared" si="1"/>
        <v>0</v>
      </c>
      <c r="AA8">
        <f t="shared" si="2"/>
        <v>0</v>
      </c>
      <c r="AB8">
        <f t="shared" si="3"/>
        <v>0</v>
      </c>
      <c r="AC8" t="str">
        <f>IF(B8="","",IFERROR(IF(LEFT(INDEX('Dán TĐ lũy kế'!$B$1:$B$1500,MATCH("*"&amp;C8,'Dán TĐ lũy kế'!$A$1:$A$1500,0)),8)="SỐ LƯỢNG","SL","DT"),"DT"))</f>
        <v/>
      </c>
    </row>
    <row r="9" spans="1:29" x14ac:dyDescent="0.3">
      <c r="A9">
        <v>7</v>
      </c>
      <c r="B9" t="str">
        <f>IF('Khai báo'!A24="","",'Khai báo'!A24)</f>
        <v/>
      </c>
      <c r="C9" t="str">
        <f>IF(B9="","",TRIM('Khai báo'!B24))</f>
        <v/>
      </c>
      <c r="D9" t="str">
        <f>IF(B9="","",IF('Khai báo'!C24="Vượt trội","Vượt trội","Chính"))</f>
        <v/>
      </c>
      <c r="E9">
        <f>IF(OR($B9="",'Khai báo'!$C$12=""),0,IFERROR(INDEX('Dán TĐ lũy kế'!$N$1:$N$1500,MATCH("*"&amp;$C9&amp;"|"&amp;'Khai báo'!$C$12,'Dán TĐ lũy kế'!$M$1:$M$1500,0)),0))</f>
        <v>0</v>
      </c>
      <c r="F9">
        <f>IF(OR($B9="",'Khai báo'!$C$12=""),0,IFERROR(INDEX('Dán TĐ lũy kế'!$O$1:$O$1500,MATCH("*"&amp;$C9&amp;"|"&amp;'Khai báo'!$C$12,'Dán TĐ lũy kế'!$M$1:$M$1500,0)),0))</f>
        <v>0</v>
      </c>
      <c r="G9">
        <f>IF(N('Khai báo'!D24)&gt;0,'Khai báo'!D24,F9)</f>
        <v>0</v>
      </c>
      <c r="H9">
        <f>IF(OR($B9="",'Khai báo'!$C$12=""),0,IFERROR(INDEX('Dán TĐ realtime'!$N$1:$N$1500,MATCH("*"&amp;$C9&amp;"|"&amp;'Khai báo'!$C$12,'Dán TĐ realtime'!$M$1:$M$1500,0)),0))</f>
        <v>0</v>
      </c>
      <c r="I9">
        <f>IF(OR($B9="",'Khai báo'!$C$12=""),0,IFERROR(1/(1/IFERROR(INDEX('Dán TĐ realtime'!$O$1:$O$1500,MATCH("*"&amp;$C9&amp;"|"&amp;'Khai báo'!$C$12,'Dán TĐ realtime'!$M$1:$M$1500,0)),0)),G9/SoNgay))</f>
        <v>0</v>
      </c>
      <c r="J9">
        <f>IF(OR($B9="",'Khai báo'!$C$13=""),0,IFERROR(INDEX('Dán TĐ lũy kế'!$N$1:$N$1500,MATCH("*"&amp;$C9&amp;"|"&amp;'Khai báo'!$C$13,'Dán TĐ lũy kế'!$M$1:$M$1500,0)),0))</f>
        <v>0</v>
      </c>
      <c r="K9">
        <f>IF(OR($B9="",'Khai báo'!$C$13=""),0,IFERROR(INDEX('Dán TĐ lũy kế'!$O$1:$O$1500,MATCH("*"&amp;$C9&amp;"|"&amp;'Khai báo'!$C$13,'Dán TĐ lũy kế'!$M$1:$M$1500,0)),0))</f>
        <v>0</v>
      </c>
      <c r="L9">
        <f>IF(N('Khai báo'!E24)&gt;0,'Khai báo'!E24,K9)</f>
        <v>0</v>
      </c>
      <c r="M9">
        <f>IF(OR($B9="",'Khai báo'!$C$13=""),0,IFERROR(INDEX('Dán TĐ realtime'!$N$1:$N$1500,MATCH("*"&amp;$C9&amp;"|"&amp;'Khai báo'!$C$13,'Dán TĐ realtime'!$M$1:$M$1500,0)),0))</f>
        <v>0</v>
      </c>
      <c r="N9">
        <f>IF(OR($B9="",'Khai báo'!$C$13=""),0,IFERROR(1/(1/IFERROR(INDEX('Dán TĐ realtime'!$O$1:$O$1500,MATCH("*"&amp;$C9&amp;"|"&amp;'Khai báo'!$C$13,'Dán TĐ realtime'!$M$1:$M$1500,0)),0)),L9/SoNgay))</f>
        <v>0</v>
      </c>
      <c r="O9">
        <f>IF(OR($B9="",'Khai báo'!$C$14=""),0,IFERROR(INDEX('Dán TĐ lũy kế'!$N$1:$N$1500,MATCH("*"&amp;$C9&amp;"|"&amp;'Khai báo'!$C$14,'Dán TĐ lũy kế'!$M$1:$M$1500,0)),0))</f>
        <v>0</v>
      </c>
      <c r="P9">
        <f>IF(OR($B9="",'Khai báo'!$C$14=""),0,IFERROR(INDEX('Dán TĐ lũy kế'!$O$1:$O$1500,MATCH("*"&amp;$C9&amp;"|"&amp;'Khai báo'!$C$14,'Dán TĐ lũy kế'!$M$1:$M$1500,0)),0))</f>
        <v>0</v>
      </c>
      <c r="Q9">
        <f>IF(N('Khai báo'!F24)&gt;0,'Khai báo'!F24,P9)</f>
        <v>0</v>
      </c>
      <c r="R9">
        <f>IF(OR($B9="",'Khai báo'!$C$14=""),0,IFERROR(INDEX('Dán TĐ realtime'!$N$1:$N$1500,MATCH("*"&amp;$C9&amp;"|"&amp;'Khai báo'!$C$14,'Dán TĐ realtime'!$M$1:$M$1500,0)),0))</f>
        <v>0</v>
      </c>
      <c r="S9">
        <f>IF(OR($B9="",'Khai báo'!$C$14=""),0,IFERROR(1/(1/IFERROR(INDEX('Dán TĐ realtime'!$O$1:$O$1500,MATCH("*"&amp;$C9&amp;"|"&amp;'Khai báo'!$C$14,'Dán TĐ realtime'!$M$1:$M$1500,0)),0)),Q9/SoNgay))</f>
        <v>0</v>
      </c>
      <c r="T9">
        <f>IF(OR($B9="",'Khai báo'!$C$15=""),0,IFERROR(INDEX('Dán TĐ lũy kế'!$N$1:$N$1500,MATCH("*"&amp;$C9&amp;"|"&amp;'Khai báo'!$C$15,'Dán TĐ lũy kế'!$M$1:$M$1500,0)),0))</f>
        <v>0</v>
      </c>
      <c r="U9">
        <f>IF(OR($B9="",'Khai báo'!$C$15=""),0,IFERROR(INDEX('Dán TĐ lũy kế'!$O$1:$O$1500,MATCH("*"&amp;$C9&amp;"|"&amp;'Khai báo'!$C$15,'Dán TĐ lũy kế'!$M$1:$M$1500,0)),0))</f>
        <v>0</v>
      </c>
      <c r="V9">
        <f>IF(N('Khai báo'!G24)&gt;0,'Khai báo'!G24,U9)</f>
        <v>0</v>
      </c>
      <c r="W9">
        <f>IF(OR($B9="",'Khai báo'!$C$15=""),0,IFERROR(INDEX('Dán TĐ realtime'!$N$1:$N$1500,MATCH("*"&amp;$C9&amp;"|"&amp;'Khai báo'!$C$15,'Dán TĐ realtime'!$M$1:$M$1500,0)),0))</f>
        <v>0</v>
      </c>
      <c r="X9">
        <f>IF(OR($B9="",'Khai báo'!$C$15=""),0,IFERROR(1/(1/IFERROR(INDEX('Dán TĐ realtime'!$O$1:$O$1500,MATCH("*"&amp;$C9&amp;"|"&amp;'Khai báo'!$C$15,'Dán TĐ realtime'!$M$1:$M$1500,0)),0)),V9/SoNgay))</f>
        <v>0</v>
      </c>
      <c r="Y9">
        <f t="shared" si="0"/>
        <v>0</v>
      </c>
      <c r="Z9">
        <f t="shared" si="1"/>
        <v>0</v>
      </c>
      <c r="AA9">
        <f t="shared" si="2"/>
        <v>0</v>
      </c>
      <c r="AB9">
        <f t="shared" si="3"/>
        <v>0</v>
      </c>
      <c r="AC9" t="str">
        <f>IF(B9="","",IFERROR(IF(LEFT(INDEX('Dán TĐ lũy kế'!$B$1:$B$1500,MATCH("*"&amp;C9,'Dán TĐ lũy kế'!$A$1:$A$1500,0)),8)="SỐ LƯỢNG","SL","DT"),"DT"))</f>
        <v/>
      </c>
    </row>
    <row r="10" spans="1:29" x14ac:dyDescent="0.3">
      <c r="A10">
        <v>8</v>
      </c>
      <c r="B10" t="str">
        <f>IF('Khai báo'!A25="","",'Khai báo'!A25)</f>
        <v/>
      </c>
      <c r="C10" t="str">
        <f>IF(B10="","",TRIM('Khai báo'!B25))</f>
        <v/>
      </c>
      <c r="D10" t="str">
        <f>IF(B10="","",IF('Khai báo'!C25="Vượt trội","Vượt trội","Chính"))</f>
        <v/>
      </c>
      <c r="E10">
        <f>IF(OR($B10="",'Khai báo'!$C$12=""),0,IFERROR(INDEX('Dán TĐ lũy kế'!$N$1:$N$1500,MATCH("*"&amp;$C10&amp;"|"&amp;'Khai báo'!$C$12,'Dán TĐ lũy kế'!$M$1:$M$1500,0)),0))</f>
        <v>0</v>
      </c>
      <c r="F10">
        <f>IF(OR($B10="",'Khai báo'!$C$12=""),0,IFERROR(INDEX('Dán TĐ lũy kế'!$O$1:$O$1500,MATCH("*"&amp;$C10&amp;"|"&amp;'Khai báo'!$C$12,'Dán TĐ lũy kế'!$M$1:$M$1500,0)),0))</f>
        <v>0</v>
      </c>
      <c r="G10">
        <f>IF(N('Khai báo'!D25)&gt;0,'Khai báo'!D25,F10)</f>
        <v>0</v>
      </c>
      <c r="H10">
        <f>IF(OR($B10="",'Khai báo'!$C$12=""),0,IFERROR(INDEX('Dán TĐ realtime'!$N$1:$N$1500,MATCH("*"&amp;$C10&amp;"|"&amp;'Khai báo'!$C$12,'Dán TĐ realtime'!$M$1:$M$1500,0)),0))</f>
        <v>0</v>
      </c>
      <c r="I10">
        <f>IF(OR($B10="",'Khai báo'!$C$12=""),0,IFERROR(1/(1/IFERROR(INDEX('Dán TĐ realtime'!$O$1:$O$1500,MATCH("*"&amp;$C10&amp;"|"&amp;'Khai báo'!$C$12,'Dán TĐ realtime'!$M$1:$M$1500,0)),0)),G10/SoNgay))</f>
        <v>0</v>
      </c>
      <c r="J10">
        <f>IF(OR($B10="",'Khai báo'!$C$13=""),0,IFERROR(INDEX('Dán TĐ lũy kế'!$N$1:$N$1500,MATCH("*"&amp;$C10&amp;"|"&amp;'Khai báo'!$C$13,'Dán TĐ lũy kế'!$M$1:$M$1500,0)),0))</f>
        <v>0</v>
      </c>
      <c r="K10">
        <f>IF(OR($B10="",'Khai báo'!$C$13=""),0,IFERROR(INDEX('Dán TĐ lũy kế'!$O$1:$O$1500,MATCH("*"&amp;$C10&amp;"|"&amp;'Khai báo'!$C$13,'Dán TĐ lũy kế'!$M$1:$M$1500,0)),0))</f>
        <v>0</v>
      </c>
      <c r="L10">
        <f>IF(N('Khai báo'!E25)&gt;0,'Khai báo'!E25,K10)</f>
        <v>0</v>
      </c>
      <c r="M10">
        <f>IF(OR($B10="",'Khai báo'!$C$13=""),0,IFERROR(INDEX('Dán TĐ realtime'!$N$1:$N$1500,MATCH("*"&amp;$C10&amp;"|"&amp;'Khai báo'!$C$13,'Dán TĐ realtime'!$M$1:$M$1500,0)),0))</f>
        <v>0</v>
      </c>
      <c r="N10">
        <f>IF(OR($B10="",'Khai báo'!$C$13=""),0,IFERROR(1/(1/IFERROR(INDEX('Dán TĐ realtime'!$O$1:$O$1500,MATCH("*"&amp;$C10&amp;"|"&amp;'Khai báo'!$C$13,'Dán TĐ realtime'!$M$1:$M$1500,0)),0)),L10/SoNgay))</f>
        <v>0</v>
      </c>
      <c r="O10">
        <f>IF(OR($B10="",'Khai báo'!$C$14=""),0,IFERROR(INDEX('Dán TĐ lũy kế'!$N$1:$N$1500,MATCH("*"&amp;$C10&amp;"|"&amp;'Khai báo'!$C$14,'Dán TĐ lũy kế'!$M$1:$M$1500,0)),0))</f>
        <v>0</v>
      </c>
      <c r="P10">
        <f>IF(OR($B10="",'Khai báo'!$C$14=""),0,IFERROR(INDEX('Dán TĐ lũy kế'!$O$1:$O$1500,MATCH("*"&amp;$C10&amp;"|"&amp;'Khai báo'!$C$14,'Dán TĐ lũy kế'!$M$1:$M$1500,0)),0))</f>
        <v>0</v>
      </c>
      <c r="Q10">
        <f>IF(N('Khai báo'!F25)&gt;0,'Khai báo'!F25,P10)</f>
        <v>0</v>
      </c>
      <c r="R10">
        <f>IF(OR($B10="",'Khai báo'!$C$14=""),0,IFERROR(INDEX('Dán TĐ realtime'!$N$1:$N$1500,MATCH("*"&amp;$C10&amp;"|"&amp;'Khai báo'!$C$14,'Dán TĐ realtime'!$M$1:$M$1500,0)),0))</f>
        <v>0</v>
      </c>
      <c r="S10">
        <f>IF(OR($B10="",'Khai báo'!$C$14=""),0,IFERROR(1/(1/IFERROR(INDEX('Dán TĐ realtime'!$O$1:$O$1500,MATCH("*"&amp;$C10&amp;"|"&amp;'Khai báo'!$C$14,'Dán TĐ realtime'!$M$1:$M$1500,0)),0)),Q10/SoNgay))</f>
        <v>0</v>
      </c>
      <c r="T10">
        <f>IF(OR($B10="",'Khai báo'!$C$15=""),0,IFERROR(INDEX('Dán TĐ lũy kế'!$N$1:$N$1500,MATCH("*"&amp;$C10&amp;"|"&amp;'Khai báo'!$C$15,'Dán TĐ lũy kế'!$M$1:$M$1500,0)),0))</f>
        <v>0</v>
      </c>
      <c r="U10">
        <f>IF(OR($B10="",'Khai báo'!$C$15=""),0,IFERROR(INDEX('Dán TĐ lũy kế'!$O$1:$O$1500,MATCH("*"&amp;$C10&amp;"|"&amp;'Khai báo'!$C$15,'Dán TĐ lũy kế'!$M$1:$M$1500,0)),0))</f>
        <v>0</v>
      </c>
      <c r="V10">
        <f>IF(N('Khai báo'!G25)&gt;0,'Khai báo'!G25,U10)</f>
        <v>0</v>
      </c>
      <c r="W10">
        <f>IF(OR($B10="",'Khai báo'!$C$15=""),0,IFERROR(INDEX('Dán TĐ realtime'!$N$1:$N$1500,MATCH("*"&amp;$C10&amp;"|"&amp;'Khai báo'!$C$15,'Dán TĐ realtime'!$M$1:$M$1500,0)),0))</f>
        <v>0</v>
      </c>
      <c r="X10">
        <f>IF(OR($B10="",'Khai báo'!$C$15=""),0,IFERROR(1/(1/IFERROR(INDEX('Dán TĐ realtime'!$O$1:$O$1500,MATCH("*"&amp;$C10&amp;"|"&amp;'Khai báo'!$C$15,'Dán TĐ realtime'!$M$1:$M$1500,0)),0)),V10/SoNgay))</f>
        <v>0</v>
      </c>
      <c r="Y10">
        <f t="shared" si="0"/>
        <v>0</v>
      </c>
      <c r="Z10">
        <f t="shared" si="1"/>
        <v>0</v>
      </c>
      <c r="AA10">
        <f t="shared" si="2"/>
        <v>0</v>
      </c>
      <c r="AB10">
        <f t="shared" si="3"/>
        <v>0</v>
      </c>
      <c r="AC10" t="str">
        <f>IF(B10="","",IFERROR(IF(LEFT(INDEX('Dán TĐ lũy kế'!$B$1:$B$1500,MATCH("*"&amp;C10,'Dán TĐ lũy kế'!$A$1:$A$1500,0)),8)="SỐ LƯỢNG","SL","DT"),"DT"))</f>
        <v/>
      </c>
    </row>
    <row r="11" spans="1:29" x14ac:dyDescent="0.3">
      <c r="A11">
        <v>9</v>
      </c>
      <c r="B11" t="str">
        <f>IF('Khai báo'!A26="","",'Khai báo'!A26)</f>
        <v/>
      </c>
      <c r="C11" t="str">
        <f>IF(B11="","",TRIM('Khai báo'!B26))</f>
        <v/>
      </c>
      <c r="D11" t="str">
        <f>IF(B11="","",IF('Khai báo'!C26="Vượt trội","Vượt trội","Chính"))</f>
        <v/>
      </c>
      <c r="E11">
        <f>IF(OR($B11="",'Khai báo'!$C$12=""),0,IFERROR(INDEX('Dán TĐ lũy kế'!$N$1:$N$1500,MATCH("*"&amp;$C11&amp;"|"&amp;'Khai báo'!$C$12,'Dán TĐ lũy kế'!$M$1:$M$1500,0)),0))</f>
        <v>0</v>
      </c>
      <c r="F11">
        <f>IF(OR($B11="",'Khai báo'!$C$12=""),0,IFERROR(INDEX('Dán TĐ lũy kế'!$O$1:$O$1500,MATCH("*"&amp;$C11&amp;"|"&amp;'Khai báo'!$C$12,'Dán TĐ lũy kế'!$M$1:$M$1500,0)),0))</f>
        <v>0</v>
      </c>
      <c r="G11">
        <f>IF(N('Khai báo'!D26)&gt;0,'Khai báo'!D26,F11)</f>
        <v>0</v>
      </c>
      <c r="H11">
        <f>IF(OR($B11="",'Khai báo'!$C$12=""),0,IFERROR(INDEX('Dán TĐ realtime'!$N$1:$N$1500,MATCH("*"&amp;$C11&amp;"|"&amp;'Khai báo'!$C$12,'Dán TĐ realtime'!$M$1:$M$1500,0)),0))</f>
        <v>0</v>
      </c>
      <c r="I11">
        <f>IF(OR($B11="",'Khai báo'!$C$12=""),0,IFERROR(1/(1/IFERROR(INDEX('Dán TĐ realtime'!$O$1:$O$1500,MATCH("*"&amp;$C11&amp;"|"&amp;'Khai báo'!$C$12,'Dán TĐ realtime'!$M$1:$M$1500,0)),0)),G11/SoNgay))</f>
        <v>0</v>
      </c>
      <c r="J11">
        <f>IF(OR($B11="",'Khai báo'!$C$13=""),0,IFERROR(INDEX('Dán TĐ lũy kế'!$N$1:$N$1500,MATCH("*"&amp;$C11&amp;"|"&amp;'Khai báo'!$C$13,'Dán TĐ lũy kế'!$M$1:$M$1500,0)),0))</f>
        <v>0</v>
      </c>
      <c r="K11">
        <f>IF(OR($B11="",'Khai báo'!$C$13=""),0,IFERROR(INDEX('Dán TĐ lũy kế'!$O$1:$O$1500,MATCH("*"&amp;$C11&amp;"|"&amp;'Khai báo'!$C$13,'Dán TĐ lũy kế'!$M$1:$M$1500,0)),0))</f>
        <v>0</v>
      </c>
      <c r="L11">
        <f>IF(N('Khai báo'!E26)&gt;0,'Khai báo'!E26,K11)</f>
        <v>0</v>
      </c>
      <c r="M11">
        <f>IF(OR($B11="",'Khai báo'!$C$13=""),0,IFERROR(INDEX('Dán TĐ realtime'!$N$1:$N$1500,MATCH("*"&amp;$C11&amp;"|"&amp;'Khai báo'!$C$13,'Dán TĐ realtime'!$M$1:$M$1500,0)),0))</f>
        <v>0</v>
      </c>
      <c r="N11">
        <f>IF(OR($B11="",'Khai báo'!$C$13=""),0,IFERROR(1/(1/IFERROR(INDEX('Dán TĐ realtime'!$O$1:$O$1500,MATCH("*"&amp;$C11&amp;"|"&amp;'Khai báo'!$C$13,'Dán TĐ realtime'!$M$1:$M$1500,0)),0)),L11/SoNgay))</f>
        <v>0</v>
      </c>
      <c r="O11">
        <f>IF(OR($B11="",'Khai báo'!$C$14=""),0,IFERROR(INDEX('Dán TĐ lũy kế'!$N$1:$N$1500,MATCH("*"&amp;$C11&amp;"|"&amp;'Khai báo'!$C$14,'Dán TĐ lũy kế'!$M$1:$M$1500,0)),0))</f>
        <v>0</v>
      </c>
      <c r="P11">
        <f>IF(OR($B11="",'Khai báo'!$C$14=""),0,IFERROR(INDEX('Dán TĐ lũy kế'!$O$1:$O$1500,MATCH("*"&amp;$C11&amp;"|"&amp;'Khai báo'!$C$14,'Dán TĐ lũy kế'!$M$1:$M$1500,0)),0))</f>
        <v>0</v>
      </c>
      <c r="Q11">
        <f>IF(N('Khai báo'!F26)&gt;0,'Khai báo'!F26,P11)</f>
        <v>0</v>
      </c>
      <c r="R11">
        <f>IF(OR($B11="",'Khai báo'!$C$14=""),0,IFERROR(INDEX('Dán TĐ realtime'!$N$1:$N$1500,MATCH("*"&amp;$C11&amp;"|"&amp;'Khai báo'!$C$14,'Dán TĐ realtime'!$M$1:$M$1500,0)),0))</f>
        <v>0</v>
      </c>
      <c r="S11">
        <f>IF(OR($B11="",'Khai báo'!$C$14=""),0,IFERROR(1/(1/IFERROR(INDEX('Dán TĐ realtime'!$O$1:$O$1500,MATCH("*"&amp;$C11&amp;"|"&amp;'Khai báo'!$C$14,'Dán TĐ realtime'!$M$1:$M$1500,0)),0)),Q11/SoNgay))</f>
        <v>0</v>
      </c>
      <c r="T11">
        <f>IF(OR($B11="",'Khai báo'!$C$15=""),0,IFERROR(INDEX('Dán TĐ lũy kế'!$N$1:$N$1500,MATCH("*"&amp;$C11&amp;"|"&amp;'Khai báo'!$C$15,'Dán TĐ lũy kế'!$M$1:$M$1500,0)),0))</f>
        <v>0</v>
      </c>
      <c r="U11">
        <f>IF(OR($B11="",'Khai báo'!$C$15=""),0,IFERROR(INDEX('Dán TĐ lũy kế'!$O$1:$O$1500,MATCH("*"&amp;$C11&amp;"|"&amp;'Khai báo'!$C$15,'Dán TĐ lũy kế'!$M$1:$M$1500,0)),0))</f>
        <v>0</v>
      </c>
      <c r="V11">
        <f>IF(N('Khai báo'!G26)&gt;0,'Khai báo'!G26,U11)</f>
        <v>0</v>
      </c>
      <c r="W11">
        <f>IF(OR($B11="",'Khai báo'!$C$15=""),0,IFERROR(INDEX('Dán TĐ realtime'!$N$1:$N$1500,MATCH("*"&amp;$C11&amp;"|"&amp;'Khai báo'!$C$15,'Dán TĐ realtime'!$M$1:$M$1500,0)),0))</f>
        <v>0</v>
      </c>
      <c r="X11">
        <f>IF(OR($B11="",'Khai báo'!$C$15=""),0,IFERROR(1/(1/IFERROR(INDEX('Dán TĐ realtime'!$O$1:$O$1500,MATCH("*"&amp;$C11&amp;"|"&amp;'Khai báo'!$C$15,'Dán TĐ realtime'!$M$1:$M$1500,0)),0)),V11/SoNgay))</f>
        <v>0</v>
      </c>
      <c r="Y11">
        <f t="shared" si="0"/>
        <v>0</v>
      </c>
      <c r="Z11">
        <f t="shared" si="1"/>
        <v>0</v>
      </c>
      <c r="AA11">
        <f t="shared" si="2"/>
        <v>0</v>
      </c>
      <c r="AB11">
        <f t="shared" si="3"/>
        <v>0</v>
      </c>
      <c r="AC11" t="str">
        <f>IF(B11="","",IFERROR(IF(LEFT(INDEX('Dán TĐ lũy kế'!$B$1:$B$1500,MATCH("*"&amp;C11,'Dán TĐ lũy kế'!$A$1:$A$1500,0)),8)="SỐ LƯỢNG","SL","DT"),"DT"))</f>
        <v/>
      </c>
    </row>
    <row r="12" spans="1:29" x14ac:dyDescent="0.3">
      <c r="A12">
        <v>10</v>
      </c>
      <c r="B12" t="str">
        <f>IF('Khai báo'!A27="","",'Khai báo'!A27)</f>
        <v/>
      </c>
      <c r="C12" t="str">
        <f>IF(B12="","",TRIM('Khai báo'!B27))</f>
        <v/>
      </c>
      <c r="D12" t="str">
        <f>IF(B12="","",IF('Khai báo'!C27="Vượt trội","Vượt trội","Chính"))</f>
        <v/>
      </c>
      <c r="E12">
        <f>IF(OR($B12="",'Khai báo'!$C$12=""),0,IFERROR(INDEX('Dán TĐ lũy kế'!$N$1:$N$1500,MATCH("*"&amp;$C12&amp;"|"&amp;'Khai báo'!$C$12,'Dán TĐ lũy kế'!$M$1:$M$1500,0)),0))</f>
        <v>0</v>
      </c>
      <c r="F12">
        <f>IF(OR($B12="",'Khai báo'!$C$12=""),0,IFERROR(INDEX('Dán TĐ lũy kế'!$O$1:$O$1500,MATCH("*"&amp;$C12&amp;"|"&amp;'Khai báo'!$C$12,'Dán TĐ lũy kế'!$M$1:$M$1500,0)),0))</f>
        <v>0</v>
      </c>
      <c r="G12">
        <f>IF(N('Khai báo'!D27)&gt;0,'Khai báo'!D27,F12)</f>
        <v>0</v>
      </c>
      <c r="H12">
        <f>IF(OR($B12="",'Khai báo'!$C$12=""),0,IFERROR(INDEX('Dán TĐ realtime'!$N$1:$N$1500,MATCH("*"&amp;$C12&amp;"|"&amp;'Khai báo'!$C$12,'Dán TĐ realtime'!$M$1:$M$1500,0)),0))</f>
        <v>0</v>
      </c>
      <c r="I12">
        <f>IF(OR($B12="",'Khai báo'!$C$12=""),0,IFERROR(1/(1/IFERROR(INDEX('Dán TĐ realtime'!$O$1:$O$1500,MATCH("*"&amp;$C12&amp;"|"&amp;'Khai báo'!$C$12,'Dán TĐ realtime'!$M$1:$M$1500,0)),0)),G12/SoNgay))</f>
        <v>0</v>
      </c>
      <c r="J12">
        <f>IF(OR($B12="",'Khai báo'!$C$13=""),0,IFERROR(INDEX('Dán TĐ lũy kế'!$N$1:$N$1500,MATCH("*"&amp;$C12&amp;"|"&amp;'Khai báo'!$C$13,'Dán TĐ lũy kế'!$M$1:$M$1500,0)),0))</f>
        <v>0</v>
      </c>
      <c r="K12">
        <f>IF(OR($B12="",'Khai báo'!$C$13=""),0,IFERROR(INDEX('Dán TĐ lũy kế'!$O$1:$O$1500,MATCH("*"&amp;$C12&amp;"|"&amp;'Khai báo'!$C$13,'Dán TĐ lũy kế'!$M$1:$M$1500,0)),0))</f>
        <v>0</v>
      </c>
      <c r="L12">
        <f>IF(N('Khai báo'!E27)&gt;0,'Khai báo'!E27,K12)</f>
        <v>0</v>
      </c>
      <c r="M12">
        <f>IF(OR($B12="",'Khai báo'!$C$13=""),0,IFERROR(INDEX('Dán TĐ realtime'!$N$1:$N$1500,MATCH("*"&amp;$C12&amp;"|"&amp;'Khai báo'!$C$13,'Dán TĐ realtime'!$M$1:$M$1500,0)),0))</f>
        <v>0</v>
      </c>
      <c r="N12">
        <f>IF(OR($B12="",'Khai báo'!$C$13=""),0,IFERROR(1/(1/IFERROR(INDEX('Dán TĐ realtime'!$O$1:$O$1500,MATCH("*"&amp;$C12&amp;"|"&amp;'Khai báo'!$C$13,'Dán TĐ realtime'!$M$1:$M$1500,0)),0)),L12/SoNgay))</f>
        <v>0</v>
      </c>
      <c r="O12">
        <f>IF(OR($B12="",'Khai báo'!$C$14=""),0,IFERROR(INDEX('Dán TĐ lũy kế'!$N$1:$N$1500,MATCH("*"&amp;$C12&amp;"|"&amp;'Khai báo'!$C$14,'Dán TĐ lũy kế'!$M$1:$M$1500,0)),0))</f>
        <v>0</v>
      </c>
      <c r="P12">
        <f>IF(OR($B12="",'Khai báo'!$C$14=""),0,IFERROR(INDEX('Dán TĐ lũy kế'!$O$1:$O$1500,MATCH("*"&amp;$C12&amp;"|"&amp;'Khai báo'!$C$14,'Dán TĐ lũy kế'!$M$1:$M$1500,0)),0))</f>
        <v>0</v>
      </c>
      <c r="Q12">
        <f>IF(N('Khai báo'!F27)&gt;0,'Khai báo'!F27,P12)</f>
        <v>0</v>
      </c>
      <c r="R12">
        <f>IF(OR($B12="",'Khai báo'!$C$14=""),0,IFERROR(INDEX('Dán TĐ realtime'!$N$1:$N$1500,MATCH("*"&amp;$C12&amp;"|"&amp;'Khai báo'!$C$14,'Dán TĐ realtime'!$M$1:$M$1500,0)),0))</f>
        <v>0</v>
      </c>
      <c r="S12">
        <f>IF(OR($B12="",'Khai báo'!$C$14=""),0,IFERROR(1/(1/IFERROR(INDEX('Dán TĐ realtime'!$O$1:$O$1500,MATCH("*"&amp;$C12&amp;"|"&amp;'Khai báo'!$C$14,'Dán TĐ realtime'!$M$1:$M$1500,0)),0)),Q12/SoNgay))</f>
        <v>0</v>
      </c>
      <c r="T12">
        <f>IF(OR($B12="",'Khai báo'!$C$15=""),0,IFERROR(INDEX('Dán TĐ lũy kế'!$N$1:$N$1500,MATCH("*"&amp;$C12&amp;"|"&amp;'Khai báo'!$C$15,'Dán TĐ lũy kế'!$M$1:$M$1500,0)),0))</f>
        <v>0</v>
      </c>
      <c r="U12">
        <f>IF(OR($B12="",'Khai báo'!$C$15=""),0,IFERROR(INDEX('Dán TĐ lũy kế'!$O$1:$O$1500,MATCH("*"&amp;$C12&amp;"|"&amp;'Khai báo'!$C$15,'Dán TĐ lũy kế'!$M$1:$M$1500,0)),0))</f>
        <v>0</v>
      </c>
      <c r="V12">
        <f>IF(N('Khai báo'!G27)&gt;0,'Khai báo'!G27,U12)</f>
        <v>0</v>
      </c>
      <c r="W12">
        <f>IF(OR($B12="",'Khai báo'!$C$15=""),0,IFERROR(INDEX('Dán TĐ realtime'!$N$1:$N$1500,MATCH("*"&amp;$C12&amp;"|"&amp;'Khai báo'!$C$15,'Dán TĐ realtime'!$M$1:$M$1500,0)),0))</f>
        <v>0</v>
      </c>
      <c r="X12">
        <f>IF(OR($B12="",'Khai báo'!$C$15=""),0,IFERROR(1/(1/IFERROR(INDEX('Dán TĐ realtime'!$O$1:$O$1500,MATCH("*"&amp;$C12&amp;"|"&amp;'Khai báo'!$C$15,'Dán TĐ realtime'!$M$1:$M$1500,0)),0)),V12/SoNgay))</f>
        <v>0</v>
      </c>
      <c r="Y12">
        <f t="shared" si="0"/>
        <v>0</v>
      </c>
      <c r="Z12">
        <f t="shared" si="1"/>
        <v>0</v>
      </c>
      <c r="AA12">
        <f t="shared" si="2"/>
        <v>0</v>
      </c>
      <c r="AB12">
        <f t="shared" si="3"/>
        <v>0</v>
      </c>
      <c r="AC12" t="str">
        <f>IF(B12="","",IFERROR(IF(LEFT(INDEX('Dán TĐ lũy kế'!$B$1:$B$1500,MATCH("*"&amp;C12,'Dán TĐ lũy kế'!$A$1:$A$1500,0)),8)="SỐ LƯỢNG","SL","DT"),"DT"))</f>
        <v/>
      </c>
    </row>
    <row r="13" spans="1:29" x14ac:dyDescent="0.3">
      <c r="A13">
        <v>11</v>
      </c>
      <c r="B13" t="str">
        <f>IF('Khai báo'!A28="","",'Khai báo'!A28)</f>
        <v/>
      </c>
      <c r="C13" t="str">
        <f>IF(B13="","",TRIM('Khai báo'!B28))</f>
        <v/>
      </c>
      <c r="D13" t="str">
        <f>IF(B13="","",IF('Khai báo'!C28="Vượt trội","Vượt trội","Chính"))</f>
        <v/>
      </c>
      <c r="E13">
        <f>IF(OR($B13="",'Khai báo'!$C$12=""),0,IFERROR(INDEX('Dán TĐ lũy kế'!$N$1:$N$1500,MATCH("*"&amp;$C13&amp;"|"&amp;'Khai báo'!$C$12,'Dán TĐ lũy kế'!$M$1:$M$1500,0)),0))</f>
        <v>0</v>
      </c>
      <c r="F13">
        <f>IF(OR($B13="",'Khai báo'!$C$12=""),0,IFERROR(INDEX('Dán TĐ lũy kế'!$O$1:$O$1500,MATCH("*"&amp;$C13&amp;"|"&amp;'Khai báo'!$C$12,'Dán TĐ lũy kế'!$M$1:$M$1500,0)),0))</f>
        <v>0</v>
      </c>
      <c r="G13">
        <f>IF(N('Khai báo'!D28)&gt;0,'Khai báo'!D28,F13)</f>
        <v>0</v>
      </c>
      <c r="H13">
        <f>IF(OR($B13="",'Khai báo'!$C$12=""),0,IFERROR(INDEX('Dán TĐ realtime'!$N$1:$N$1500,MATCH("*"&amp;$C13&amp;"|"&amp;'Khai báo'!$C$12,'Dán TĐ realtime'!$M$1:$M$1500,0)),0))</f>
        <v>0</v>
      </c>
      <c r="I13">
        <f>IF(OR($B13="",'Khai báo'!$C$12=""),0,IFERROR(1/(1/IFERROR(INDEX('Dán TĐ realtime'!$O$1:$O$1500,MATCH("*"&amp;$C13&amp;"|"&amp;'Khai báo'!$C$12,'Dán TĐ realtime'!$M$1:$M$1500,0)),0)),G13/SoNgay))</f>
        <v>0</v>
      </c>
      <c r="J13">
        <f>IF(OR($B13="",'Khai báo'!$C$13=""),0,IFERROR(INDEX('Dán TĐ lũy kế'!$N$1:$N$1500,MATCH("*"&amp;$C13&amp;"|"&amp;'Khai báo'!$C$13,'Dán TĐ lũy kế'!$M$1:$M$1500,0)),0))</f>
        <v>0</v>
      </c>
      <c r="K13">
        <f>IF(OR($B13="",'Khai báo'!$C$13=""),0,IFERROR(INDEX('Dán TĐ lũy kế'!$O$1:$O$1500,MATCH("*"&amp;$C13&amp;"|"&amp;'Khai báo'!$C$13,'Dán TĐ lũy kế'!$M$1:$M$1500,0)),0))</f>
        <v>0</v>
      </c>
      <c r="L13">
        <f>IF(N('Khai báo'!E28)&gt;0,'Khai báo'!E28,K13)</f>
        <v>0</v>
      </c>
      <c r="M13">
        <f>IF(OR($B13="",'Khai báo'!$C$13=""),0,IFERROR(INDEX('Dán TĐ realtime'!$N$1:$N$1500,MATCH("*"&amp;$C13&amp;"|"&amp;'Khai báo'!$C$13,'Dán TĐ realtime'!$M$1:$M$1500,0)),0))</f>
        <v>0</v>
      </c>
      <c r="N13">
        <f>IF(OR($B13="",'Khai báo'!$C$13=""),0,IFERROR(1/(1/IFERROR(INDEX('Dán TĐ realtime'!$O$1:$O$1500,MATCH("*"&amp;$C13&amp;"|"&amp;'Khai báo'!$C$13,'Dán TĐ realtime'!$M$1:$M$1500,0)),0)),L13/SoNgay))</f>
        <v>0</v>
      </c>
      <c r="O13">
        <f>IF(OR($B13="",'Khai báo'!$C$14=""),0,IFERROR(INDEX('Dán TĐ lũy kế'!$N$1:$N$1500,MATCH("*"&amp;$C13&amp;"|"&amp;'Khai báo'!$C$14,'Dán TĐ lũy kế'!$M$1:$M$1500,0)),0))</f>
        <v>0</v>
      </c>
      <c r="P13">
        <f>IF(OR($B13="",'Khai báo'!$C$14=""),0,IFERROR(INDEX('Dán TĐ lũy kế'!$O$1:$O$1500,MATCH("*"&amp;$C13&amp;"|"&amp;'Khai báo'!$C$14,'Dán TĐ lũy kế'!$M$1:$M$1500,0)),0))</f>
        <v>0</v>
      </c>
      <c r="Q13">
        <f>IF(N('Khai báo'!F28)&gt;0,'Khai báo'!F28,P13)</f>
        <v>0</v>
      </c>
      <c r="R13">
        <f>IF(OR($B13="",'Khai báo'!$C$14=""),0,IFERROR(INDEX('Dán TĐ realtime'!$N$1:$N$1500,MATCH("*"&amp;$C13&amp;"|"&amp;'Khai báo'!$C$14,'Dán TĐ realtime'!$M$1:$M$1500,0)),0))</f>
        <v>0</v>
      </c>
      <c r="S13">
        <f>IF(OR($B13="",'Khai báo'!$C$14=""),0,IFERROR(1/(1/IFERROR(INDEX('Dán TĐ realtime'!$O$1:$O$1500,MATCH("*"&amp;$C13&amp;"|"&amp;'Khai báo'!$C$14,'Dán TĐ realtime'!$M$1:$M$1500,0)),0)),Q13/SoNgay))</f>
        <v>0</v>
      </c>
      <c r="T13">
        <f>IF(OR($B13="",'Khai báo'!$C$15=""),0,IFERROR(INDEX('Dán TĐ lũy kế'!$N$1:$N$1500,MATCH("*"&amp;$C13&amp;"|"&amp;'Khai báo'!$C$15,'Dán TĐ lũy kế'!$M$1:$M$1500,0)),0))</f>
        <v>0</v>
      </c>
      <c r="U13">
        <f>IF(OR($B13="",'Khai báo'!$C$15=""),0,IFERROR(INDEX('Dán TĐ lũy kế'!$O$1:$O$1500,MATCH("*"&amp;$C13&amp;"|"&amp;'Khai báo'!$C$15,'Dán TĐ lũy kế'!$M$1:$M$1500,0)),0))</f>
        <v>0</v>
      </c>
      <c r="V13">
        <f>IF(N('Khai báo'!G28)&gt;0,'Khai báo'!G28,U13)</f>
        <v>0</v>
      </c>
      <c r="W13">
        <f>IF(OR($B13="",'Khai báo'!$C$15=""),0,IFERROR(INDEX('Dán TĐ realtime'!$N$1:$N$1500,MATCH("*"&amp;$C13&amp;"|"&amp;'Khai báo'!$C$15,'Dán TĐ realtime'!$M$1:$M$1500,0)),0))</f>
        <v>0</v>
      </c>
      <c r="X13">
        <f>IF(OR($B13="",'Khai báo'!$C$15=""),0,IFERROR(1/(1/IFERROR(INDEX('Dán TĐ realtime'!$O$1:$O$1500,MATCH("*"&amp;$C13&amp;"|"&amp;'Khai báo'!$C$15,'Dán TĐ realtime'!$M$1:$M$1500,0)),0)),V13/SoNgay))</f>
        <v>0</v>
      </c>
      <c r="Y13">
        <f t="shared" si="0"/>
        <v>0</v>
      </c>
      <c r="Z13">
        <f t="shared" si="1"/>
        <v>0</v>
      </c>
      <c r="AA13">
        <f t="shared" si="2"/>
        <v>0</v>
      </c>
      <c r="AB13">
        <f t="shared" si="3"/>
        <v>0</v>
      </c>
      <c r="AC13" t="str">
        <f>IF(B13="","",IFERROR(IF(LEFT(INDEX('Dán TĐ lũy kế'!$B$1:$B$1500,MATCH("*"&amp;C13,'Dán TĐ lũy kế'!$A$1:$A$1500,0)),8)="SỐ LƯỢNG","SL","DT"),"DT"))</f>
        <v/>
      </c>
    </row>
    <row r="14" spans="1:29" x14ac:dyDescent="0.3">
      <c r="A14">
        <v>12</v>
      </c>
      <c r="B14" t="str">
        <f>IF('Khai báo'!A29="","",'Khai báo'!A29)</f>
        <v/>
      </c>
      <c r="C14" t="str">
        <f>IF(B14="","",TRIM('Khai báo'!B29))</f>
        <v/>
      </c>
      <c r="D14" t="str">
        <f>IF(B14="","",IF('Khai báo'!C29="Vượt trội","Vượt trội","Chính"))</f>
        <v/>
      </c>
      <c r="E14">
        <f>IF(OR($B14="",'Khai báo'!$C$12=""),0,IFERROR(INDEX('Dán TĐ lũy kế'!$N$1:$N$1500,MATCH("*"&amp;$C14&amp;"|"&amp;'Khai báo'!$C$12,'Dán TĐ lũy kế'!$M$1:$M$1500,0)),0))</f>
        <v>0</v>
      </c>
      <c r="F14">
        <f>IF(OR($B14="",'Khai báo'!$C$12=""),0,IFERROR(INDEX('Dán TĐ lũy kế'!$O$1:$O$1500,MATCH("*"&amp;$C14&amp;"|"&amp;'Khai báo'!$C$12,'Dán TĐ lũy kế'!$M$1:$M$1500,0)),0))</f>
        <v>0</v>
      </c>
      <c r="G14">
        <f>IF(N('Khai báo'!D29)&gt;0,'Khai báo'!D29,F14)</f>
        <v>0</v>
      </c>
      <c r="H14">
        <f>IF(OR($B14="",'Khai báo'!$C$12=""),0,IFERROR(INDEX('Dán TĐ realtime'!$N$1:$N$1500,MATCH("*"&amp;$C14&amp;"|"&amp;'Khai báo'!$C$12,'Dán TĐ realtime'!$M$1:$M$1500,0)),0))</f>
        <v>0</v>
      </c>
      <c r="I14">
        <f>IF(OR($B14="",'Khai báo'!$C$12=""),0,IFERROR(1/(1/IFERROR(INDEX('Dán TĐ realtime'!$O$1:$O$1500,MATCH("*"&amp;$C14&amp;"|"&amp;'Khai báo'!$C$12,'Dán TĐ realtime'!$M$1:$M$1500,0)),0)),G14/SoNgay))</f>
        <v>0</v>
      </c>
      <c r="J14">
        <f>IF(OR($B14="",'Khai báo'!$C$13=""),0,IFERROR(INDEX('Dán TĐ lũy kế'!$N$1:$N$1500,MATCH("*"&amp;$C14&amp;"|"&amp;'Khai báo'!$C$13,'Dán TĐ lũy kế'!$M$1:$M$1500,0)),0))</f>
        <v>0</v>
      </c>
      <c r="K14">
        <f>IF(OR($B14="",'Khai báo'!$C$13=""),0,IFERROR(INDEX('Dán TĐ lũy kế'!$O$1:$O$1500,MATCH("*"&amp;$C14&amp;"|"&amp;'Khai báo'!$C$13,'Dán TĐ lũy kế'!$M$1:$M$1500,0)),0))</f>
        <v>0</v>
      </c>
      <c r="L14">
        <f>IF(N('Khai báo'!E29)&gt;0,'Khai báo'!E29,K14)</f>
        <v>0</v>
      </c>
      <c r="M14">
        <f>IF(OR($B14="",'Khai báo'!$C$13=""),0,IFERROR(INDEX('Dán TĐ realtime'!$N$1:$N$1500,MATCH("*"&amp;$C14&amp;"|"&amp;'Khai báo'!$C$13,'Dán TĐ realtime'!$M$1:$M$1500,0)),0))</f>
        <v>0</v>
      </c>
      <c r="N14">
        <f>IF(OR($B14="",'Khai báo'!$C$13=""),0,IFERROR(1/(1/IFERROR(INDEX('Dán TĐ realtime'!$O$1:$O$1500,MATCH("*"&amp;$C14&amp;"|"&amp;'Khai báo'!$C$13,'Dán TĐ realtime'!$M$1:$M$1500,0)),0)),L14/SoNgay))</f>
        <v>0</v>
      </c>
      <c r="O14">
        <f>IF(OR($B14="",'Khai báo'!$C$14=""),0,IFERROR(INDEX('Dán TĐ lũy kế'!$N$1:$N$1500,MATCH("*"&amp;$C14&amp;"|"&amp;'Khai báo'!$C$14,'Dán TĐ lũy kế'!$M$1:$M$1500,0)),0))</f>
        <v>0</v>
      </c>
      <c r="P14">
        <f>IF(OR($B14="",'Khai báo'!$C$14=""),0,IFERROR(INDEX('Dán TĐ lũy kế'!$O$1:$O$1500,MATCH("*"&amp;$C14&amp;"|"&amp;'Khai báo'!$C$14,'Dán TĐ lũy kế'!$M$1:$M$1500,0)),0))</f>
        <v>0</v>
      </c>
      <c r="Q14">
        <f>IF(N('Khai báo'!F29)&gt;0,'Khai báo'!F29,P14)</f>
        <v>0</v>
      </c>
      <c r="R14">
        <f>IF(OR($B14="",'Khai báo'!$C$14=""),0,IFERROR(INDEX('Dán TĐ realtime'!$N$1:$N$1500,MATCH("*"&amp;$C14&amp;"|"&amp;'Khai báo'!$C$14,'Dán TĐ realtime'!$M$1:$M$1500,0)),0))</f>
        <v>0</v>
      </c>
      <c r="S14">
        <f>IF(OR($B14="",'Khai báo'!$C$14=""),0,IFERROR(1/(1/IFERROR(INDEX('Dán TĐ realtime'!$O$1:$O$1500,MATCH("*"&amp;$C14&amp;"|"&amp;'Khai báo'!$C$14,'Dán TĐ realtime'!$M$1:$M$1500,0)),0)),Q14/SoNgay))</f>
        <v>0</v>
      </c>
      <c r="T14">
        <f>IF(OR($B14="",'Khai báo'!$C$15=""),0,IFERROR(INDEX('Dán TĐ lũy kế'!$N$1:$N$1500,MATCH("*"&amp;$C14&amp;"|"&amp;'Khai báo'!$C$15,'Dán TĐ lũy kế'!$M$1:$M$1500,0)),0))</f>
        <v>0</v>
      </c>
      <c r="U14">
        <f>IF(OR($B14="",'Khai báo'!$C$15=""),0,IFERROR(INDEX('Dán TĐ lũy kế'!$O$1:$O$1500,MATCH("*"&amp;$C14&amp;"|"&amp;'Khai báo'!$C$15,'Dán TĐ lũy kế'!$M$1:$M$1500,0)),0))</f>
        <v>0</v>
      </c>
      <c r="V14">
        <f>IF(N('Khai báo'!G29)&gt;0,'Khai báo'!G29,U14)</f>
        <v>0</v>
      </c>
      <c r="W14">
        <f>IF(OR($B14="",'Khai báo'!$C$15=""),0,IFERROR(INDEX('Dán TĐ realtime'!$N$1:$N$1500,MATCH("*"&amp;$C14&amp;"|"&amp;'Khai báo'!$C$15,'Dán TĐ realtime'!$M$1:$M$1500,0)),0))</f>
        <v>0</v>
      </c>
      <c r="X14">
        <f>IF(OR($B14="",'Khai báo'!$C$15=""),0,IFERROR(1/(1/IFERROR(INDEX('Dán TĐ realtime'!$O$1:$O$1500,MATCH("*"&amp;$C14&amp;"|"&amp;'Khai báo'!$C$15,'Dán TĐ realtime'!$M$1:$M$1500,0)),0)),V14/SoNgay))</f>
        <v>0</v>
      </c>
      <c r="Y14">
        <f t="shared" si="0"/>
        <v>0</v>
      </c>
      <c r="Z14">
        <f t="shared" si="1"/>
        <v>0</v>
      </c>
      <c r="AA14">
        <f t="shared" si="2"/>
        <v>0</v>
      </c>
      <c r="AB14">
        <f t="shared" si="3"/>
        <v>0</v>
      </c>
      <c r="AC14" t="str">
        <f>IF(B14="","",IFERROR(IF(LEFT(INDEX('Dán TĐ lũy kế'!$B$1:$B$1500,MATCH("*"&amp;C14,'Dán TĐ lũy kế'!$A$1:$A$1500,0)),8)="SỐ LƯỢNG","SL","DT"),"DT"))</f>
        <v/>
      </c>
    </row>
    <row r="15" spans="1:29" x14ac:dyDescent="0.3">
      <c r="A15">
        <v>13</v>
      </c>
      <c r="B15" t="str">
        <f>IF('Khai báo'!A30="","",'Khai báo'!A30)</f>
        <v/>
      </c>
      <c r="C15" t="str">
        <f>IF(B15="","",TRIM('Khai báo'!B30))</f>
        <v/>
      </c>
      <c r="D15" t="str">
        <f>IF(B15="","",IF('Khai báo'!C30="Vượt trội","Vượt trội","Chính"))</f>
        <v/>
      </c>
      <c r="E15">
        <f>IF(OR($B15="",'Khai báo'!$C$12=""),0,IFERROR(INDEX('Dán TĐ lũy kế'!$N$1:$N$1500,MATCH("*"&amp;$C15&amp;"|"&amp;'Khai báo'!$C$12,'Dán TĐ lũy kế'!$M$1:$M$1500,0)),0))</f>
        <v>0</v>
      </c>
      <c r="F15">
        <f>IF(OR($B15="",'Khai báo'!$C$12=""),0,IFERROR(INDEX('Dán TĐ lũy kế'!$O$1:$O$1500,MATCH("*"&amp;$C15&amp;"|"&amp;'Khai báo'!$C$12,'Dán TĐ lũy kế'!$M$1:$M$1500,0)),0))</f>
        <v>0</v>
      </c>
      <c r="G15">
        <f>IF(N('Khai báo'!D30)&gt;0,'Khai báo'!D30,F15)</f>
        <v>0</v>
      </c>
      <c r="H15">
        <f>IF(OR($B15="",'Khai báo'!$C$12=""),0,IFERROR(INDEX('Dán TĐ realtime'!$N$1:$N$1500,MATCH("*"&amp;$C15&amp;"|"&amp;'Khai báo'!$C$12,'Dán TĐ realtime'!$M$1:$M$1500,0)),0))</f>
        <v>0</v>
      </c>
      <c r="I15">
        <f>IF(OR($B15="",'Khai báo'!$C$12=""),0,IFERROR(1/(1/IFERROR(INDEX('Dán TĐ realtime'!$O$1:$O$1500,MATCH("*"&amp;$C15&amp;"|"&amp;'Khai báo'!$C$12,'Dán TĐ realtime'!$M$1:$M$1500,0)),0)),G15/SoNgay))</f>
        <v>0</v>
      </c>
      <c r="J15">
        <f>IF(OR($B15="",'Khai báo'!$C$13=""),0,IFERROR(INDEX('Dán TĐ lũy kế'!$N$1:$N$1500,MATCH("*"&amp;$C15&amp;"|"&amp;'Khai báo'!$C$13,'Dán TĐ lũy kế'!$M$1:$M$1500,0)),0))</f>
        <v>0</v>
      </c>
      <c r="K15">
        <f>IF(OR($B15="",'Khai báo'!$C$13=""),0,IFERROR(INDEX('Dán TĐ lũy kế'!$O$1:$O$1500,MATCH("*"&amp;$C15&amp;"|"&amp;'Khai báo'!$C$13,'Dán TĐ lũy kế'!$M$1:$M$1500,0)),0))</f>
        <v>0</v>
      </c>
      <c r="L15">
        <f>IF(N('Khai báo'!E30)&gt;0,'Khai báo'!E30,K15)</f>
        <v>0</v>
      </c>
      <c r="M15">
        <f>IF(OR($B15="",'Khai báo'!$C$13=""),0,IFERROR(INDEX('Dán TĐ realtime'!$N$1:$N$1500,MATCH("*"&amp;$C15&amp;"|"&amp;'Khai báo'!$C$13,'Dán TĐ realtime'!$M$1:$M$1500,0)),0))</f>
        <v>0</v>
      </c>
      <c r="N15">
        <f>IF(OR($B15="",'Khai báo'!$C$13=""),0,IFERROR(1/(1/IFERROR(INDEX('Dán TĐ realtime'!$O$1:$O$1500,MATCH("*"&amp;$C15&amp;"|"&amp;'Khai báo'!$C$13,'Dán TĐ realtime'!$M$1:$M$1500,0)),0)),L15/SoNgay))</f>
        <v>0</v>
      </c>
      <c r="O15">
        <f>IF(OR($B15="",'Khai báo'!$C$14=""),0,IFERROR(INDEX('Dán TĐ lũy kế'!$N$1:$N$1500,MATCH("*"&amp;$C15&amp;"|"&amp;'Khai báo'!$C$14,'Dán TĐ lũy kế'!$M$1:$M$1500,0)),0))</f>
        <v>0</v>
      </c>
      <c r="P15">
        <f>IF(OR($B15="",'Khai báo'!$C$14=""),0,IFERROR(INDEX('Dán TĐ lũy kế'!$O$1:$O$1500,MATCH("*"&amp;$C15&amp;"|"&amp;'Khai báo'!$C$14,'Dán TĐ lũy kế'!$M$1:$M$1500,0)),0))</f>
        <v>0</v>
      </c>
      <c r="Q15">
        <f>IF(N('Khai báo'!F30)&gt;0,'Khai báo'!F30,P15)</f>
        <v>0</v>
      </c>
      <c r="R15">
        <f>IF(OR($B15="",'Khai báo'!$C$14=""),0,IFERROR(INDEX('Dán TĐ realtime'!$N$1:$N$1500,MATCH("*"&amp;$C15&amp;"|"&amp;'Khai báo'!$C$14,'Dán TĐ realtime'!$M$1:$M$1500,0)),0))</f>
        <v>0</v>
      </c>
      <c r="S15">
        <f>IF(OR($B15="",'Khai báo'!$C$14=""),0,IFERROR(1/(1/IFERROR(INDEX('Dán TĐ realtime'!$O$1:$O$1500,MATCH("*"&amp;$C15&amp;"|"&amp;'Khai báo'!$C$14,'Dán TĐ realtime'!$M$1:$M$1500,0)),0)),Q15/SoNgay))</f>
        <v>0</v>
      </c>
      <c r="T15">
        <f>IF(OR($B15="",'Khai báo'!$C$15=""),0,IFERROR(INDEX('Dán TĐ lũy kế'!$N$1:$N$1500,MATCH("*"&amp;$C15&amp;"|"&amp;'Khai báo'!$C$15,'Dán TĐ lũy kế'!$M$1:$M$1500,0)),0))</f>
        <v>0</v>
      </c>
      <c r="U15">
        <f>IF(OR($B15="",'Khai báo'!$C$15=""),0,IFERROR(INDEX('Dán TĐ lũy kế'!$O$1:$O$1500,MATCH("*"&amp;$C15&amp;"|"&amp;'Khai báo'!$C$15,'Dán TĐ lũy kế'!$M$1:$M$1500,0)),0))</f>
        <v>0</v>
      </c>
      <c r="V15">
        <f>IF(N('Khai báo'!G30)&gt;0,'Khai báo'!G30,U15)</f>
        <v>0</v>
      </c>
      <c r="W15">
        <f>IF(OR($B15="",'Khai báo'!$C$15=""),0,IFERROR(INDEX('Dán TĐ realtime'!$N$1:$N$1500,MATCH("*"&amp;$C15&amp;"|"&amp;'Khai báo'!$C$15,'Dán TĐ realtime'!$M$1:$M$1500,0)),0))</f>
        <v>0</v>
      </c>
      <c r="X15">
        <f>IF(OR($B15="",'Khai báo'!$C$15=""),0,IFERROR(1/(1/IFERROR(INDEX('Dán TĐ realtime'!$O$1:$O$1500,MATCH("*"&amp;$C15&amp;"|"&amp;'Khai báo'!$C$15,'Dán TĐ realtime'!$M$1:$M$1500,0)),0)),V15/SoNgay))</f>
        <v>0</v>
      </c>
      <c r="Y15">
        <f t="shared" si="0"/>
        <v>0</v>
      </c>
      <c r="Z15">
        <f t="shared" si="1"/>
        <v>0</v>
      </c>
      <c r="AA15">
        <f t="shared" si="2"/>
        <v>0</v>
      </c>
      <c r="AB15">
        <f t="shared" si="3"/>
        <v>0</v>
      </c>
      <c r="AC15" t="str">
        <f>IF(B15="","",IFERROR(IF(LEFT(INDEX('Dán TĐ lũy kế'!$B$1:$B$1500,MATCH("*"&amp;C15,'Dán TĐ lũy kế'!$A$1:$A$1500,0)),8)="SỐ LƯỢNG","SL","DT"),"DT"))</f>
        <v/>
      </c>
    </row>
    <row r="16" spans="1:29" x14ac:dyDescent="0.3">
      <c r="A16">
        <v>14</v>
      </c>
      <c r="B16" t="str">
        <f>IF('Khai báo'!A31="","",'Khai báo'!A31)</f>
        <v/>
      </c>
      <c r="C16" t="str">
        <f>IF(B16="","",TRIM('Khai báo'!B31))</f>
        <v/>
      </c>
      <c r="D16" t="str">
        <f>IF(B16="","",IF('Khai báo'!C31="Vượt trội","Vượt trội","Chính"))</f>
        <v/>
      </c>
      <c r="E16">
        <f>IF(OR($B16="",'Khai báo'!$C$12=""),0,IFERROR(INDEX('Dán TĐ lũy kế'!$N$1:$N$1500,MATCH("*"&amp;$C16&amp;"|"&amp;'Khai báo'!$C$12,'Dán TĐ lũy kế'!$M$1:$M$1500,0)),0))</f>
        <v>0</v>
      </c>
      <c r="F16">
        <f>IF(OR($B16="",'Khai báo'!$C$12=""),0,IFERROR(INDEX('Dán TĐ lũy kế'!$O$1:$O$1500,MATCH("*"&amp;$C16&amp;"|"&amp;'Khai báo'!$C$12,'Dán TĐ lũy kế'!$M$1:$M$1500,0)),0))</f>
        <v>0</v>
      </c>
      <c r="G16">
        <f>IF(N('Khai báo'!D31)&gt;0,'Khai báo'!D31,F16)</f>
        <v>0</v>
      </c>
      <c r="H16">
        <f>IF(OR($B16="",'Khai báo'!$C$12=""),0,IFERROR(INDEX('Dán TĐ realtime'!$N$1:$N$1500,MATCH("*"&amp;$C16&amp;"|"&amp;'Khai báo'!$C$12,'Dán TĐ realtime'!$M$1:$M$1500,0)),0))</f>
        <v>0</v>
      </c>
      <c r="I16">
        <f>IF(OR($B16="",'Khai báo'!$C$12=""),0,IFERROR(1/(1/IFERROR(INDEX('Dán TĐ realtime'!$O$1:$O$1500,MATCH("*"&amp;$C16&amp;"|"&amp;'Khai báo'!$C$12,'Dán TĐ realtime'!$M$1:$M$1500,0)),0)),G16/SoNgay))</f>
        <v>0</v>
      </c>
      <c r="J16">
        <f>IF(OR($B16="",'Khai báo'!$C$13=""),0,IFERROR(INDEX('Dán TĐ lũy kế'!$N$1:$N$1500,MATCH("*"&amp;$C16&amp;"|"&amp;'Khai báo'!$C$13,'Dán TĐ lũy kế'!$M$1:$M$1500,0)),0))</f>
        <v>0</v>
      </c>
      <c r="K16">
        <f>IF(OR($B16="",'Khai báo'!$C$13=""),0,IFERROR(INDEX('Dán TĐ lũy kế'!$O$1:$O$1500,MATCH("*"&amp;$C16&amp;"|"&amp;'Khai báo'!$C$13,'Dán TĐ lũy kế'!$M$1:$M$1500,0)),0))</f>
        <v>0</v>
      </c>
      <c r="L16">
        <f>IF(N('Khai báo'!E31)&gt;0,'Khai báo'!E31,K16)</f>
        <v>0</v>
      </c>
      <c r="M16">
        <f>IF(OR($B16="",'Khai báo'!$C$13=""),0,IFERROR(INDEX('Dán TĐ realtime'!$N$1:$N$1500,MATCH("*"&amp;$C16&amp;"|"&amp;'Khai báo'!$C$13,'Dán TĐ realtime'!$M$1:$M$1500,0)),0))</f>
        <v>0</v>
      </c>
      <c r="N16">
        <f>IF(OR($B16="",'Khai báo'!$C$13=""),0,IFERROR(1/(1/IFERROR(INDEX('Dán TĐ realtime'!$O$1:$O$1500,MATCH("*"&amp;$C16&amp;"|"&amp;'Khai báo'!$C$13,'Dán TĐ realtime'!$M$1:$M$1500,0)),0)),L16/SoNgay))</f>
        <v>0</v>
      </c>
      <c r="O16">
        <f>IF(OR($B16="",'Khai báo'!$C$14=""),0,IFERROR(INDEX('Dán TĐ lũy kế'!$N$1:$N$1500,MATCH("*"&amp;$C16&amp;"|"&amp;'Khai báo'!$C$14,'Dán TĐ lũy kế'!$M$1:$M$1500,0)),0))</f>
        <v>0</v>
      </c>
      <c r="P16">
        <f>IF(OR($B16="",'Khai báo'!$C$14=""),0,IFERROR(INDEX('Dán TĐ lũy kế'!$O$1:$O$1500,MATCH("*"&amp;$C16&amp;"|"&amp;'Khai báo'!$C$14,'Dán TĐ lũy kế'!$M$1:$M$1500,0)),0))</f>
        <v>0</v>
      </c>
      <c r="Q16">
        <f>IF(N('Khai báo'!F31)&gt;0,'Khai báo'!F31,P16)</f>
        <v>0</v>
      </c>
      <c r="R16">
        <f>IF(OR($B16="",'Khai báo'!$C$14=""),0,IFERROR(INDEX('Dán TĐ realtime'!$N$1:$N$1500,MATCH("*"&amp;$C16&amp;"|"&amp;'Khai báo'!$C$14,'Dán TĐ realtime'!$M$1:$M$1500,0)),0))</f>
        <v>0</v>
      </c>
      <c r="S16">
        <f>IF(OR($B16="",'Khai báo'!$C$14=""),0,IFERROR(1/(1/IFERROR(INDEX('Dán TĐ realtime'!$O$1:$O$1500,MATCH("*"&amp;$C16&amp;"|"&amp;'Khai báo'!$C$14,'Dán TĐ realtime'!$M$1:$M$1500,0)),0)),Q16/SoNgay))</f>
        <v>0</v>
      </c>
      <c r="T16">
        <f>IF(OR($B16="",'Khai báo'!$C$15=""),0,IFERROR(INDEX('Dán TĐ lũy kế'!$N$1:$N$1500,MATCH("*"&amp;$C16&amp;"|"&amp;'Khai báo'!$C$15,'Dán TĐ lũy kế'!$M$1:$M$1500,0)),0))</f>
        <v>0</v>
      </c>
      <c r="U16">
        <f>IF(OR($B16="",'Khai báo'!$C$15=""),0,IFERROR(INDEX('Dán TĐ lũy kế'!$O$1:$O$1500,MATCH("*"&amp;$C16&amp;"|"&amp;'Khai báo'!$C$15,'Dán TĐ lũy kế'!$M$1:$M$1500,0)),0))</f>
        <v>0</v>
      </c>
      <c r="V16">
        <f>IF(N('Khai báo'!G31)&gt;0,'Khai báo'!G31,U16)</f>
        <v>0</v>
      </c>
      <c r="W16">
        <f>IF(OR($B16="",'Khai báo'!$C$15=""),0,IFERROR(INDEX('Dán TĐ realtime'!$N$1:$N$1500,MATCH("*"&amp;$C16&amp;"|"&amp;'Khai báo'!$C$15,'Dán TĐ realtime'!$M$1:$M$1500,0)),0))</f>
        <v>0</v>
      </c>
      <c r="X16">
        <f>IF(OR($B16="",'Khai báo'!$C$15=""),0,IFERROR(1/(1/IFERROR(INDEX('Dán TĐ realtime'!$O$1:$O$1500,MATCH("*"&amp;$C16&amp;"|"&amp;'Khai báo'!$C$15,'Dán TĐ realtime'!$M$1:$M$1500,0)),0)),V16/SoNgay))</f>
        <v>0</v>
      </c>
      <c r="Y16">
        <f t="shared" si="0"/>
        <v>0</v>
      </c>
      <c r="Z16">
        <f t="shared" si="1"/>
        <v>0</v>
      </c>
      <c r="AA16">
        <f t="shared" si="2"/>
        <v>0</v>
      </c>
      <c r="AB16">
        <f t="shared" si="3"/>
        <v>0</v>
      </c>
      <c r="AC16" t="str">
        <f>IF(B16="","",IFERROR(IF(LEFT(INDEX('Dán TĐ lũy kế'!$B$1:$B$1500,MATCH("*"&amp;C16,'Dán TĐ lũy kế'!$A$1:$A$1500,0)),8)="SỐ LƯỢNG","SL","DT"),"DT"))</f>
        <v/>
      </c>
    </row>
    <row r="17" spans="1:29" x14ac:dyDescent="0.3">
      <c r="A17">
        <v>15</v>
      </c>
      <c r="B17" t="str">
        <f>IF('Khai báo'!A32="","",'Khai báo'!A32)</f>
        <v/>
      </c>
      <c r="C17" t="str">
        <f>IF(B17="","",TRIM('Khai báo'!B32))</f>
        <v/>
      </c>
      <c r="D17" t="str">
        <f>IF(B17="","",IF('Khai báo'!C32="Vượt trội","Vượt trội","Chính"))</f>
        <v/>
      </c>
      <c r="E17">
        <f>IF(OR($B17="",'Khai báo'!$C$12=""),0,IFERROR(INDEX('Dán TĐ lũy kế'!$N$1:$N$1500,MATCH("*"&amp;$C17&amp;"|"&amp;'Khai báo'!$C$12,'Dán TĐ lũy kế'!$M$1:$M$1500,0)),0))</f>
        <v>0</v>
      </c>
      <c r="F17">
        <f>IF(OR($B17="",'Khai báo'!$C$12=""),0,IFERROR(INDEX('Dán TĐ lũy kế'!$O$1:$O$1500,MATCH("*"&amp;$C17&amp;"|"&amp;'Khai báo'!$C$12,'Dán TĐ lũy kế'!$M$1:$M$1500,0)),0))</f>
        <v>0</v>
      </c>
      <c r="G17">
        <f>IF(N('Khai báo'!D32)&gt;0,'Khai báo'!D32,F17)</f>
        <v>0</v>
      </c>
      <c r="H17">
        <f>IF(OR($B17="",'Khai báo'!$C$12=""),0,IFERROR(INDEX('Dán TĐ realtime'!$N$1:$N$1500,MATCH("*"&amp;$C17&amp;"|"&amp;'Khai báo'!$C$12,'Dán TĐ realtime'!$M$1:$M$1500,0)),0))</f>
        <v>0</v>
      </c>
      <c r="I17">
        <f>IF(OR($B17="",'Khai báo'!$C$12=""),0,IFERROR(1/(1/IFERROR(INDEX('Dán TĐ realtime'!$O$1:$O$1500,MATCH("*"&amp;$C17&amp;"|"&amp;'Khai báo'!$C$12,'Dán TĐ realtime'!$M$1:$M$1500,0)),0)),G17/SoNgay))</f>
        <v>0</v>
      </c>
      <c r="J17">
        <f>IF(OR($B17="",'Khai báo'!$C$13=""),0,IFERROR(INDEX('Dán TĐ lũy kế'!$N$1:$N$1500,MATCH("*"&amp;$C17&amp;"|"&amp;'Khai báo'!$C$13,'Dán TĐ lũy kế'!$M$1:$M$1500,0)),0))</f>
        <v>0</v>
      </c>
      <c r="K17">
        <f>IF(OR($B17="",'Khai báo'!$C$13=""),0,IFERROR(INDEX('Dán TĐ lũy kế'!$O$1:$O$1500,MATCH("*"&amp;$C17&amp;"|"&amp;'Khai báo'!$C$13,'Dán TĐ lũy kế'!$M$1:$M$1500,0)),0))</f>
        <v>0</v>
      </c>
      <c r="L17">
        <f>IF(N('Khai báo'!E32)&gt;0,'Khai báo'!E32,K17)</f>
        <v>0</v>
      </c>
      <c r="M17">
        <f>IF(OR($B17="",'Khai báo'!$C$13=""),0,IFERROR(INDEX('Dán TĐ realtime'!$N$1:$N$1500,MATCH("*"&amp;$C17&amp;"|"&amp;'Khai báo'!$C$13,'Dán TĐ realtime'!$M$1:$M$1500,0)),0))</f>
        <v>0</v>
      </c>
      <c r="N17">
        <f>IF(OR($B17="",'Khai báo'!$C$13=""),0,IFERROR(1/(1/IFERROR(INDEX('Dán TĐ realtime'!$O$1:$O$1500,MATCH("*"&amp;$C17&amp;"|"&amp;'Khai báo'!$C$13,'Dán TĐ realtime'!$M$1:$M$1500,0)),0)),L17/SoNgay))</f>
        <v>0</v>
      </c>
      <c r="O17">
        <f>IF(OR($B17="",'Khai báo'!$C$14=""),0,IFERROR(INDEX('Dán TĐ lũy kế'!$N$1:$N$1500,MATCH("*"&amp;$C17&amp;"|"&amp;'Khai báo'!$C$14,'Dán TĐ lũy kế'!$M$1:$M$1500,0)),0))</f>
        <v>0</v>
      </c>
      <c r="P17">
        <f>IF(OR($B17="",'Khai báo'!$C$14=""),0,IFERROR(INDEX('Dán TĐ lũy kế'!$O$1:$O$1500,MATCH("*"&amp;$C17&amp;"|"&amp;'Khai báo'!$C$14,'Dán TĐ lũy kế'!$M$1:$M$1500,0)),0))</f>
        <v>0</v>
      </c>
      <c r="Q17">
        <f>IF(N('Khai báo'!F32)&gt;0,'Khai báo'!F32,P17)</f>
        <v>0</v>
      </c>
      <c r="R17">
        <f>IF(OR($B17="",'Khai báo'!$C$14=""),0,IFERROR(INDEX('Dán TĐ realtime'!$N$1:$N$1500,MATCH("*"&amp;$C17&amp;"|"&amp;'Khai báo'!$C$14,'Dán TĐ realtime'!$M$1:$M$1500,0)),0))</f>
        <v>0</v>
      </c>
      <c r="S17">
        <f>IF(OR($B17="",'Khai báo'!$C$14=""),0,IFERROR(1/(1/IFERROR(INDEX('Dán TĐ realtime'!$O$1:$O$1500,MATCH("*"&amp;$C17&amp;"|"&amp;'Khai báo'!$C$14,'Dán TĐ realtime'!$M$1:$M$1500,0)),0)),Q17/SoNgay))</f>
        <v>0</v>
      </c>
      <c r="T17">
        <f>IF(OR($B17="",'Khai báo'!$C$15=""),0,IFERROR(INDEX('Dán TĐ lũy kế'!$N$1:$N$1500,MATCH("*"&amp;$C17&amp;"|"&amp;'Khai báo'!$C$15,'Dán TĐ lũy kế'!$M$1:$M$1500,0)),0))</f>
        <v>0</v>
      </c>
      <c r="U17">
        <f>IF(OR($B17="",'Khai báo'!$C$15=""),0,IFERROR(INDEX('Dán TĐ lũy kế'!$O$1:$O$1500,MATCH("*"&amp;$C17&amp;"|"&amp;'Khai báo'!$C$15,'Dán TĐ lũy kế'!$M$1:$M$1500,0)),0))</f>
        <v>0</v>
      </c>
      <c r="V17">
        <f>IF(N('Khai báo'!G32)&gt;0,'Khai báo'!G32,U17)</f>
        <v>0</v>
      </c>
      <c r="W17">
        <f>IF(OR($B17="",'Khai báo'!$C$15=""),0,IFERROR(INDEX('Dán TĐ realtime'!$N$1:$N$1500,MATCH("*"&amp;$C17&amp;"|"&amp;'Khai báo'!$C$15,'Dán TĐ realtime'!$M$1:$M$1500,0)),0))</f>
        <v>0</v>
      </c>
      <c r="X17">
        <f>IF(OR($B17="",'Khai báo'!$C$15=""),0,IFERROR(1/(1/IFERROR(INDEX('Dán TĐ realtime'!$O$1:$O$1500,MATCH("*"&amp;$C17&amp;"|"&amp;'Khai báo'!$C$15,'Dán TĐ realtime'!$M$1:$M$1500,0)),0)),V17/SoNgay))</f>
        <v>0</v>
      </c>
      <c r="Y17">
        <f t="shared" si="0"/>
        <v>0</v>
      </c>
      <c r="Z17">
        <f t="shared" si="1"/>
        <v>0</v>
      </c>
      <c r="AA17">
        <f t="shared" si="2"/>
        <v>0</v>
      </c>
      <c r="AB17">
        <f t="shared" si="3"/>
        <v>0</v>
      </c>
      <c r="AC17" t="str">
        <f>IF(B17="","",IFERROR(IF(LEFT(INDEX('Dán TĐ lũy kế'!$B$1:$B$1500,MATCH("*"&amp;C17,'Dán TĐ lũy kế'!$A$1:$A$1500,0)),8)="SỐ LƯỢNG","SL","DT"),"DT"))</f>
        <v/>
      </c>
    </row>
    <row r="18" spans="1:29" x14ac:dyDescent="0.3">
      <c r="A18">
        <v>16</v>
      </c>
      <c r="B18" t="str">
        <f>IF('Khai báo'!A33="","",'Khai báo'!A33)</f>
        <v/>
      </c>
      <c r="C18" t="str">
        <f>IF(B18="","",TRIM('Khai báo'!B33))</f>
        <v/>
      </c>
      <c r="D18" t="str">
        <f>IF(B18="","",IF('Khai báo'!C33="Vượt trội","Vượt trội","Chính"))</f>
        <v/>
      </c>
      <c r="E18">
        <f>IF(OR($B18="",'Khai báo'!$C$12=""),0,IFERROR(INDEX('Dán TĐ lũy kế'!$N$1:$N$1500,MATCH("*"&amp;$C18&amp;"|"&amp;'Khai báo'!$C$12,'Dán TĐ lũy kế'!$M$1:$M$1500,0)),0))</f>
        <v>0</v>
      </c>
      <c r="F18">
        <f>IF(OR($B18="",'Khai báo'!$C$12=""),0,IFERROR(INDEX('Dán TĐ lũy kế'!$O$1:$O$1500,MATCH("*"&amp;$C18&amp;"|"&amp;'Khai báo'!$C$12,'Dán TĐ lũy kế'!$M$1:$M$1500,0)),0))</f>
        <v>0</v>
      </c>
      <c r="G18">
        <f>IF(N('Khai báo'!D33)&gt;0,'Khai báo'!D33,F18)</f>
        <v>0</v>
      </c>
      <c r="H18">
        <f>IF(OR($B18="",'Khai báo'!$C$12=""),0,IFERROR(INDEX('Dán TĐ realtime'!$N$1:$N$1500,MATCH("*"&amp;$C18&amp;"|"&amp;'Khai báo'!$C$12,'Dán TĐ realtime'!$M$1:$M$1500,0)),0))</f>
        <v>0</v>
      </c>
      <c r="I18">
        <f>IF(OR($B18="",'Khai báo'!$C$12=""),0,IFERROR(1/(1/IFERROR(INDEX('Dán TĐ realtime'!$O$1:$O$1500,MATCH("*"&amp;$C18&amp;"|"&amp;'Khai báo'!$C$12,'Dán TĐ realtime'!$M$1:$M$1500,0)),0)),G18/SoNgay))</f>
        <v>0</v>
      </c>
      <c r="J18">
        <f>IF(OR($B18="",'Khai báo'!$C$13=""),0,IFERROR(INDEX('Dán TĐ lũy kế'!$N$1:$N$1500,MATCH("*"&amp;$C18&amp;"|"&amp;'Khai báo'!$C$13,'Dán TĐ lũy kế'!$M$1:$M$1500,0)),0))</f>
        <v>0</v>
      </c>
      <c r="K18">
        <f>IF(OR($B18="",'Khai báo'!$C$13=""),0,IFERROR(INDEX('Dán TĐ lũy kế'!$O$1:$O$1500,MATCH("*"&amp;$C18&amp;"|"&amp;'Khai báo'!$C$13,'Dán TĐ lũy kế'!$M$1:$M$1500,0)),0))</f>
        <v>0</v>
      </c>
      <c r="L18">
        <f>IF(N('Khai báo'!E33)&gt;0,'Khai báo'!E33,K18)</f>
        <v>0</v>
      </c>
      <c r="M18">
        <f>IF(OR($B18="",'Khai báo'!$C$13=""),0,IFERROR(INDEX('Dán TĐ realtime'!$N$1:$N$1500,MATCH("*"&amp;$C18&amp;"|"&amp;'Khai báo'!$C$13,'Dán TĐ realtime'!$M$1:$M$1500,0)),0))</f>
        <v>0</v>
      </c>
      <c r="N18">
        <f>IF(OR($B18="",'Khai báo'!$C$13=""),0,IFERROR(1/(1/IFERROR(INDEX('Dán TĐ realtime'!$O$1:$O$1500,MATCH("*"&amp;$C18&amp;"|"&amp;'Khai báo'!$C$13,'Dán TĐ realtime'!$M$1:$M$1500,0)),0)),L18/SoNgay))</f>
        <v>0</v>
      </c>
      <c r="O18">
        <f>IF(OR($B18="",'Khai báo'!$C$14=""),0,IFERROR(INDEX('Dán TĐ lũy kế'!$N$1:$N$1500,MATCH("*"&amp;$C18&amp;"|"&amp;'Khai báo'!$C$14,'Dán TĐ lũy kế'!$M$1:$M$1500,0)),0))</f>
        <v>0</v>
      </c>
      <c r="P18">
        <f>IF(OR($B18="",'Khai báo'!$C$14=""),0,IFERROR(INDEX('Dán TĐ lũy kế'!$O$1:$O$1500,MATCH("*"&amp;$C18&amp;"|"&amp;'Khai báo'!$C$14,'Dán TĐ lũy kế'!$M$1:$M$1500,0)),0))</f>
        <v>0</v>
      </c>
      <c r="Q18">
        <f>IF(N('Khai báo'!F33)&gt;0,'Khai báo'!F33,P18)</f>
        <v>0</v>
      </c>
      <c r="R18">
        <f>IF(OR($B18="",'Khai báo'!$C$14=""),0,IFERROR(INDEX('Dán TĐ realtime'!$N$1:$N$1500,MATCH("*"&amp;$C18&amp;"|"&amp;'Khai báo'!$C$14,'Dán TĐ realtime'!$M$1:$M$1500,0)),0))</f>
        <v>0</v>
      </c>
      <c r="S18">
        <f>IF(OR($B18="",'Khai báo'!$C$14=""),0,IFERROR(1/(1/IFERROR(INDEX('Dán TĐ realtime'!$O$1:$O$1500,MATCH("*"&amp;$C18&amp;"|"&amp;'Khai báo'!$C$14,'Dán TĐ realtime'!$M$1:$M$1500,0)),0)),Q18/SoNgay))</f>
        <v>0</v>
      </c>
      <c r="T18">
        <f>IF(OR($B18="",'Khai báo'!$C$15=""),0,IFERROR(INDEX('Dán TĐ lũy kế'!$N$1:$N$1500,MATCH("*"&amp;$C18&amp;"|"&amp;'Khai báo'!$C$15,'Dán TĐ lũy kế'!$M$1:$M$1500,0)),0))</f>
        <v>0</v>
      </c>
      <c r="U18">
        <f>IF(OR($B18="",'Khai báo'!$C$15=""),0,IFERROR(INDEX('Dán TĐ lũy kế'!$O$1:$O$1500,MATCH("*"&amp;$C18&amp;"|"&amp;'Khai báo'!$C$15,'Dán TĐ lũy kế'!$M$1:$M$1500,0)),0))</f>
        <v>0</v>
      </c>
      <c r="V18">
        <f>IF(N('Khai báo'!G33)&gt;0,'Khai báo'!G33,U18)</f>
        <v>0</v>
      </c>
      <c r="W18">
        <f>IF(OR($B18="",'Khai báo'!$C$15=""),0,IFERROR(INDEX('Dán TĐ realtime'!$N$1:$N$1500,MATCH("*"&amp;$C18&amp;"|"&amp;'Khai báo'!$C$15,'Dán TĐ realtime'!$M$1:$M$1500,0)),0))</f>
        <v>0</v>
      </c>
      <c r="X18">
        <f>IF(OR($B18="",'Khai báo'!$C$15=""),0,IFERROR(1/(1/IFERROR(INDEX('Dán TĐ realtime'!$O$1:$O$1500,MATCH("*"&amp;$C18&amp;"|"&amp;'Khai báo'!$C$15,'Dán TĐ realtime'!$M$1:$M$1500,0)),0)),V18/SoNgay))</f>
        <v>0</v>
      </c>
      <c r="Y18">
        <f t="shared" si="0"/>
        <v>0</v>
      </c>
      <c r="Z18">
        <f t="shared" si="1"/>
        <v>0</v>
      </c>
      <c r="AA18">
        <f t="shared" si="2"/>
        <v>0</v>
      </c>
      <c r="AB18">
        <f t="shared" si="3"/>
        <v>0</v>
      </c>
      <c r="AC18" t="str">
        <f>IF(B18="","",IFERROR(IF(LEFT(INDEX('Dán TĐ lũy kế'!$B$1:$B$1500,MATCH("*"&amp;C18,'Dán TĐ lũy kế'!$A$1:$A$1500,0)),8)="SỐ LƯỢNG","SL","DT"),"DT"))</f>
        <v/>
      </c>
    </row>
    <row r="19" spans="1:29" x14ac:dyDescent="0.3">
      <c r="A19">
        <v>17</v>
      </c>
      <c r="B19" t="str">
        <f>IF('Khai báo'!A34="","",'Khai báo'!A34)</f>
        <v/>
      </c>
      <c r="C19" t="str">
        <f>IF(B19="","",TRIM('Khai báo'!B34))</f>
        <v/>
      </c>
      <c r="D19" t="str">
        <f>IF(B19="","",IF('Khai báo'!C34="Vượt trội","Vượt trội","Chính"))</f>
        <v/>
      </c>
      <c r="E19">
        <f>IF(OR($B19="",'Khai báo'!$C$12=""),0,IFERROR(INDEX('Dán TĐ lũy kế'!$N$1:$N$1500,MATCH("*"&amp;$C19&amp;"|"&amp;'Khai báo'!$C$12,'Dán TĐ lũy kế'!$M$1:$M$1500,0)),0))</f>
        <v>0</v>
      </c>
      <c r="F19">
        <f>IF(OR($B19="",'Khai báo'!$C$12=""),0,IFERROR(INDEX('Dán TĐ lũy kế'!$O$1:$O$1500,MATCH("*"&amp;$C19&amp;"|"&amp;'Khai báo'!$C$12,'Dán TĐ lũy kế'!$M$1:$M$1500,0)),0))</f>
        <v>0</v>
      </c>
      <c r="G19">
        <f>IF(N('Khai báo'!D34)&gt;0,'Khai báo'!D34,F19)</f>
        <v>0</v>
      </c>
      <c r="H19">
        <f>IF(OR($B19="",'Khai báo'!$C$12=""),0,IFERROR(INDEX('Dán TĐ realtime'!$N$1:$N$1500,MATCH("*"&amp;$C19&amp;"|"&amp;'Khai báo'!$C$12,'Dán TĐ realtime'!$M$1:$M$1500,0)),0))</f>
        <v>0</v>
      </c>
      <c r="I19">
        <f>IF(OR($B19="",'Khai báo'!$C$12=""),0,IFERROR(1/(1/IFERROR(INDEX('Dán TĐ realtime'!$O$1:$O$1500,MATCH("*"&amp;$C19&amp;"|"&amp;'Khai báo'!$C$12,'Dán TĐ realtime'!$M$1:$M$1500,0)),0)),G19/SoNgay))</f>
        <v>0</v>
      </c>
      <c r="J19">
        <f>IF(OR($B19="",'Khai báo'!$C$13=""),0,IFERROR(INDEX('Dán TĐ lũy kế'!$N$1:$N$1500,MATCH("*"&amp;$C19&amp;"|"&amp;'Khai báo'!$C$13,'Dán TĐ lũy kế'!$M$1:$M$1500,0)),0))</f>
        <v>0</v>
      </c>
      <c r="K19">
        <f>IF(OR($B19="",'Khai báo'!$C$13=""),0,IFERROR(INDEX('Dán TĐ lũy kế'!$O$1:$O$1500,MATCH("*"&amp;$C19&amp;"|"&amp;'Khai báo'!$C$13,'Dán TĐ lũy kế'!$M$1:$M$1500,0)),0))</f>
        <v>0</v>
      </c>
      <c r="L19">
        <f>IF(N('Khai báo'!E34)&gt;0,'Khai báo'!E34,K19)</f>
        <v>0</v>
      </c>
      <c r="M19">
        <f>IF(OR($B19="",'Khai báo'!$C$13=""),0,IFERROR(INDEX('Dán TĐ realtime'!$N$1:$N$1500,MATCH("*"&amp;$C19&amp;"|"&amp;'Khai báo'!$C$13,'Dán TĐ realtime'!$M$1:$M$1500,0)),0))</f>
        <v>0</v>
      </c>
      <c r="N19">
        <f>IF(OR($B19="",'Khai báo'!$C$13=""),0,IFERROR(1/(1/IFERROR(INDEX('Dán TĐ realtime'!$O$1:$O$1500,MATCH("*"&amp;$C19&amp;"|"&amp;'Khai báo'!$C$13,'Dán TĐ realtime'!$M$1:$M$1500,0)),0)),L19/SoNgay))</f>
        <v>0</v>
      </c>
      <c r="O19">
        <f>IF(OR($B19="",'Khai báo'!$C$14=""),0,IFERROR(INDEX('Dán TĐ lũy kế'!$N$1:$N$1500,MATCH("*"&amp;$C19&amp;"|"&amp;'Khai báo'!$C$14,'Dán TĐ lũy kế'!$M$1:$M$1500,0)),0))</f>
        <v>0</v>
      </c>
      <c r="P19">
        <f>IF(OR($B19="",'Khai báo'!$C$14=""),0,IFERROR(INDEX('Dán TĐ lũy kế'!$O$1:$O$1500,MATCH("*"&amp;$C19&amp;"|"&amp;'Khai báo'!$C$14,'Dán TĐ lũy kế'!$M$1:$M$1500,0)),0))</f>
        <v>0</v>
      </c>
      <c r="Q19">
        <f>IF(N('Khai báo'!F34)&gt;0,'Khai báo'!F34,P19)</f>
        <v>0</v>
      </c>
      <c r="R19">
        <f>IF(OR($B19="",'Khai báo'!$C$14=""),0,IFERROR(INDEX('Dán TĐ realtime'!$N$1:$N$1500,MATCH("*"&amp;$C19&amp;"|"&amp;'Khai báo'!$C$14,'Dán TĐ realtime'!$M$1:$M$1500,0)),0))</f>
        <v>0</v>
      </c>
      <c r="S19">
        <f>IF(OR($B19="",'Khai báo'!$C$14=""),0,IFERROR(1/(1/IFERROR(INDEX('Dán TĐ realtime'!$O$1:$O$1500,MATCH("*"&amp;$C19&amp;"|"&amp;'Khai báo'!$C$14,'Dán TĐ realtime'!$M$1:$M$1500,0)),0)),Q19/SoNgay))</f>
        <v>0</v>
      </c>
      <c r="T19">
        <f>IF(OR($B19="",'Khai báo'!$C$15=""),0,IFERROR(INDEX('Dán TĐ lũy kế'!$N$1:$N$1500,MATCH("*"&amp;$C19&amp;"|"&amp;'Khai báo'!$C$15,'Dán TĐ lũy kế'!$M$1:$M$1500,0)),0))</f>
        <v>0</v>
      </c>
      <c r="U19">
        <f>IF(OR($B19="",'Khai báo'!$C$15=""),0,IFERROR(INDEX('Dán TĐ lũy kế'!$O$1:$O$1500,MATCH("*"&amp;$C19&amp;"|"&amp;'Khai báo'!$C$15,'Dán TĐ lũy kế'!$M$1:$M$1500,0)),0))</f>
        <v>0</v>
      </c>
      <c r="V19">
        <f>IF(N('Khai báo'!G34)&gt;0,'Khai báo'!G34,U19)</f>
        <v>0</v>
      </c>
      <c r="W19">
        <f>IF(OR($B19="",'Khai báo'!$C$15=""),0,IFERROR(INDEX('Dán TĐ realtime'!$N$1:$N$1500,MATCH("*"&amp;$C19&amp;"|"&amp;'Khai báo'!$C$15,'Dán TĐ realtime'!$M$1:$M$1500,0)),0))</f>
        <v>0</v>
      </c>
      <c r="X19">
        <f>IF(OR($B19="",'Khai báo'!$C$15=""),0,IFERROR(1/(1/IFERROR(INDEX('Dán TĐ realtime'!$O$1:$O$1500,MATCH("*"&amp;$C19&amp;"|"&amp;'Khai báo'!$C$15,'Dán TĐ realtime'!$M$1:$M$1500,0)),0)),V19/SoNgay))</f>
        <v>0</v>
      </c>
      <c r="Y19">
        <f t="shared" si="0"/>
        <v>0</v>
      </c>
      <c r="Z19">
        <f t="shared" si="1"/>
        <v>0</v>
      </c>
      <c r="AA19">
        <f t="shared" si="2"/>
        <v>0</v>
      </c>
      <c r="AB19">
        <f t="shared" si="3"/>
        <v>0</v>
      </c>
      <c r="AC19" t="str">
        <f>IF(B19="","",IFERROR(IF(LEFT(INDEX('Dán TĐ lũy kế'!$B$1:$B$1500,MATCH("*"&amp;C19,'Dán TĐ lũy kế'!$A$1:$A$1500,0)),8)="SỐ LƯỢNG","SL","DT"),"DT"))</f>
        <v/>
      </c>
    </row>
    <row r="20" spans="1:29" x14ac:dyDescent="0.3">
      <c r="A20">
        <v>18</v>
      </c>
      <c r="B20" t="str">
        <f>IF('Khai báo'!A35="","",'Khai báo'!A35)</f>
        <v/>
      </c>
      <c r="C20" t="str">
        <f>IF(B20="","",TRIM('Khai báo'!B35))</f>
        <v/>
      </c>
      <c r="D20" t="str">
        <f>IF(B20="","",IF('Khai báo'!C35="Vượt trội","Vượt trội","Chính"))</f>
        <v/>
      </c>
      <c r="E20">
        <f>IF(OR($B20="",'Khai báo'!$C$12=""),0,IFERROR(INDEX('Dán TĐ lũy kế'!$N$1:$N$1500,MATCH("*"&amp;$C20&amp;"|"&amp;'Khai báo'!$C$12,'Dán TĐ lũy kế'!$M$1:$M$1500,0)),0))</f>
        <v>0</v>
      </c>
      <c r="F20">
        <f>IF(OR($B20="",'Khai báo'!$C$12=""),0,IFERROR(INDEX('Dán TĐ lũy kế'!$O$1:$O$1500,MATCH("*"&amp;$C20&amp;"|"&amp;'Khai báo'!$C$12,'Dán TĐ lũy kế'!$M$1:$M$1500,0)),0))</f>
        <v>0</v>
      </c>
      <c r="G20">
        <f>IF(N('Khai báo'!D35)&gt;0,'Khai báo'!D35,F20)</f>
        <v>0</v>
      </c>
      <c r="H20">
        <f>IF(OR($B20="",'Khai báo'!$C$12=""),0,IFERROR(INDEX('Dán TĐ realtime'!$N$1:$N$1500,MATCH("*"&amp;$C20&amp;"|"&amp;'Khai báo'!$C$12,'Dán TĐ realtime'!$M$1:$M$1500,0)),0))</f>
        <v>0</v>
      </c>
      <c r="I20">
        <f>IF(OR($B20="",'Khai báo'!$C$12=""),0,IFERROR(1/(1/IFERROR(INDEX('Dán TĐ realtime'!$O$1:$O$1500,MATCH("*"&amp;$C20&amp;"|"&amp;'Khai báo'!$C$12,'Dán TĐ realtime'!$M$1:$M$1500,0)),0)),G20/SoNgay))</f>
        <v>0</v>
      </c>
      <c r="J20">
        <f>IF(OR($B20="",'Khai báo'!$C$13=""),0,IFERROR(INDEX('Dán TĐ lũy kế'!$N$1:$N$1500,MATCH("*"&amp;$C20&amp;"|"&amp;'Khai báo'!$C$13,'Dán TĐ lũy kế'!$M$1:$M$1500,0)),0))</f>
        <v>0</v>
      </c>
      <c r="K20">
        <f>IF(OR($B20="",'Khai báo'!$C$13=""),0,IFERROR(INDEX('Dán TĐ lũy kế'!$O$1:$O$1500,MATCH("*"&amp;$C20&amp;"|"&amp;'Khai báo'!$C$13,'Dán TĐ lũy kế'!$M$1:$M$1500,0)),0))</f>
        <v>0</v>
      </c>
      <c r="L20">
        <f>IF(N('Khai báo'!E35)&gt;0,'Khai báo'!E35,K20)</f>
        <v>0</v>
      </c>
      <c r="M20">
        <f>IF(OR($B20="",'Khai báo'!$C$13=""),0,IFERROR(INDEX('Dán TĐ realtime'!$N$1:$N$1500,MATCH("*"&amp;$C20&amp;"|"&amp;'Khai báo'!$C$13,'Dán TĐ realtime'!$M$1:$M$1500,0)),0))</f>
        <v>0</v>
      </c>
      <c r="N20">
        <f>IF(OR($B20="",'Khai báo'!$C$13=""),0,IFERROR(1/(1/IFERROR(INDEX('Dán TĐ realtime'!$O$1:$O$1500,MATCH("*"&amp;$C20&amp;"|"&amp;'Khai báo'!$C$13,'Dán TĐ realtime'!$M$1:$M$1500,0)),0)),L20/SoNgay))</f>
        <v>0</v>
      </c>
      <c r="O20">
        <f>IF(OR($B20="",'Khai báo'!$C$14=""),0,IFERROR(INDEX('Dán TĐ lũy kế'!$N$1:$N$1500,MATCH("*"&amp;$C20&amp;"|"&amp;'Khai báo'!$C$14,'Dán TĐ lũy kế'!$M$1:$M$1500,0)),0))</f>
        <v>0</v>
      </c>
      <c r="P20">
        <f>IF(OR($B20="",'Khai báo'!$C$14=""),0,IFERROR(INDEX('Dán TĐ lũy kế'!$O$1:$O$1500,MATCH("*"&amp;$C20&amp;"|"&amp;'Khai báo'!$C$14,'Dán TĐ lũy kế'!$M$1:$M$1500,0)),0))</f>
        <v>0</v>
      </c>
      <c r="Q20">
        <f>IF(N('Khai báo'!F35)&gt;0,'Khai báo'!F35,P20)</f>
        <v>0</v>
      </c>
      <c r="R20">
        <f>IF(OR($B20="",'Khai báo'!$C$14=""),0,IFERROR(INDEX('Dán TĐ realtime'!$N$1:$N$1500,MATCH("*"&amp;$C20&amp;"|"&amp;'Khai báo'!$C$14,'Dán TĐ realtime'!$M$1:$M$1500,0)),0))</f>
        <v>0</v>
      </c>
      <c r="S20">
        <f>IF(OR($B20="",'Khai báo'!$C$14=""),0,IFERROR(1/(1/IFERROR(INDEX('Dán TĐ realtime'!$O$1:$O$1500,MATCH("*"&amp;$C20&amp;"|"&amp;'Khai báo'!$C$14,'Dán TĐ realtime'!$M$1:$M$1500,0)),0)),Q20/SoNgay))</f>
        <v>0</v>
      </c>
      <c r="T20">
        <f>IF(OR($B20="",'Khai báo'!$C$15=""),0,IFERROR(INDEX('Dán TĐ lũy kế'!$N$1:$N$1500,MATCH("*"&amp;$C20&amp;"|"&amp;'Khai báo'!$C$15,'Dán TĐ lũy kế'!$M$1:$M$1500,0)),0))</f>
        <v>0</v>
      </c>
      <c r="U20">
        <f>IF(OR($B20="",'Khai báo'!$C$15=""),0,IFERROR(INDEX('Dán TĐ lũy kế'!$O$1:$O$1500,MATCH("*"&amp;$C20&amp;"|"&amp;'Khai báo'!$C$15,'Dán TĐ lũy kế'!$M$1:$M$1500,0)),0))</f>
        <v>0</v>
      </c>
      <c r="V20">
        <f>IF(N('Khai báo'!G35)&gt;0,'Khai báo'!G35,U20)</f>
        <v>0</v>
      </c>
      <c r="W20">
        <f>IF(OR($B20="",'Khai báo'!$C$15=""),0,IFERROR(INDEX('Dán TĐ realtime'!$N$1:$N$1500,MATCH("*"&amp;$C20&amp;"|"&amp;'Khai báo'!$C$15,'Dán TĐ realtime'!$M$1:$M$1500,0)),0))</f>
        <v>0</v>
      </c>
      <c r="X20">
        <f>IF(OR($B20="",'Khai báo'!$C$15=""),0,IFERROR(1/(1/IFERROR(INDEX('Dán TĐ realtime'!$O$1:$O$1500,MATCH("*"&amp;$C20&amp;"|"&amp;'Khai báo'!$C$15,'Dán TĐ realtime'!$M$1:$M$1500,0)),0)),V20/SoNgay))</f>
        <v>0</v>
      </c>
      <c r="Y20">
        <f t="shared" si="0"/>
        <v>0</v>
      </c>
      <c r="Z20">
        <f t="shared" si="1"/>
        <v>0</v>
      </c>
      <c r="AA20">
        <f t="shared" si="2"/>
        <v>0</v>
      </c>
      <c r="AB20">
        <f t="shared" si="3"/>
        <v>0</v>
      </c>
      <c r="AC20" t="str">
        <f>IF(B20="","",IFERROR(IF(LEFT(INDEX('Dán TĐ lũy kế'!$B$1:$B$1500,MATCH("*"&amp;C20,'Dán TĐ lũy kế'!$A$1:$A$1500,0)),8)="SỐ LƯỢNG","SL","DT"),"DT"))</f>
        <v/>
      </c>
    </row>
    <row r="21" spans="1:29" x14ac:dyDescent="0.3">
      <c r="A21">
        <v>19</v>
      </c>
      <c r="B21" t="str">
        <f>IF('Khai báo'!A36="","",'Khai báo'!A36)</f>
        <v/>
      </c>
      <c r="C21" t="str">
        <f>IF(B21="","",TRIM('Khai báo'!B36))</f>
        <v/>
      </c>
      <c r="D21" t="str">
        <f>IF(B21="","",IF('Khai báo'!C36="Vượt trội","Vượt trội","Chính"))</f>
        <v/>
      </c>
      <c r="E21">
        <f>IF(OR($B21="",'Khai báo'!$C$12=""),0,IFERROR(INDEX('Dán TĐ lũy kế'!$N$1:$N$1500,MATCH("*"&amp;$C21&amp;"|"&amp;'Khai báo'!$C$12,'Dán TĐ lũy kế'!$M$1:$M$1500,0)),0))</f>
        <v>0</v>
      </c>
      <c r="F21">
        <f>IF(OR($B21="",'Khai báo'!$C$12=""),0,IFERROR(INDEX('Dán TĐ lũy kế'!$O$1:$O$1500,MATCH("*"&amp;$C21&amp;"|"&amp;'Khai báo'!$C$12,'Dán TĐ lũy kế'!$M$1:$M$1500,0)),0))</f>
        <v>0</v>
      </c>
      <c r="G21">
        <f>IF(N('Khai báo'!D36)&gt;0,'Khai báo'!D36,F21)</f>
        <v>0</v>
      </c>
      <c r="H21">
        <f>IF(OR($B21="",'Khai báo'!$C$12=""),0,IFERROR(INDEX('Dán TĐ realtime'!$N$1:$N$1500,MATCH("*"&amp;$C21&amp;"|"&amp;'Khai báo'!$C$12,'Dán TĐ realtime'!$M$1:$M$1500,0)),0))</f>
        <v>0</v>
      </c>
      <c r="I21">
        <f>IF(OR($B21="",'Khai báo'!$C$12=""),0,IFERROR(1/(1/IFERROR(INDEX('Dán TĐ realtime'!$O$1:$O$1500,MATCH("*"&amp;$C21&amp;"|"&amp;'Khai báo'!$C$12,'Dán TĐ realtime'!$M$1:$M$1500,0)),0)),G21/SoNgay))</f>
        <v>0</v>
      </c>
      <c r="J21">
        <f>IF(OR($B21="",'Khai báo'!$C$13=""),0,IFERROR(INDEX('Dán TĐ lũy kế'!$N$1:$N$1500,MATCH("*"&amp;$C21&amp;"|"&amp;'Khai báo'!$C$13,'Dán TĐ lũy kế'!$M$1:$M$1500,0)),0))</f>
        <v>0</v>
      </c>
      <c r="K21">
        <f>IF(OR($B21="",'Khai báo'!$C$13=""),0,IFERROR(INDEX('Dán TĐ lũy kế'!$O$1:$O$1500,MATCH("*"&amp;$C21&amp;"|"&amp;'Khai báo'!$C$13,'Dán TĐ lũy kế'!$M$1:$M$1500,0)),0))</f>
        <v>0</v>
      </c>
      <c r="L21">
        <f>IF(N('Khai báo'!E36)&gt;0,'Khai báo'!E36,K21)</f>
        <v>0</v>
      </c>
      <c r="M21">
        <f>IF(OR($B21="",'Khai báo'!$C$13=""),0,IFERROR(INDEX('Dán TĐ realtime'!$N$1:$N$1500,MATCH("*"&amp;$C21&amp;"|"&amp;'Khai báo'!$C$13,'Dán TĐ realtime'!$M$1:$M$1500,0)),0))</f>
        <v>0</v>
      </c>
      <c r="N21">
        <f>IF(OR($B21="",'Khai báo'!$C$13=""),0,IFERROR(1/(1/IFERROR(INDEX('Dán TĐ realtime'!$O$1:$O$1500,MATCH("*"&amp;$C21&amp;"|"&amp;'Khai báo'!$C$13,'Dán TĐ realtime'!$M$1:$M$1500,0)),0)),L21/SoNgay))</f>
        <v>0</v>
      </c>
      <c r="O21">
        <f>IF(OR($B21="",'Khai báo'!$C$14=""),0,IFERROR(INDEX('Dán TĐ lũy kế'!$N$1:$N$1500,MATCH("*"&amp;$C21&amp;"|"&amp;'Khai báo'!$C$14,'Dán TĐ lũy kế'!$M$1:$M$1500,0)),0))</f>
        <v>0</v>
      </c>
      <c r="P21">
        <f>IF(OR($B21="",'Khai báo'!$C$14=""),0,IFERROR(INDEX('Dán TĐ lũy kế'!$O$1:$O$1500,MATCH("*"&amp;$C21&amp;"|"&amp;'Khai báo'!$C$14,'Dán TĐ lũy kế'!$M$1:$M$1500,0)),0))</f>
        <v>0</v>
      </c>
      <c r="Q21">
        <f>IF(N('Khai báo'!F36)&gt;0,'Khai báo'!F36,P21)</f>
        <v>0</v>
      </c>
      <c r="R21">
        <f>IF(OR($B21="",'Khai báo'!$C$14=""),0,IFERROR(INDEX('Dán TĐ realtime'!$N$1:$N$1500,MATCH("*"&amp;$C21&amp;"|"&amp;'Khai báo'!$C$14,'Dán TĐ realtime'!$M$1:$M$1500,0)),0))</f>
        <v>0</v>
      </c>
      <c r="S21">
        <f>IF(OR($B21="",'Khai báo'!$C$14=""),0,IFERROR(1/(1/IFERROR(INDEX('Dán TĐ realtime'!$O$1:$O$1500,MATCH("*"&amp;$C21&amp;"|"&amp;'Khai báo'!$C$14,'Dán TĐ realtime'!$M$1:$M$1500,0)),0)),Q21/SoNgay))</f>
        <v>0</v>
      </c>
      <c r="T21">
        <f>IF(OR($B21="",'Khai báo'!$C$15=""),0,IFERROR(INDEX('Dán TĐ lũy kế'!$N$1:$N$1500,MATCH("*"&amp;$C21&amp;"|"&amp;'Khai báo'!$C$15,'Dán TĐ lũy kế'!$M$1:$M$1500,0)),0))</f>
        <v>0</v>
      </c>
      <c r="U21">
        <f>IF(OR($B21="",'Khai báo'!$C$15=""),0,IFERROR(INDEX('Dán TĐ lũy kế'!$O$1:$O$1500,MATCH("*"&amp;$C21&amp;"|"&amp;'Khai báo'!$C$15,'Dán TĐ lũy kế'!$M$1:$M$1500,0)),0))</f>
        <v>0</v>
      </c>
      <c r="V21">
        <f>IF(N('Khai báo'!G36)&gt;0,'Khai báo'!G36,U21)</f>
        <v>0</v>
      </c>
      <c r="W21">
        <f>IF(OR($B21="",'Khai báo'!$C$15=""),0,IFERROR(INDEX('Dán TĐ realtime'!$N$1:$N$1500,MATCH("*"&amp;$C21&amp;"|"&amp;'Khai báo'!$C$15,'Dán TĐ realtime'!$M$1:$M$1500,0)),0))</f>
        <v>0</v>
      </c>
      <c r="X21">
        <f>IF(OR($B21="",'Khai báo'!$C$15=""),0,IFERROR(1/(1/IFERROR(INDEX('Dán TĐ realtime'!$O$1:$O$1500,MATCH("*"&amp;$C21&amp;"|"&amp;'Khai báo'!$C$15,'Dán TĐ realtime'!$M$1:$M$1500,0)),0)),V21/SoNgay))</f>
        <v>0</v>
      </c>
      <c r="Y21">
        <f t="shared" si="0"/>
        <v>0</v>
      </c>
      <c r="Z21">
        <f t="shared" si="1"/>
        <v>0</v>
      </c>
      <c r="AA21">
        <f t="shared" si="2"/>
        <v>0</v>
      </c>
      <c r="AB21">
        <f t="shared" si="3"/>
        <v>0</v>
      </c>
      <c r="AC21" t="str">
        <f>IF(B21="","",IFERROR(IF(LEFT(INDEX('Dán TĐ lũy kế'!$B$1:$B$1500,MATCH("*"&amp;C21,'Dán TĐ lũy kế'!$A$1:$A$1500,0)),8)="SỐ LƯỢNG","SL","DT"),"DT"))</f>
        <v/>
      </c>
    </row>
    <row r="22" spans="1:29" x14ac:dyDescent="0.3">
      <c r="A22">
        <v>20</v>
      </c>
      <c r="B22" t="str">
        <f>IF('Khai báo'!A37="","",'Khai báo'!A37)</f>
        <v/>
      </c>
      <c r="C22" t="str">
        <f>IF(B22="","",TRIM('Khai báo'!B37))</f>
        <v/>
      </c>
      <c r="D22" t="str">
        <f>IF(B22="","",IF('Khai báo'!C37="Vượt trội","Vượt trội","Chính"))</f>
        <v/>
      </c>
      <c r="E22">
        <f>IF(OR($B22="",'Khai báo'!$C$12=""),0,IFERROR(INDEX('Dán TĐ lũy kế'!$N$1:$N$1500,MATCH("*"&amp;$C22&amp;"|"&amp;'Khai báo'!$C$12,'Dán TĐ lũy kế'!$M$1:$M$1500,0)),0))</f>
        <v>0</v>
      </c>
      <c r="F22">
        <f>IF(OR($B22="",'Khai báo'!$C$12=""),0,IFERROR(INDEX('Dán TĐ lũy kế'!$O$1:$O$1500,MATCH("*"&amp;$C22&amp;"|"&amp;'Khai báo'!$C$12,'Dán TĐ lũy kế'!$M$1:$M$1500,0)),0))</f>
        <v>0</v>
      </c>
      <c r="G22">
        <f>IF(N('Khai báo'!D37)&gt;0,'Khai báo'!D37,F22)</f>
        <v>0</v>
      </c>
      <c r="H22">
        <f>IF(OR($B22="",'Khai báo'!$C$12=""),0,IFERROR(INDEX('Dán TĐ realtime'!$N$1:$N$1500,MATCH("*"&amp;$C22&amp;"|"&amp;'Khai báo'!$C$12,'Dán TĐ realtime'!$M$1:$M$1500,0)),0))</f>
        <v>0</v>
      </c>
      <c r="I22">
        <f>IF(OR($B22="",'Khai báo'!$C$12=""),0,IFERROR(1/(1/IFERROR(INDEX('Dán TĐ realtime'!$O$1:$O$1500,MATCH("*"&amp;$C22&amp;"|"&amp;'Khai báo'!$C$12,'Dán TĐ realtime'!$M$1:$M$1500,0)),0)),G22/SoNgay))</f>
        <v>0</v>
      </c>
      <c r="J22">
        <f>IF(OR($B22="",'Khai báo'!$C$13=""),0,IFERROR(INDEX('Dán TĐ lũy kế'!$N$1:$N$1500,MATCH("*"&amp;$C22&amp;"|"&amp;'Khai báo'!$C$13,'Dán TĐ lũy kế'!$M$1:$M$1500,0)),0))</f>
        <v>0</v>
      </c>
      <c r="K22">
        <f>IF(OR($B22="",'Khai báo'!$C$13=""),0,IFERROR(INDEX('Dán TĐ lũy kế'!$O$1:$O$1500,MATCH("*"&amp;$C22&amp;"|"&amp;'Khai báo'!$C$13,'Dán TĐ lũy kế'!$M$1:$M$1500,0)),0))</f>
        <v>0</v>
      </c>
      <c r="L22">
        <f>IF(N('Khai báo'!E37)&gt;0,'Khai báo'!E37,K22)</f>
        <v>0</v>
      </c>
      <c r="M22">
        <f>IF(OR($B22="",'Khai báo'!$C$13=""),0,IFERROR(INDEX('Dán TĐ realtime'!$N$1:$N$1500,MATCH("*"&amp;$C22&amp;"|"&amp;'Khai báo'!$C$13,'Dán TĐ realtime'!$M$1:$M$1500,0)),0))</f>
        <v>0</v>
      </c>
      <c r="N22">
        <f>IF(OR($B22="",'Khai báo'!$C$13=""),0,IFERROR(1/(1/IFERROR(INDEX('Dán TĐ realtime'!$O$1:$O$1500,MATCH("*"&amp;$C22&amp;"|"&amp;'Khai báo'!$C$13,'Dán TĐ realtime'!$M$1:$M$1500,0)),0)),L22/SoNgay))</f>
        <v>0</v>
      </c>
      <c r="O22">
        <f>IF(OR($B22="",'Khai báo'!$C$14=""),0,IFERROR(INDEX('Dán TĐ lũy kế'!$N$1:$N$1500,MATCH("*"&amp;$C22&amp;"|"&amp;'Khai báo'!$C$14,'Dán TĐ lũy kế'!$M$1:$M$1500,0)),0))</f>
        <v>0</v>
      </c>
      <c r="P22">
        <f>IF(OR($B22="",'Khai báo'!$C$14=""),0,IFERROR(INDEX('Dán TĐ lũy kế'!$O$1:$O$1500,MATCH("*"&amp;$C22&amp;"|"&amp;'Khai báo'!$C$14,'Dán TĐ lũy kế'!$M$1:$M$1500,0)),0))</f>
        <v>0</v>
      </c>
      <c r="Q22">
        <f>IF(N('Khai báo'!F37)&gt;0,'Khai báo'!F37,P22)</f>
        <v>0</v>
      </c>
      <c r="R22">
        <f>IF(OR($B22="",'Khai báo'!$C$14=""),0,IFERROR(INDEX('Dán TĐ realtime'!$N$1:$N$1500,MATCH("*"&amp;$C22&amp;"|"&amp;'Khai báo'!$C$14,'Dán TĐ realtime'!$M$1:$M$1500,0)),0))</f>
        <v>0</v>
      </c>
      <c r="S22">
        <f>IF(OR($B22="",'Khai báo'!$C$14=""),0,IFERROR(1/(1/IFERROR(INDEX('Dán TĐ realtime'!$O$1:$O$1500,MATCH("*"&amp;$C22&amp;"|"&amp;'Khai báo'!$C$14,'Dán TĐ realtime'!$M$1:$M$1500,0)),0)),Q22/SoNgay))</f>
        <v>0</v>
      </c>
      <c r="T22">
        <f>IF(OR($B22="",'Khai báo'!$C$15=""),0,IFERROR(INDEX('Dán TĐ lũy kế'!$N$1:$N$1500,MATCH("*"&amp;$C22&amp;"|"&amp;'Khai báo'!$C$15,'Dán TĐ lũy kế'!$M$1:$M$1500,0)),0))</f>
        <v>0</v>
      </c>
      <c r="U22">
        <f>IF(OR($B22="",'Khai báo'!$C$15=""),0,IFERROR(INDEX('Dán TĐ lũy kế'!$O$1:$O$1500,MATCH("*"&amp;$C22&amp;"|"&amp;'Khai báo'!$C$15,'Dán TĐ lũy kế'!$M$1:$M$1500,0)),0))</f>
        <v>0</v>
      </c>
      <c r="V22">
        <f>IF(N('Khai báo'!G37)&gt;0,'Khai báo'!G37,U22)</f>
        <v>0</v>
      </c>
      <c r="W22">
        <f>IF(OR($B22="",'Khai báo'!$C$15=""),0,IFERROR(INDEX('Dán TĐ realtime'!$N$1:$N$1500,MATCH("*"&amp;$C22&amp;"|"&amp;'Khai báo'!$C$15,'Dán TĐ realtime'!$M$1:$M$1500,0)),0))</f>
        <v>0</v>
      </c>
      <c r="X22">
        <f>IF(OR($B22="",'Khai báo'!$C$15=""),0,IFERROR(1/(1/IFERROR(INDEX('Dán TĐ realtime'!$O$1:$O$1500,MATCH("*"&amp;$C22&amp;"|"&amp;'Khai báo'!$C$15,'Dán TĐ realtime'!$M$1:$M$1500,0)),0)),V22/SoNgay))</f>
        <v>0</v>
      </c>
      <c r="Y22">
        <f t="shared" si="0"/>
        <v>0</v>
      </c>
      <c r="Z22">
        <f t="shared" si="1"/>
        <v>0</v>
      </c>
      <c r="AA22">
        <f t="shared" si="2"/>
        <v>0</v>
      </c>
      <c r="AB22">
        <f t="shared" si="3"/>
        <v>0</v>
      </c>
      <c r="AC22" t="str">
        <f>IF(B22="","",IFERROR(IF(LEFT(INDEX('Dán TĐ lũy kế'!$B$1:$B$1500,MATCH("*"&amp;C22,'Dán TĐ lũy kế'!$A$1:$A$1500,0)),8)="SỐ LƯỢNG","SL","DT"),"DT"))</f>
        <v/>
      </c>
    </row>
    <row r="30" spans="1:29" x14ac:dyDescent="0.3">
      <c r="A30" s="46" t="s">
        <v>111</v>
      </c>
      <c r="B30" s="46" t="s">
        <v>139</v>
      </c>
      <c r="C30" s="46" t="s">
        <v>140</v>
      </c>
      <c r="D30" s="46" t="s">
        <v>80</v>
      </c>
      <c r="E30" s="46" t="s">
        <v>78</v>
      </c>
      <c r="F30" s="46" t="s">
        <v>141</v>
      </c>
      <c r="G30" s="46" t="s">
        <v>142</v>
      </c>
      <c r="H30" s="46" t="s">
        <v>143</v>
      </c>
      <c r="I30" s="46" t="s">
        <v>144</v>
      </c>
      <c r="J30" s="46" t="s">
        <v>145</v>
      </c>
      <c r="K30" s="46" t="s">
        <v>146</v>
      </c>
    </row>
    <row r="31" spans="1:29" x14ac:dyDescent="0.3">
      <c r="A31">
        <v>1</v>
      </c>
      <c r="B31" t="str">
        <f>IF('Khai báo'!B12="","",'Khai báo'!B12)</f>
        <v/>
      </c>
      <c r="C31" t="str">
        <f>IF('Khai báo'!C12="","",'Khai báo'!C12)</f>
        <v/>
      </c>
      <c r="D31">
        <f>N('Khai báo'!D12)</f>
        <v>0</v>
      </c>
      <c r="E31">
        <f ca="1">IF(N('Khai báo'!E12)&gt;0,'Khai báo'!E12,D31/SoNgay)</f>
        <v>0</v>
      </c>
      <c r="F31">
        <f>N('Nhập số'!B4)</f>
        <v>0</v>
      </c>
      <c r="G31">
        <f>N('Nhập số'!C4)</f>
        <v>0</v>
      </c>
      <c r="H31">
        <f>N('Nhập số'!D4)</f>
        <v>0</v>
      </c>
      <c r="I31">
        <f>N('Nhập số'!E4)</f>
        <v>0</v>
      </c>
      <c r="J31">
        <f>N('Nhập số'!F4)</f>
        <v>0</v>
      </c>
      <c r="K31">
        <f>N('Nhập số'!G4)</f>
        <v>0</v>
      </c>
      <c r="Z31" t="s">
        <v>60</v>
      </c>
    </row>
    <row r="32" spans="1:29" x14ac:dyDescent="0.3">
      <c r="A32">
        <v>2</v>
      </c>
      <c r="B32" t="str">
        <f>IF('Khai báo'!B13="","",'Khai báo'!B13)</f>
        <v/>
      </c>
      <c r="C32" t="str">
        <f>IF('Khai báo'!C13="","",'Khai báo'!C13)</f>
        <v/>
      </c>
      <c r="D32">
        <f>N('Khai báo'!D13)</f>
        <v>0</v>
      </c>
      <c r="E32">
        <f ca="1">IF(N('Khai báo'!E13)&gt;0,'Khai báo'!E13,D32/SoNgay)</f>
        <v>0</v>
      </c>
      <c r="F32">
        <f>N('Nhập số'!B5)</f>
        <v>0</v>
      </c>
      <c r="G32">
        <f>N('Nhập số'!C5)</f>
        <v>0</v>
      </c>
      <c r="H32">
        <f>N('Nhập số'!D5)</f>
        <v>0</v>
      </c>
      <c r="I32">
        <f>N('Nhập số'!E5)</f>
        <v>0</v>
      </c>
      <c r="J32">
        <f>N('Nhập số'!F5)</f>
        <v>0</v>
      </c>
      <c r="K32">
        <f>N('Nhập số'!G5)</f>
        <v>0</v>
      </c>
      <c r="Z32" t="str">
        <f>IF(B31="","—",B31)</f>
        <v>—</v>
      </c>
    </row>
    <row r="33" spans="1:26" x14ac:dyDescent="0.3">
      <c r="A33">
        <v>3</v>
      </c>
      <c r="B33" t="str">
        <f>IF('Khai báo'!B14="","",'Khai báo'!B14)</f>
        <v/>
      </c>
      <c r="C33" t="str">
        <f>IF('Khai báo'!C14="","",'Khai báo'!C14)</f>
        <v/>
      </c>
      <c r="D33">
        <f>N('Khai báo'!D14)</f>
        <v>0</v>
      </c>
      <c r="E33">
        <f ca="1">IF(N('Khai báo'!E14)&gt;0,'Khai báo'!E14,D33/SoNgay)</f>
        <v>0</v>
      </c>
      <c r="F33">
        <f>N('Nhập số'!B6)</f>
        <v>0</v>
      </c>
      <c r="G33">
        <f>N('Nhập số'!C6)</f>
        <v>0</v>
      </c>
      <c r="H33">
        <f>N('Nhập số'!D6)</f>
        <v>0</v>
      </c>
      <c r="I33">
        <f>N('Nhập số'!E6)</f>
        <v>0</v>
      </c>
      <c r="J33">
        <f>N('Nhập số'!F6)</f>
        <v>0</v>
      </c>
      <c r="K33">
        <f>N('Nhập số'!G6)</f>
        <v>0</v>
      </c>
      <c r="Z33" t="str">
        <f>IF(B32="","—",B32)</f>
        <v>—</v>
      </c>
    </row>
    <row r="34" spans="1:26" x14ac:dyDescent="0.3">
      <c r="A34">
        <v>4</v>
      </c>
      <c r="B34" t="str">
        <f>IF('Khai báo'!B15="","",'Khai báo'!B15)</f>
        <v/>
      </c>
      <c r="C34" t="str">
        <f>IF('Khai báo'!C15="","",'Khai báo'!C15)</f>
        <v/>
      </c>
      <c r="D34">
        <f>N('Khai báo'!D15)</f>
        <v>0</v>
      </c>
      <c r="E34">
        <f ca="1">IF(N('Khai báo'!E15)&gt;0,'Khai báo'!E15,D34/SoNgay)</f>
        <v>0</v>
      </c>
      <c r="F34">
        <f>N('Nhập số'!B7)</f>
        <v>0</v>
      </c>
      <c r="G34">
        <f>N('Nhập số'!C7)</f>
        <v>0</v>
      </c>
      <c r="H34">
        <f>N('Nhập số'!D7)</f>
        <v>0</v>
      </c>
      <c r="I34">
        <f>N('Nhập số'!E7)</f>
        <v>0</v>
      </c>
      <c r="J34">
        <f>N('Nhập số'!F7)</f>
        <v>0</v>
      </c>
      <c r="K34">
        <f>N('Nhập số'!G7)</f>
        <v>0</v>
      </c>
      <c r="Z34" t="str">
        <f>IF(B33="","—",B33)</f>
        <v>—</v>
      </c>
    </row>
    <row r="35" spans="1:26" x14ac:dyDescent="0.3">
      <c r="A35">
        <v>0</v>
      </c>
      <c r="B35">
        <f>'Khai báo'!B3</f>
        <v>0</v>
      </c>
      <c r="D35">
        <f>SUM(D31:D34)</f>
        <v>0</v>
      </c>
      <c r="E35">
        <f ca="1">SUM(E31:E34)</f>
        <v>0</v>
      </c>
      <c r="F35">
        <f>SUM(F31:F34)</f>
        <v>0</v>
      </c>
      <c r="G35">
        <f>SUM(G31:G34)</f>
        <v>0</v>
      </c>
      <c r="H35">
        <f>IFERROR(SUMPRODUCT(H31:H34,G31:G34)/SUM(G31:G34),0)</f>
        <v>0</v>
      </c>
      <c r="I35">
        <f>SUM(I31:I34)</f>
        <v>0</v>
      </c>
      <c r="J35">
        <f>SUM(J31:J34)</f>
        <v>0</v>
      </c>
      <c r="K35">
        <f>IFERROR(SUMPRODUCT(K31:K34,J31:J34)/SUM(J31:J34),0)</f>
        <v>0</v>
      </c>
      <c r="Z35" t="str">
        <f>IF(B34="","—",B34)</f>
        <v>—</v>
      </c>
    </row>
    <row r="38" spans="1:26" x14ac:dyDescent="0.3">
      <c r="A38" s="46" t="s">
        <v>111</v>
      </c>
      <c r="B38" s="46" t="s">
        <v>147</v>
      </c>
      <c r="C38" s="46" t="s">
        <v>31</v>
      </c>
      <c r="D38" s="46" t="s">
        <v>91</v>
      </c>
      <c r="E38" s="46" t="s">
        <v>148</v>
      </c>
      <c r="F38" s="46" t="s">
        <v>139</v>
      </c>
      <c r="G38" s="46" t="s">
        <v>149</v>
      </c>
      <c r="H38" s="46" t="s">
        <v>150</v>
      </c>
      <c r="I38" s="46" t="s">
        <v>151</v>
      </c>
      <c r="J38" s="46" t="s">
        <v>152</v>
      </c>
      <c r="K38" s="46" t="s">
        <v>141</v>
      </c>
      <c r="L38" s="46" t="s">
        <v>153</v>
      </c>
      <c r="M38" s="46" t="s">
        <v>90</v>
      </c>
      <c r="N38" s="46" t="s">
        <v>89</v>
      </c>
      <c r="O38" s="46" t="s">
        <v>154</v>
      </c>
      <c r="P38" s="46" t="s">
        <v>155</v>
      </c>
    </row>
    <row r="39" spans="1:26" x14ac:dyDescent="0.3">
      <c r="A39">
        <v>1</v>
      </c>
      <c r="B39" t="str">
        <f>IF('Khai báo'!A46="","",TRIM('Khai báo'!A46&amp;""))</f>
        <v/>
      </c>
      <c r="C39" t="str">
        <f>IF(B39="","",'Khai báo'!B46&amp;"")</f>
        <v/>
      </c>
      <c r="D39">
        <f>IF(B39="",0,IF(AND(N('Khai báo'!C46)&gt;=1,N('Khai báo'!C46)&lt;=4),N('Khai báo'!C46),IFERROR(--('Khai báo'!C46),1)))</f>
        <v>0</v>
      </c>
      <c r="E39">
        <f>IF(B39="",0,N('Khai báo'!D46))</f>
        <v>0</v>
      </c>
      <c r="F39" t="str">
        <f t="shared" ref="F39:F83" si="4">IF(C39="","",TRIM(RIGHT(SUBSTITUTE(TRIM(C39)," ",REPT(" ",60)),60)))</f>
        <v/>
      </c>
      <c r="G39">
        <f t="shared" ref="G39:G83" si="5">IF(B39="",0,SUMIFS($E$39:$E$83,$D$39:$D$83,D39))</f>
        <v>0</v>
      </c>
      <c r="H39">
        <f t="shared" ref="H39:H83" si="6">IF(B39="",0,COUNTIFS($D$39:$D$83,D39,$E$39:$E$83,0,$B$39:$B$83,"?*"))</f>
        <v>0</v>
      </c>
      <c r="I39">
        <f t="shared" ref="I39:I83" si="7">IF(B39="",0,INDEX($D$31:$D$34,D39))</f>
        <v>0</v>
      </c>
      <c r="J39">
        <f t="shared" ref="J39:J83" si="8">IF(B39="",0,ROUND(IF(E39&gt;0,I39*E39/100,IFERROR((I39-I39*G39/100)/H39,0)),1))</f>
        <v>0</v>
      </c>
      <c r="K39">
        <f>IF(B39="",0,IFERROR(INDEX('Dán DT nhân viên'!$N$1:$N$1500,MATCH(B39,'Dán DT nhân viên'!$L$1:$L$1500,0)),0))</f>
        <v>0</v>
      </c>
      <c r="L39">
        <f>IF(B39="",0,IFERROR(INDEX('Dán DT NV realtime'!$N$1:$N$1500,MATCH(B39,'Dán DT NV realtime'!$L$1:$L$1500,0)),0))</f>
        <v>0</v>
      </c>
      <c r="M39">
        <f t="shared" ref="M39:M83" si="9">IF(J39&gt;0,K39/NgayQua*SoNgay/J39,0)</f>
        <v>0</v>
      </c>
      <c r="N39">
        <f t="shared" ref="N39:N83" si="10">IF(J39&gt;0,K39/J39,0)</f>
        <v>0</v>
      </c>
      <c r="O39" t="str">
        <f t="shared" ref="O39:O83" si="11">IF(B39="","",INDEX($B$31:$B$34,D39))</f>
        <v/>
      </c>
      <c r="P39">
        <f>IF(B39="",0,COUNTIF($C$182:$V$182,"&gt;=0.995"))</f>
        <v>0</v>
      </c>
      <c r="Q39">
        <f>IF(B39="",0,COUNTIFS($C$180:$V$180,"Chính",$C$182:$V$182,"&gt;=0.995"))</f>
        <v>0</v>
      </c>
      <c r="R39">
        <f>IF(B39="",0,COUNTIFS($C$180:$V$180,"Vượt trội",$C$182:$V$182,"&gt;=0.995"))</f>
        <v>0</v>
      </c>
    </row>
    <row r="40" spans="1:26" x14ac:dyDescent="0.3">
      <c r="A40">
        <v>2</v>
      </c>
      <c r="B40" t="str">
        <f>IF('Khai báo'!A47="","",TRIM('Khai báo'!A47&amp;""))</f>
        <v/>
      </c>
      <c r="C40" t="str">
        <f>IF(B40="","",'Khai báo'!B47&amp;"")</f>
        <v/>
      </c>
      <c r="D40">
        <f>IF(B40="",0,IF(AND(N('Khai báo'!C47)&gt;=1,N('Khai báo'!C47)&lt;=4),N('Khai báo'!C47),IFERROR(--('Khai báo'!C47),1)))</f>
        <v>0</v>
      </c>
      <c r="E40">
        <f>IF(B40="",0,N('Khai báo'!D47))</f>
        <v>0</v>
      </c>
      <c r="F40" t="str">
        <f t="shared" si="4"/>
        <v/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8"/>
        <v>0</v>
      </c>
      <c r="K40">
        <f>IF(B40="",0,IFERROR(INDEX('Dán DT nhân viên'!$N$1:$N$1500,MATCH(B40,'Dán DT nhân viên'!$L$1:$L$1500,0)),0))</f>
        <v>0</v>
      </c>
      <c r="L40">
        <f>IF(B40="",0,IFERROR(INDEX('Dán DT NV realtime'!$N$1:$N$1500,MATCH(B40,'Dán DT NV realtime'!$L$1:$L$1500,0)),0))</f>
        <v>0</v>
      </c>
      <c r="M40">
        <f t="shared" si="9"/>
        <v>0</v>
      </c>
      <c r="N40">
        <f t="shared" si="10"/>
        <v>0</v>
      </c>
      <c r="O40" t="str">
        <f t="shared" si="11"/>
        <v/>
      </c>
      <c r="P40">
        <f>IF(B40="",0,COUNTIF($C$183:$V$183,"&gt;=0.995"))</f>
        <v>0</v>
      </c>
      <c r="Q40">
        <f>IF(B40="",0,COUNTIFS($C$180:$V$180,"Chính",$C$183:$V$183,"&gt;=0.995"))</f>
        <v>0</v>
      </c>
      <c r="R40">
        <f>IF(B40="",0,COUNTIFS($C$180:$V$180,"Vượt trội",$C$183:$V$183,"&gt;=0.995"))</f>
        <v>0</v>
      </c>
    </row>
    <row r="41" spans="1:26" x14ac:dyDescent="0.3">
      <c r="A41">
        <v>3</v>
      </c>
      <c r="B41" t="str">
        <f>IF('Khai báo'!A48="","",TRIM('Khai báo'!A48&amp;""))</f>
        <v/>
      </c>
      <c r="C41" t="str">
        <f>IF(B41="","",'Khai báo'!B48&amp;"")</f>
        <v/>
      </c>
      <c r="D41">
        <f>IF(B41="",0,IF(AND(N('Khai báo'!C48)&gt;=1,N('Khai báo'!C48)&lt;=4),N('Khai báo'!C48),IFERROR(--('Khai báo'!C48),1)))</f>
        <v>0</v>
      </c>
      <c r="E41">
        <f>IF(B41="",0,N('Khai báo'!D48))</f>
        <v>0</v>
      </c>
      <c r="F41" t="str">
        <f t="shared" si="4"/>
        <v/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8"/>
        <v>0</v>
      </c>
      <c r="K41">
        <f>IF(B41="",0,IFERROR(INDEX('Dán DT nhân viên'!$N$1:$N$1500,MATCH(B41,'Dán DT nhân viên'!$L$1:$L$1500,0)),0))</f>
        <v>0</v>
      </c>
      <c r="L41">
        <f>IF(B41="",0,IFERROR(INDEX('Dán DT NV realtime'!$N$1:$N$1500,MATCH(B41,'Dán DT NV realtime'!$L$1:$L$1500,0)),0))</f>
        <v>0</v>
      </c>
      <c r="M41">
        <f t="shared" si="9"/>
        <v>0</v>
      </c>
      <c r="N41">
        <f t="shared" si="10"/>
        <v>0</v>
      </c>
      <c r="O41" t="str">
        <f t="shared" si="11"/>
        <v/>
      </c>
      <c r="P41">
        <f>IF(B41="",0,COUNTIF($C$184:$V$184,"&gt;=0.995"))</f>
        <v>0</v>
      </c>
      <c r="Q41">
        <f>IF(B41="",0,COUNTIFS($C$180:$V$180,"Chính",$C$184:$V$184,"&gt;=0.995"))</f>
        <v>0</v>
      </c>
      <c r="R41">
        <f>IF(B41="",0,COUNTIFS($C$180:$V$180,"Vượt trội",$C$184:$V$184,"&gt;=0.995"))</f>
        <v>0</v>
      </c>
    </row>
    <row r="42" spans="1:26" x14ac:dyDescent="0.3">
      <c r="A42">
        <v>4</v>
      </c>
      <c r="B42" t="str">
        <f>IF('Khai báo'!A49="","",TRIM('Khai báo'!A49&amp;""))</f>
        <v/>
      </c>
      <c r="C42" t="str">
        <f>IF(B42="","",'Khai báo'!B49&amp;"")</f>
        <v/>
      </c>
      <c r="D42">
        <f>IF(B42="",0,IF(AND(N('Khai báo'!C49)&gt;=1,N('Khai báo'!C49)&lt;=4),N('Khai báo'!C49),IFERROR(--('Khai báo'!C49),1)))</f>
        <v>0</v>
      </c>
      <c r="E42">
        <f>IF(B42="",0,N('Khai báo'!D49))</f>
        <v>0</v>
      </c>
      <c r="F42" t="str">
        <f t="shared" si="4"/>
        <v/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8"/>
        <v>0</v>
      </c>
      <c r="K42">
        <f>IF(B42="",0,IFERROR(INDEX('Dán DT nhân viên'!$N$1:$N$1500,MATCH(B42,'Dán DT nhân viên'!$L$1:$L$1500,0)),0))</f>
        <v>0</v>
      </c>
      <c r="L42">
        <f>IF(B42="",0,IFERROR(INDEX('Dán DT NV realtime'!$N$1:$N$1500,MATCH(B42,'Dán DT NV realtime'!$L$1:$L$1500,0)),0))</f>
        <v>0</v>
      </c>
      <c r="M42">
        <f t="shared" si="9"/>
        <v>0</v>
      </c>
      <c r="N42">
        <f t="shared" si="10"/>
        <v>0</v>
      </c>
      <c r="O42" t="str">
        <f t="shared" si="11"/>
        <v/>
      </c>
      <c r="P42">
        <f>IF(B42="",0,COUNTIF($C$185:$V$185,"&gt;=0.995"))</f>
        <v>0</v>
      </c>
      <c r="Q42">
        <f>IF(B42="",0,COUNTIFS($C$180:$V$180,"Chính",$C$185:$V$185,"&gt;=0.995"))</f>
        <v>0</v>
      </c>
      <c r="R42">
        <f>IF(B42="",0,COUNTIFS($C$180:$V$180,"Vượt trội",$C$185:$V$185,"&gt;=0.995"))</f>
        <v>0</v>
      </c>
    </row>
    <row r="43" spans="1:26" x14ac:dyDescent="0.3">
      <c r="A43">
        <v>5</v>
      </c>
      <c r="B43" t="str">
        <f>IF('Khai báo'!A50="","",TRIM('Khai báo'!A50&amp;""))</f>
        <v/>
      </c>
      <c r="C43" t="str">
        <f>IF(B43="","",'Khai báo'!B50&amp;"")</f>
        <v/>
      </c>
      <c r="D43">
        <f>IF(B43="",0,IF(AND(N('Khai báo'!C50)&gt;=1,N('Khai báo'!C50)&lt;=4),N('Khai báo'!C50),IFERROR(--('Khai báo'!C50),1)))</f>
        <v>0</v>
      </c>
      <c r="E43">
        <f>IF(B43="",0,N('Khai báo'!D50))</f>
        <v>0</v>
      </c>
      <c r="F43" t="str">
        <f t="shared" si="4"/>
        <v/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8"/>
        <v>0</v>
      </c>
      <c r="K43">
        <f>IF(B43="",0,IFERROR(INDEX('Dán DT nhân viên'!$N$1:$N$1500,MATCH(B43,'Dán DT nhân viên'!$L$1:$L$1500,0)),0))</f>
        <v>0</v>
      </c>
      <c r="L43">
        <f>IF(B43="",0,IFERROR(INDEX('Dán DT NV realtime'!$N$1:$N$1500,MATCH(B43,'Dán DT NV realtime'!$L$1:$L$1500,0)),0))</f>
        <v>0</v>
      </c>
      <c r="M43">
        <f t="shared" si="9"/>
        <v>0</v>
      </c>
      <c r="N43">
        <f t="shared" si="10"/>
        <v>0</v>
      </c>
      <c r="O43" t="str">
        <f t="shared" si="11"/>
        <v/>
      </c>
      <c r="P43">
        <f>IF(B43="",0,COUNTIF($C$186:$V$186,"&gt;=0.995"))</f>
        <v>0</v>
      </c>
      <c r="Q43">
        <f>IF(B43="",0,COUNTIFS($C$180:$V$180,"Chính",$C$186:$V$186,"&gt;=0.995"))</f>
        <v>0</v>
      </c>
      <c r="R43">
        <f>IF(B43="",0,COUNTIFS($C$180:$V$180,"Vượt trội",$C$186:$V$186,"&gt;=0.995"))</f>
        <v>0</v>
      </c>
    </row>
    <row r="44" spans="1:26" x14ac:dyDescent="0.3">
      <c r="A44">
        <v>6</v>
      </c>
      <c r="B44" t="str">
        <f>IF('Khai báo'!A51="","",TRIM('Khai báo'!A51&amp;""))</f>
        <v/>
      </c>
      <c r="C44" t="str">
        <f>IF(B44="","",'Khai báo'!B51&amp;"")</f>
        <v/>
      </c>
      <c r="D44">
        <f>IF(B44="",0,IF(AND(N('Khai báo'!C51)&gt;=1,N('Khai báo'!C51)&lt;=4),N('Khai báo'!C51),IFERROR(--('Khai báo'!C51),1)))</f>
        <v>0</v>
      </c>
      <c r="E44">
        <f>IF(B44="",0,N('Khai báo'!D51))</f>
        <v>0</v>
      </c>
      <c r="F44" t="str">
        <f t="shared" si="4"/>
        <v/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8"/>
        <v>0</v>
      </c>
      <c r="K44">
        <f>IF(B44="",0,IFERROR(INDEX('Dán DT nhân viên'!$N$1:$N$1500,MATCH(B44,'Dán DT nhân viên'!$L$1:$L$1500,0)),0))</f>
        <v>0</v>
      </c>
      <c r="L44">
        <f>IF(B44="",0,IFERROR(INDEX('Dán DT NV realtime'!$N$1:$N$1500,MATCH(B44,'Dán DT NV realtime'!$L$1:$L$1500,0)),0))</f>
        <v>0</v>
      </c>
      <c r="M44">
        <f t="shared" si="9"/>
        <v>0</v>
      </c>
      <c r="N44">
        <f t="shared" si="10"/>
        <v>0</v>
      </c>
      <c r="O44" t="str">
        <f t="shared" si="11"/>
        <v/>
      </c>
      <c r="P44">
        <f>IF(B44="",0,COUNTIF($C$187:$V$187,"&gt;=0.995"))</f>
        <v>0</v>
      </c>
      <c r="Q44">
        <f>IF(B44="",0,COUNTIFS($C$180:$V$180,"Chính",$C$187:$V$187,"&gt;=0.995"))</f>
        <v>0</v>
      </c>
      <c r="R44">
        <f>IF(B44="",0,COUNTIFS($C$180:$V$180,"Vượt trội",$C$187:$V$187,"&gt;=0.995"))</f>
        <v>0</v>
      </c>
    </row>
    <row r="45" spans="1:26" x14ac:dyDescent="0.3">
      <c r="A45">
        <v>7</v>
      </c>
      <c r="B45" t="str">
        <f>IF('Khai báo'!A52="","",TRIM('Khai báo'!A52&amp;""))</f>
        <v/>
      </c>
      <c r="C45" t="str">
        <f>IF(B45="","",'Khai báo'!B52&amp;"")</f>
        <v/>
      </c>
      <c r="D45">
        <f>IF(B45="",0,IF(AND(N('Khai báo'!C52)&gt;=1,N('Khai báo'!C52)&lt;=4),N('Khai báo'!C52),IFERROR(--('Khai báo'!C52),1)))</f>
        <v>0</v>
      </c>
      <c r="E45">
        <f>IF(B45="",0,N('Khai báo'!D52))</f>
        <v>0</v>
      </c>
      <c r="F45" t="str">
        <f t="shared" si="4"/>
        <v/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8"/>
        <v>0</v>
      </c>
      <c r="K45">
        <f>IF(B45="",0,IFERROR(INDEX('Dán DT nhân viên'!$N$1:$N$1500,MATCH(B45,'Dán DT nhân viên'!$L$1:$L$1500,0)),0))</f>
        <v>0</v>
      </c>
      <c r="L45">
        <f>IF(B45="",0,IFERROR(INDEX('Dán DT NV realtime'!$N$1:$N$1500,MATCH(B45,'Dán DT NV realtime'!$L$1:$L$1500,0)),0))</f>
        <v>0</v>
      </c>
      <c r="M45">
        <f t="shared" si="9"/>
        <v>0</v>
      </c>
      <c r="N45">
        <f t="shared" si="10"/>
        <v>0</v>
      </c>
      <c r="O45" t="str">
        <f t="shared" si="11"/>
        <v/>
      </c>
      <c r="P45">
        <f>IF(B45="",0,COUNTIF($C$188:$V$188,"&gt;=0.995"))</f>
        <v>0</v>
      </c>
      <c r="Q45">
        <f>IF(B45="",0,COUNTIFS($C$180:$V$180,"Chính",$C$188:$V$188,"&gt;=0.995"))</f>
        <v>0</v>
      </c>
      <c r="R45">
        <f>IF(B45="",0,COUNTIFS($C$180:$V$180,"Vượt trội",$C$188:$V$188,"&gt;=0.995"))</f>
        <v>0</v>
      </c>
    </row>
    <row r="46" spans="1:26" x14ac:dyDescent="0.3">
      <c r="A46">
        <v>8</v>
      </c>
      <c r="B46" t="str">
        <f>IF('Khai báo'!A53="","",TRIM('Khai báo'!A53&amp;""))</f>
        <v/>
      </c>
      <c r="C46" t="str">
        <f>IF(B46="","",'Khai báo'!B53&amp;"")</f>
        <v/>
      </c>
      <c r="D46">
        <f>IF(B46="",0,IF(AND(N('Khai báo'!C53)&gt;=1,N('Khai báo'!C53)&lt;=4),N('Khai báo'!C53),IFERROR(--('Khai báo'!C53),1)))</f>
        <v>0</v>
      </c>
      <c r="E46">
        <f>IF(B46="",0,N('Khai báo'!D53))</f>
        <v>0</v>
      </c>
      <c r="F46" t="str">
        <f t="shared" si="4"/>
        <v/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8"/>
        <v>0</v>
      </c>
      <c r="K46">
        <f>IF(B46="",0,IFERROR(INDEX('Dán DT nhân viên'!$N$1:$N$1500,MATCH(B46,'Dán DT nhân viên'!$L$1:$L$1500,0)),0))</f>
        <v>0</v>
      </c>
      <c r="L46">
        <f>IF(B46="",0,IFERROR(INDEX('Dán DT NV realtime'!$N$1:$N$1500,MATCH(B46,'Dán DT NV realtime'!$L$1:$L$1500,0)),0))</f>
        <v>0</v>
      </c>
      <c r="M46">
        <f t="shared" si="9"/>
        <v>0</v>
      </c>
      <c r="N46">
        <f t="shared" si="10"/>
        <v>0</v>
      </c>
      <c r="O46" t="str">
        <f t="shared" si="11"/>
        <v/>
      </c>
      <c r="P46">
        <f>IF(B46="",0,COUNTIF($C$189:$V$189,"&gt;=0.995"))</f>
        <v>0</v>
      </c>
      <c r="Q46">
        <f>IF(B46="",0,COUNTIFS($C$180:$V$180,"Chính",$C$189:$V$189,"&gt;=0.995"))</f>
        <v>0</v>
      </c>
      <c r="R46">
        <f>IF(B46="",0,COUNTIFS($C$180:$V$180,"Vượt trội",$C$189:$V$189,"&gt;=0.995"))</f>
        <v>0</v>
      </c>
    </row>
    <row r="47" spans="1:26" x14ac:dyDescent="0.3">
      <c r="A47">
        <v>9</v>
      </c>
      <c r="B47" t="str">
        <f>IF('Khai báo'!A54="","",TRIM('Khai báo'!A54&amp;""))</f>
        <v/>
      </c>
      <c r="C47" t="str">
        <f>IF(B47="","",'Khai báo'!B54&amp;"")</f>
        <v/>
      </c>
      <c r="D47">
        <f>IF(B47="",0,IF(AND(N('Khai báo'!C54)&gt;=1,N('Khai báo'!C54)&lt;=4),N('Khai báo'!C54),IFERROR(--('Khai báo'!C54),1)))</f>
        <v>0</v>
      </c>
      <c r="E47">
        <f>IF(B47="",0,N('Khai báo'!D54))</f>
        <v>0</v>
      </c>
      <c r="F47" t="str">
        <f t="shared" si="4"/>
        <v/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8"/>
        <v>0</v>
      </c>
      <c r="K47">
        <f>IF(B47="",0,IFERROR(INDEX('Dán DT nhân viên'!$N$1:$N$1500,MATCH(B47,'Dán DT nhân viên'!$L$1:$L$1500,0)),0))</f>
        <v>0</v>
      </c>
      <c r="L47">
        <f>IF(B47="",0,IFERROR(INDEX('Dán DT NV realtime'!$N$1:$N$1500,MATCH(B47,'Dán DT NV realtime'!$L$1:$L$1500,0)),0))</f>
        <v>0</v>
      </c>
      <c r="M47">
        <f t="shared" si="9"/>
        <v>0</v>
      </c>
      <c r="N47">
        <f t="shared" si="10"/>
        <v>0</v>
      </c>
      <c r="O47" t="str">
        <f t="shared" si="11"/>
        <v/>
      </c>
      <c r="P47">
        <f>IF(B47="",0,COUNTIF($C$190:$V$190,"&gt;=0.995"))</f>
        <v>0</v>
      </c>
      <c r="Q47">
        <f>IF(B47="",0,COUNTIFS($C$180:$V$180,"Chính",$C$190:$V$190,"&gt;=0.995"))</f>
        <v>0</v>
      </c>
      <c r="R47">
        <f>IF(B47="",0,COUNTIFS($C$180:$V$180,"Vượt trội",$C$190:$V$190,"&gt;=0.995"))</f>
        <v>0</v>
      </c>
    </row>
    <row r="48" spans="1:26" x14ac:dyDescent="0.3">
      <c r="A48">
        <v>10</v>
      </c>
      <c r="B48" t="str">
        <f>IF('Khai báo'!A55="","",TRIM('Khai báo'!A55&amp;""))</f>
        <v/>
      </c>
      <c r="C48" t="str">
        <f>IF(B48="","",'Khai báo'!B55&amp;"")</f>
        <v/>
      </c>
      <c r="D48">
        <f>IF(B48="",0,IF(AND(N('Khai báo'!C55)&gt;=1,N('Khai báo'!C55)&lt;=4),N('Khai báo'!C55),IFERROR(--('Khai báo'!C55),1)))</f>
        <v>0</v>
      </c>
      <c r="E48">
        <f>IF(B48="",0,N('Khai báo'!D55))</f>
        <v>0</v>
      </c>
      <c r="F48" t="str">
        <f t="shared" si="4"/>
        <v/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8"/>
        <v>0</v>
      </c>
      <c r="K48">
        <f>IF(B48="",0,IFERROR(INDEX('Dán DT nhân viên'!$N$1:$N$1500,MATCH(B48,'Dán DT nhân viên'!$L$1:$L$1500,0)),0))</f>
        <v>0</v>
      </c>
      <c r="L48">
        <f>IF(B48="",0,IFERROR(INDEX('Dán DT NV realtime'!$N$1:$N$1500,MATCH(B48,'Dán DT NV realtime'!$L$1:$L$1500,0)),0))</f>
        <v>0</v>
      </c>
      <c r="M48">
        <f t="shared" si="9"/>
        <v>0</v>
      </c>
      <c r="N48">
        <f t="shared" si="10"/>
        <v>0</v>
      </c>
      <c r="O48" t="str">
        <f t="shared" si="11"/>
        <v/>
      </c>
      <c r="P48">
        <f>IF(B48="",0,COUNTIF($C$191:$V$191,"&gt;=0.995"))</f>
        <v>0</v>
      </c>
      <c r="Q48">
        <f>IF(B48="",0,COUNTIFS($C$180:$V$180,"Chính",$C$191:$V$191,"&gt;=0.995"))</f>
        <v>0</v>
      </c>
      <c r="R48">
        <f>IF(B48="",0,COUNTIFS($C$180:$V$180,"Vượt trội",$C$191:$V$191,"&gt;=0.995"))</f>
        <v>0</v>
      </c>
    </row>
    <row r="49" spans="1:18" x14ac:dyDescent="0.3">
      <c r="A49">
        <v>11</v>
      </c>
      <c r="B49" t="str">
        <f>IF('Khai báo'!A56="","",TRIM('Khai báo'!A56&amp;""))</f>
        <v/>
      </c>
      <c r="C49" t="str">
        <f>IF(B49="","",'Khai báo'!B56&amp;"")</f>
        <v/>
      </c>
      <c r="D49">
        <f>IF(B49="",0,IF(AND(N('Khai báo'!C56)&gt;=1,N('Khai báo'!C56)&lt;=4),N('Khai báo'!C56),IFERROR(--('Khai báo'!C56),1)))</f>
        <v>0</v>
      </c>
      <c r="E49">
        <f>IF(B49="",0,N('Khai báo'!D56))</f>
        <v>0</v>
      </c>
      <c r="F49" t="str">
        <f t="shared" si="4"/>
        <v/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8"/>
        <v>0</v>
      </c>
      <c r="K49">
        <f>IF(B49="",0,IFERROR(INDEX('Dán DT nhân viên'!$N$1:$N$1500,MATCH(B49,'Dán DT nhân viên'!$L$1:$L$1500,0)),0))</f>
        <v>0</v>
      </c>
      <c r="L49">
        <f>IF(B49="",0,IFERROR(INDEX('Dán DT NV realtime'!$N$1:$N$1500,MATCH(B49,'Dán DT NV realtime'!$L$1:$L$1500,0)),0))</f>
        <v>0</v>
      </c>
      <c r="M49">
        <f t="shared" si="9"/>
        <v>0</v>
      </c>
      <c r="N49">
        <f t="shared" si="10"/>
        <v>0</v>
      </c>
      <c r="O49" t="str">
        <f t="shared" si="11"/>
        <v/>
      </c>
      <c r="P49">
        <f>IF(B49="",0,COUNTIF($C$192:$V$192,"&gt;=0.995"))</f>
        <v>0</v>
      </c>
      <c r="Q49">
        <f>IF(B49="",0,COUNTIFS($C$180:$V$180,"Chính",$C$192:$V$192,"&gt;=0.995"))</f>
        <v>0</v>
      </c>
      <c r="R49">
        <f>IF(B49="",0,COUNTIFS($C$180:$V$180,"Vượt trội",$C$192:$V$192,"&gt;=0.995"))</f>
        <v>0</v>
      </c>
    </row>
    <row r="50" spans="1:18" x14ac:dyDescent="0.3">
      <c r="A50">
        <v>12</v>
      </c>
      <c r="B50" t="str">
        <f>IF('Khai báo'!A57="","",TRIM('Khai báo'!A57&amp;""))</f>
        <v/>
      </c>
      <c r="C50" t="str">
        <f>IF(B50="","",'Khai báo'!B57&amp;"")</f>
        <v/>
      </c>
      <c r="D50">
        <f>IF(B50="",0,IF(AND(N('Khai báo'!C57)&gt;=1,N('Khai báo'!C57)&lt;=4),N('Khai báo'!C57),IFERROR(--('Khai báo'!C57),1)))</f>
        <v>0</v>
      </c>
      <c r="E50">
        <f>IF(B50="",0,N('Khai báo'!D57))</f>
        <v>0</v>
      </c>
      <c r="F50" t="str">
        <f t="shared" si="4"/>
        <v/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8"/>
        <v>0</v>
      </c>
      <c r="K50">
        <f>IF(B50="",0,IFERROR(INDEX('Dán DT nhân viên'!$N$1:$N$1500,MATCH(B50,'Dán DT nhân viên'!$L$1:$L$1500,0)),0))</f>
        <v>0</v>
      </c>
      <c r="L50">
        <f>IF(B50="",0,IFERROR(INDEX('Dán DT NV realtime'!$N$1:$N$1500,MATCH(B50,'Dán DT NV realtime'!$L$1:$L$1500,0)),0))</f>
        <v>0</v>
      </c>
      <c r="M50">
        <f t="shared" si="9"/>
        <v>0</v>
      </c>
      <c r="N50">
        <f t="shared" si="10"/>
        <v>0</v>
      </c>
      <c r="O50" t="str">
        <f t="shared" si="11"/>
        <v/>
      </c>
      <c r="P50">
        <f>IF(B50="",0,COUNTIF($C$193:$V$193,"&gt;=0.995"))</f>
        <v>0</v>
      </c>
      <c r="Q50">
        <f>IF(B50="",0,COUNTIFS($C$180:$V$180,"Chính",$C$193:$V$193,"&gt;=0.995"))</f>
        <v>0</v>
      </c>
      <c r="R50">
        <f>IF(B50="",0,COUNTIFS($C$180:$V$180,"Vượt trội",$C$193:$V$193,"&gt;=0.995"))</f>
        <v>0</v>
      </c>
    </row>
    <row r="51" spans="1:18" x14ac:dyDescent="0.3">
      <c r="A51">
        <v>13</v>
      </c>
      <c r="B51" t="str">
        <f>IF('Khai báo'!A58="","",TRIM('Khai báo'!A58&amp;""))</f>
        <v/>
      </c>
      <c r="C51" t="str">
        <f>IF(B51="","",'Khai báo'!B58&amp;"")</f>
        <v/>
      </c>
      <c r="D51">
        <f>IF(B51="",0,IF(AND(N('Khai báo'!C58)&gt;=1,N('Khai báo'!C58)&lt;=4),N('Khai báo'!C58),IFERROR(--('Khai báo'!C58),1)))</f>
        <v>0</v>
      </c>
      <c r="E51">
        <f>IF(B51="",0,N('Khai báo'!D58))</f>
        <v>0</v>
      </c>
      <c r="F51" t="str">
        <f t="shared" si="4"/>
        <v/>
      </c>
      <c r="G51">
        <f t="shared" si="5"/>
        <v>0</v>
      </c>
      <c r="H51">
        <f t="shared" si="6"/>
        <v>0</v>
      </c>
      <c r="I51">
        <f t="shared" si="7"/>
        <v>0</v>
      </c>
      <c r="J51">
        <f t="shared" si="8"/>
        <v>0</v>
      </c>
      <c r="K51">
        <f>IF(B51="",0,IFERROR(INDEX('Dán DT nhân viên'!$N$1:$N$1500,MATCH(B51,'Dán DT nhân viên'!$L$1:$L$1500,0)),0))</f>
        <v>0</v>
      </c>
      <c r="L51">
        <f>IF(B51="",0,IFERROR(INDEX('Dán DT NV realtime'!$N$1:$N$1500,MATCH(B51,'Dán DT NV realtime'!$L$1:$L$1500,0)),0))</f>
        <v>0</v>
      </c>
      <c r="M51">
        <f t="shared" si="9"/>
        <v>0</v>
      </c>
      <c r="N51">
        <f t="shared" si="10"/>
        <v>0</v>
      </c>
      <c r="O51" t="str">
        <f t="shared" si="11"/>
        <v/>
      </c>
      <c r="P51">
        <f>IF(B51="",0,COUNTIF($C$194:$V$194,"&gt;=0.995"))</f>
        <v>0</v>
      </c>
      <c r="Q51">
        <f>IF(B51="",0,COUNTIFS($C$180:$V$180,"Chính",$C$194:$V$194,"&gt;=0.995"))</f>
        <v>0</v>
      </c>
      <c r="R51">
        <f>IF(B51="",0,COUNTIFS($C$180:$V$180,"Vượt trội",$C$194:$V$194,"&gt;=0.995"))</f>
        <v>0</v>
      </c>
    </row>
    <row r="52" spans="1:18" x14ac:dyDescent="0.3">
      <c r="A52">
        <v>14</v>
      </c>
      <c r="B52" t="str">
        <f>IF('Khai báo'!A59="","",TRIM('Khai báo'!A59&amp;""))</f>
        <v/>
      </c>
      <c r="C52" t="str">
        <f>IF(B52="","",'Khai báo'!B59&amp;"")</f>
        <v/>
      </c>
      <c r="D52">
        <f>IF(B52="",0,IF(AND(N('Khai báo'!C59)&gt;=1,N('Khai báo'!C59)&lt;=4),N('Khai báo'!C59),IFERROR(--('Khai báo'!C59),1)))</f>
        <v>0</v>
      </c>
      <c r="E52">
        <f>IF(B52="",0,N('Khai báo'!D59))</f>
        <v>0</v>
      </c>
      <c r="F52" t="str">
        <f t="shared" si="4"/>
        <v/>
      </c>
      <c r="G52">
        <f t="shared" si="5"/>
        <v>0</v>
      </c>
      <c r="H52">
        <f t="shared" si="6"/>
        <v>0</v>
      </c>
      <c r="I52">
        <f t="shared" si="7"/>
        <v>0</v>
      </c>
      <c r="J52">
        <f t="shared" si="8"/>
        <v>0</v>
      </c>
      <c r="K52">
        <f>IF(B52="",0,IFERROR(INDEX('Dán DT nhân viên'!$N$1:$N$1500,MATCH(B52,'Dán DT nhân viên'!$L$1:$L$1500,0)),0))</f>
        <v>0</v>
      </c>
      <c r="L52">
        <f>IF(B52="",0,IFERROR(INDEX('Dán DT NV realtime'!$N$1:$N$1500,MATCH(B52,'Dán DT NV realtime'!$L$1:$L$1500,0)),0))</f>
        <v>0</v>
      </c>
      <c r="M52">
        <f t="shared" si="9"/>
        <v>0</v>
      </c>
      <c r="N52">
        <f t="shared" si="10"/>
        <v>0</v>
      </c>
      <c r="O52" t="str">
        <f t="shared" si="11"/>
        <v/>
      </c>
      <c r="P52">
        <f>IF(B52="",0,COUNTIF($C$195:$V$195,"&gt;=0.995"))</f>
        <v>0</v>
      </c>
      <c r="Q52">
        <f>IF(B52="",0,COUNTIFS($C$180:$V$180,"Chính",$C$195:$V$195,"&gt;=0.995"))</f>
        <v>0</v>
      </c>
      <c r="R52">
        <f>IF(B52="",0,COUNTIFS($C$180:$V$180,"Vượt trội",$C$195:$V$195,"&gt;=0.995"))</f>
        <v>0</v>
      </c>
    </row>
    <row r="53" spans="1:18" x14ac:dyDescent="0.3">
      <c r="A53">
        <v>15</v>
      </c>
      <c r="B53" t="str">
        <f>IF('Khai báo'!A60="","",TRIM('Khai báo'!A60&amp;""))</f>
        <v/>
      </c>
      <c r="C53" t="str">
        <f>IF(B53="","",'Khai báo'!B60&amp;"")</f>
        <v/>
      </c>
      <c r="D53">
        <f>IF(B53="",0,IF(AND(N('Khai báo'!C60)&gt;=1,N('Khai báo'!C60)&lt;=4),N('Khai báo'!C60),IFERROR(--('Khai báo'!C60),1)))</f>
        <v>0</v>
      </c>
      <c r="E53">
        <f>IF(B53="",0,N('Khai báo'!D60))</f>
        <v>0</v>
      </c>
      <c r="F53" t="str">
        <f t="shared" si="4"/>
        <v/>
      </c>
      <c r="G53">
        <f t="shared" si="5"/>
        <v>0</v>
      </c>
      <c r="H53">
        <f t="shared" si="6"/>
        <v>0</v>
      </c>
      <c r="I53">
        <f t="shared" si="7"/>
        <v>0</v>
      </c>
      <c r="J53">
        <f t="shared" si="8"/>
        <v>0</v>
      </c>
      <c r="K53">
        <f>IF(B53="",0,IFERROR(INDEX('Dán DT nhân viên'!$N$1:$N$1500,MATCH(B53,'Dán DT nhân viên'!$L$1:$L$1500,0)),0))</f>
        <v>0</v>
      </c>
      <c r="L53">
        <f>IF(B53="",0,IFERROR(INDEX('Dán DT NV realtime'!$N$1:$N$1500,MATCH(B53,'Dán DT NV realtime'!$L$1:$L$1500,0)),0))</f>
        <v>0</v>
      </c>
      <c r="M53">
        <f t="shared" si="9"/>
        <v>0</v>
      </c>
      <c r="N53">
        <f t="shared" si="10"/>
        <v>0</v>
      </c>
      <c r="O53" t="str">
        <f t="shared" si="11"/>
        <v/>
      </c>
      <c r="P53">
        <f>IF(B53="",0,COUNTIF($C$196:$V$196,"&gt;=0.995"))</f>
        <v>0</v>
      </c>
      <c r="Q53">
        <f>IF(B53="",0,COUNTIFS($C$180:$V$180,"Chính",$C$196:$V$196,"&gt;=0.995"))</f>
        <v>0</v>
      </c>
      <c r="R53">
        <f>IF(B53="",0,COUNTIFS($C$180:$V$180,"Vượt trội",$C$196:$V$196,"&gt;=0.995"))</f>
        <v>0</v>
      </c>
    </row>
    <row r="54" spans="1:18" x14ac:dyDescent="0.3">
      <c r="A54">
        <v>16</v>
      </c>
      <c r="B54" t="str">
        <f>IF('Khai báo'!A61="","",TRIM('Khai báo'!A61&amp;""))</f>
        <v/>
      </c>
      <c r="C54" t="str">
        <f>IF(B54="","",'Khai báo'!B61&amp;"")</f>
        <v/>
      </c>
      <c r="D54">
        <f>IF(B54="",0,IF(AND(N('Khai báo'!C61)&gt;=1,N('Khai báo'!C61)&lt;=4),N('Khai báo'!C61),IFERROR(--('Khai báo'!C61),1)))</f>
        <v>0</v>
      </c>
      <c r="E54">
        <f>IF(B54="",0,N('Khai báo'!D61))</f>
        <v>0</v>
      </c>
      <c r="F54" t="str">
        <f t="shared" si="4"/>
        <v/>
      </c>
      <c r="G54">
        <f t="shared" si="5"/>
        <v>0</v>
      </c>
      <c r="H54">
        <f t="shared" si="6"/>
        <v>0</v>
      </c>
      <c r="I54">
        <f t="shared" si="7"/>
        <v>0</v>
      </c>
      <c r="J54">
        <f t="shared" si="8"/>
        <v>0</v>
      </c>
      <c r="K54">
        <f>IF(B54="",0,IFERROR(INDEX('Dán DT nhân viên'!$N$1:$N$1500,MATCH(B54,'Dán DT nhân viên'!$L$1:$L$1500,0)),0))</f>
        <v>0</v>
      </c>
      <c r="L54">
        <f>IF(B54="",0,IFERROR(INDEX('Dán DT NV realtime'!$N$1:$N$1500,MATCH(B54,'Dán DT NV realtime'!$L$1:$L$1500,0)),0))</f>
        <v>0</v>
      </c>
      <c r="M54">
        <f t="shared" si="9"/>
        <v>0</v>
      </c>
      <c r="N54">
        <f t="shared" si="10"/>
        <v>0</v>
      </c>
      <c r="O54" t="str">
        <f t="shared" si="11"/>
        <v/>
      </c>
      <c r="P54">
        <f>IF(B54="",0,COUNTIF($C$197:$V$197,"&gt;=0.995"))</f>
        <v>0</v>
      </c>
      <c r="Q54">
        <f>IF(B54="",0,COUNTIFS($C$180:$V$180,"Chính",$C$197:$V$197,"&gt;=0.995"))</f>
        <v>0</v>
      </c>
      <c r="R54">
        <f>IF(B54="",0,COUNTIFS($C$180:$V$180,"Vượt trội",$C$197:$V$197,"&gt;=0.995"))</f>
        <v>0</v>
      </c>
    </row>
    <row r="55" spans="1:18" x14ac:dyDescent="0.3">
      <c r="A55">
        <v>17</v>
      </c>
      <c r="B55" t="str">
        <f>IF('Khai báo'!A62="","",TRIM('Khai báo'!A62&amp;""))</f>
        <v/>
      </c>
      <c r="C55" t="str">
        <f>IF(B55="","",'Khai báo'!B62&amp;"")</f>
        <v/>
      </c>
      <c r="D55">
        <f>IF(B55="",0,IF(AND(N('Khai báo'!C62)&gt;=1,N('Khai báo'!C62)&lt;=4),N('Khai báo'!C62),IFERROR(--('Khai báo'!C62),1)))</f>
        <v>0</v>
      </c>
      <c r="E55">
        <f>IF(B55="",0,N('Khai báo'!D62))</f>
        <v>0</v>
      </c>
      <c r="F55" t="str">
        <f t="shared" si="4"/>
        <v/>
      </c>
      <c r="G55">
        <f t="shared" si="5"/>
        <v>0</v>
      </c>
      <c r="H55">
        <f t="shared" si="6"/>
        <v>0</v>
      </c>
      <c r="I55">
        <f t="shared" si="7"/>
        <v>0</v>
      </c>
      <c r="J55">
        <f t="shared" si="8"/>
        <v>0</v>
      </c>
      <c r="K55">
        <f>IF(B55="",0,IFERROR(INDEX('Dán DT nhân viên'!$N$1:$N$1500,MATCH(B55,'Dán DT nhân viên'!$L$1:$L$1500,0)),0))</f>
        <v>0</v>
      </c>
      <c r="L55">
        <f>IF(B55="",0,IFERROR(INDEX('Dán DT NV realtime'!$N$1:$N$1500,MATCH(B55,'Dán DT NV realtime'!$L$1:$L$1500,0)),0))</f>
        <v>0</v>
      </c>
      <c r="M55">
        <f t="shared" si="9"/>
        <v>0</v>
      </c>
      <c r="N55">
        <f t="shared" si="10"/>
        <v>0</v>
      </c>
      <c r="O55" t="str">
        <f t="shared" si="11"/>
        <v/>
      </c>
      <c r="P55">
        <f>IF(B55="",0,COUNTIF($C$198:$V$198,"&gt;=0.995"))</f>
        <v>0</v>
      </c>
      <c r="Q55">
        <f>IF(B55="",0,COUNTIFS($C$180:$V$180,"Chính",$C$198:$V$198,"&gt;=0.995"))</f>
        <v>0</v>
      </c>
      <c r="R55">
        <f>IF(B55="",0,COUNTIFS($C$180:$V$180,"Vượt trội",$C$198:$V$198,"&gt;=0.995"))</f>
        <v>0</v>
      </c>
    </row>
    <row r="56" spans="1:18" x14ac:dyDescent="0.3">
      <c r="A56">
        <v>18</v>
      </c>
      <c r="B56" t="str">
        <f>IF('Khai báo'!A63="","",TRIM('Khai báo'!A63&amp;""))</f>
        <v/>
      </c>
      <c r="C56" t="str">
        <f>IF(B56="","",'Khai báo'!B63&amp;"")</f>
        <v/>
      </c>
      <c r="D56">
        <f>IF(B56="",0,IF(AND(N('Khai báo'!C63)&gt;=1,N('Khai báo'!C63)&lt;=4),N('Khai báo'!C63),IFERROR(--('Khai báo'!C63),1)))</f>
        <v>0</v>
      </c>
      <c r="E56">
        <f>IF(B56="",0,N('Khai báo'!D63))</f>
        <v>0</v>
      </c>
      <c r="F56" t="str">
        <f t="shared" si="4"/>
        <v/>
      </c>
      <c r="G56">
        <f t="shared" si="5"/>
        <v>0</v>
      </c>
      <c r="H56">
        <f t="shared" si="6"/>
        <v>0</v>
      </c>
      <c r="I56">
        <f t="shared" si="7"/>
        <v>0</v>
      </c>
      <c r="J56">
        <f t="shared" si="8"/>
        <v>0</v>
      </c>
      <c r="K56">
        <f>IF(B56="",0,IFERROR(INDEX('Dán DT nhân viên'!$N$1:$N$1500,MATCH(B56,'Dán DT nhân viên'!$L$1:$L$1500,0)),0))</f>
        <v>0</v>
      </c>
      <c r="L56">
        <f>IF(B56="",0,IFERROR(INDEX('Dán DT NV realtime'!$N$1:$N$1500,MATCH(B56,'Dán DT NV realtime'!$L$1:$L$1500,0)),0))</f>
        <v>0</v>
      </c>
      <c r="M56">
        <f t="shared" si="9"/>
        <v>0</v>
      </c>
      <c r="N56">
        <f t="shared" si="10"/>
        <v>0</v>
      </c>
      <c r="O56" t="str">
        <f t="shared" si="11"/>
        <v/>
      </c>
      <c r="P56">
        <f>IF(B56="",0,COUNTIF($C$199:$V$199,"&gt;=0.995"))</f>
        <v>0</v>
      </c>
      <c r="Q56">
        <f>IF(B56="",0,COUNTIFS($C$180:$V$180,"Chính",$C$199:$V$199,"&gt;=0.995"))</f>
        <v>0</v>
      </c>
      <c r="R56">
        <f>IF(B56="",0,COUNTIFS($C$180:$V$180,"Vượt trội",$C$199:$V$199,"&gt;=0.995"))</f>
        <v>0</v>
      </c>
    </row>
    <row r="57" spans="1:18" x14ac:dyDescent="0.3">
      <c r="A57">
        <v>19</v>
      </c>
      <c r="B57" t="str">
        <f>IF('Khai báo'!A64="","",TRIM('Khai báo'!A64&amp;""))</f>
        <v/>
      </c>
      <c r="C57" t="str">
        <f>IF(B57="","",'Khai báo'!B64&amp;"")</f>
        <v/>
      </c>
      <c r="D57">
        <f>IF(B57="",0,IF(AND(N('Khai báo'!C64)&gt;=1,N('Khai báo'!C64)&lt;=4),N('Khai báo'!C64),IFERROR(--('Khai báo'!C64),1)))</f>
        <v>0</v>
      </c>
      <c r="E57">
        <f>IF(B57="",0,N('Khai báo'!D64))</f>
        <v>0</v>
      </c>
      <c r="F57" t="str">
        <f t="shared" si="4"/>
        <v/>
      </c>
      <c r="G57">
        <f t="shared" si="5"/>
        <v>0</v>
      </c>
      <c r="H57">
        <f t="shared" si="6"/>
        <v>0</v>
      </c>
      <c r="I57">
        <f t="shared" si="7"/>
        <v>0</v>
      </c>
      <c r="J57">
        <f t="shared" si="8"/>
        <v>0</v>
      </c>
      <c r="K57">
        <f>IF(B57="",0,IFERROR(INDEX('Dán DT nhân viên'!$N$1:$N$1500,MATCH(B57,'Dán DT nhân viên'!$L$1:$L$1500,0)),0))</f>
        <v>0</v>
      </c>
      <c r="L57">
        <f>IF(B57="",0,IFERROR(INDEX('Dán DT NV realtime'!$N$1:$N$1500,MATCH(B57,'Dán DT NV realtime'!$L$1:$L$1500,0)),0))</f>
        <v>0</v>
      </c>
      <c r="M57">
        <f t="shared" si="9"/>
        <v>0</v>
      </c>
      <c r="N57">
        <f t="shared" si="10"/>
        <v>0</v>
      </c>
      <c r="O57" t="str">
        <f t="shared" si="11"/>
        <v/>
      </c>
      <c r="P57">
        <f>IF(B57="",0,COUNTIF($C$200:$V$200,"&gt;=0.995"))</f>
        <v>0</v>
      </c>
      <c r="Q57">
        <f>IF(B57="",0,COUNTIFS($C$180:$V$180,"Chính",$C$200:$V$200,"&gt;=0.995"))</f>
        <v>0</v>
      </c>
      <c r="R57">
        <f>IF(B57="",0,COUNTIFS($C$180:$V$180,"Vượt trội",$C$200:$V$200,"&gt;=0.995"))</f>
        <v>0</v>
      </c>
    </row>
    <row r="58" spans="1:18" x14ac:dyDescent="0.3">
      <c r="A58">
        <v>20</v>
      </c>
      <c r="B58" t="str">
        <f>IF('Khai báo'!A65="","",TRIM('Khai báo'!A65&amp;""))</f>
        <v/>
      </c>
      <c r="C58" t="str">
        <f>IF(B58="","",'Khai báo'!B65&amp;"")</f>
        <v/>
      </c>
      <c r="D58">
        <f>IF(B58="",0,IF(AND(N('Khai báo'!C65)&gt;=1,N('Khai báo'!C65)&lt;=4),N('Khai báo'!C65),IFERROR(--('Khai báo'!C65),1)))</f>
        <v>0</v>
      </c>
      <c r="E58">
        <f>IF(B58="",0,N('Khai báo'!D65))</f>
        <v>0</v>
      </c>
      <c r="F58" t="str">
        <f t="shared" si="4"/>
        <v/>
      </c>
      <c r="G58">
        <f t="shared" si="5"/>
        <v>0</v>
      </c>
      <c r="H58">
        <f t="shared" si="6"/>
        <v>0</v>
      </c>
      <c r="I58">
        <f t="shared" si="7"/>
        <v>0</v>
      </c>
      <c r="J58">
        <f t="shared" si="8"/>
        <v>0</v>
      </c>
      <c r="K58">
        <f>IF(B58="",0,IFERROR(INDEX('Dán DT nhân viên'!$N$1:$N$1500,MATCH(B58,'Dán DT nhân viên'!$L$1:$L$1500,0)),0))</f>
        <v>0</v>
      </c>
      <c r="L58">
        <f>IF(B58="",0,IFERROR(INDEX('Dán DT NV realtime'!$N$1:$N$1500,MATCH(B58,'Dán DT NV realtime'!$L$1:$L$1500,0)),0))</f>
        <v>0</v>
      </c>
      <c r="M58">
        <f t="shared" si="9"/>
        <v>0</v>
      </c>
      <c r="N58">
        <f t="shared" si="10"/>
        <v>0</v>
      </c>
      <c r="O58" t="str">
        <f t="shared" si="11"/>
        <v/>
      </c>
      <c r="P58">
        <f>IF(B58="",0,COUNTIF($C$201:$V$201,"&gt;=0.995"))</f>
        <v>0</v>
      </c>
      <c r="Q58">
        <f>IF(B58="",0,COUNTIFS($C$180:$V$180,"Chính",$C$201:$V$201,"&gt;=0.995"))</f>
        <v>0</v>
      </c>
      <c r="R58">
        <f>IF(B58="",0,COUNTIFS($C$180:$V$180,"Vượt trội",$C$201:$V$201,"&gt;=0.995"))</f>
        <v>0</v>
      </c>
    </row>
    <row r="59" spans="1:18" x14ac:dyDescent="0.3">
      <c r="A59">
        <v>21</v>
      </c>
      <c r="B59" t="str">
        <f>IF('Khai báo'!A66="","",TRIM('Khai báo'!A66&amp;""))</f>
        <v/>
      </c>
      <c r="C59" t="str">
        <f>IF(B59="","",'Khai báo'!B66&amp;"")</f>
        <v/>
      </c>
      <c r="D59">
        <f>IF(B59="",0,IF(AND(N('Khai báo'!C66)&gt;=1,N('Khai báo'!C66)&lt;=4),N('Khai báo'!C66),IFERROR(--('Khai báo'!C66),1)))</f>
        <v>0</v>
      </c>
      <c r="E59">
        <f>IF(B59="",0,N('Khai báo'!D66))</f>
        <v>0</v>
      </c>
      <c r="F59" t="str">
        <f t="shared" si="4"/>
        <v/>
      </c>
      <c r="G59">
        <f t="shared" si="5"/>
        <v>0</v>
      </c>
      <c r="H59">
        <f t="shared" si="6"/>
        <v>0</v>
      </c>
      <c r="I59">
        <f t="shared" si="7"/>
        <v>0</v>
      </c>
      <c r="J59">
        <f t="shared" si="8"/>
        <v>0</v>
      </c>
      <c r="K59">
        <f>IF(B59="",0,IFERROR(INDEX('Dán DT nhân viên'!$N$1:$N$1500,MATCH(B59,'Dán DT nhân viên'!$L$1:$L$1500,0)),0))</f>
        <v>0</v>
      </c>
      <c r="L59">
        <f>IF(B59="",0,IFERROR(INDEX('Dán DT NV realtime'!$N$1:$N$1500,MATCH(B59,'Dán DT NV realtime'!$L$1:$L$1500,0)),0))</f>
        <v>0</v>
      </c>
      <c r="M59">
        <f t="shared" si="9"/>
        <v>0</v>
      </c>
      <c r="N59">
        <f t="shared" si="10"/>
        <v>0</v>
      </c>
      <c r="O59" t="str">
        <f t="shared" si="11"/>
        <v/>
      </c>
      <c r="P59">
        <f>IF(B59="",0,COUNTIF($C$202:$V$202,"&gt;=0.995"))</f>
        <v>0</v>
      </c>
      <c r="Q59">
        <f>IF(B59="",0,COUNTIFS($C$180:$V$180,"Chính",$C$202:$V$202,"&gt;=0.995"))</f>
        <v>0</v>
      </c>
      <c r="R59">
        <f>IF(B59="",0,COUNTIFS($C$180:$V$180,"Vượt trội",$C$202:$V$202,"&gt;=0.995"))</f>
        <v>0</v>
      </c>
    </row>
    <row r="60" spans="1:18" x14ac:dyDescent="0.3">
      <c r="A60">
        <v>22</v>
      </c>
      <c r="B60" t="str">
        <f>IF('Khai báo'!A67="","",TRIM('Khai báo'!A67&amp;""))</f>
        <v/>
      </c>
      <c r="C60" t="str">
        <f>IF(B60="","",'Khai báo'!B67&amp;"")</f>
        <v/>
      </c>
      <c r="D60">
        <f>IF(B60="",0,IF(AND(N('Khai báo'!C67)&gt;=1,N('Khai báo'!C67)&lt;=4),N('Khai báo'!C67),IFERROR(--('Khai báo'!C67),1)))</f>
        <v>0</v>
      </c>
      <c r="E60">
        <f>IF(B60="",0,N('Khai báo'!D67))</f>
        <v>0</v>
      </c>
      <c r="F60" t="str">
        <f t="shared" si="4"/>
        <v/>
      </c>
      <c r="G60">
        <f t="shared" si="5"/>
        <v>0</v>
      </c>
      <c r="H60">
        <f t="shared" si="6"/>
        <v>0</v>
      </c>
      <c r="I60">
        <f t="shared" si="7"/>
        <v>0</v>
      </c>
      <c r="J60">
        <f t="shared" si="8"/>
        <v>0</v>
      </c>
      <c r="K60">
        <f>IF(B60="",0,IFERROR(INDEX('Dán DT nhân viên'!$N$1:$N$1500,MATCH(B60,'Dán DT nhân viên'!$L$1:$L$1500,0)),0))</f>
        <v>0</v>
      </c>
      <c r="L60">
        <f>IF(B60="",0,IFERROR(INDEX('Dán DT NV realtime'!$N$1:$N$1500,MATCH(B60,'Dán DT NV realtime'!$L$1:$L$1500,0)),0))</f>
        <v>0</v>
      </c>
      <c r="M60">
        <f t="shared" si="9"/>
        <v>0</v>
      </c>
      <c r="N60">
        <f t="shared" si="10"/>
        <v>0</v>
      </c>
      <c r="O60" t="str">
        <f t="shared" si="11"/>
        <v/>
      </c>
      <c r="P60">
        <f>IF(B60="",0,COUNTIF($C$203:$V$203,"&gt;=0.995"))</f>
        <v>0</v>
      </c>
      <c r="Q60">
        <f>IF(B60="",0,COUNTIFS($C$180:$V$180,"Chính",$C$203:$V$203,"&gt;=0.995"))</f>
        <v>0</v>
      </c>
      <c r="R60">
        <f>IF(B60="",0,COUNTIFS($C$180:$V$180,"Vượt trội",$C$203:$V$203,"&gt;=0.995"))</f>
        <v>0</v>
      </c>
    </row>
    <row r="61" spans="1:18" x14ac:dyDescent="0.3">
      <c r="A61">
        <v>23</v>
      </c>
      <c r="B61" t="str">
        <f>IF('Khai báo'!A68="","",TRIM('Khai báo'!A68&amp;""))</f>
        <v/>
      </c>
      <c r="C61" t="str">
        <f>IF(B61="","",'Khai báo'!B68&amp;"")</f>
        <v/>
      </c>
      <c r="D61">
        <f>IF(B61="",0,IF(AND(N('Khai báo'!C68)&gt;=1,N('Khai báo'!C68)&lt;=4),N('Khai báo'!C68),IFERROR(--('Khai báo'!C68),1)))</f>
        <v>0</v>
      </c>
      <c r="E61">
        <f>IF(B61="",0,N('Khai báo'!D68))</f>
        <v>0</v>
      </c>
      <c r="F61" t="str">
        <f t="shared" si="4"/>
        <v/>
      </c>
      <c r="G61">
        <f t="shared" si="5"/>
        <v>0</v>
      </c>
      <c r="H61">
        <f t="shared" si="6"/>
        <v>0</v>
      </c>
      <c r="I61">
        <f t="shared" si="7"/>
        <v>0</v>
      </c>
      <c r="J61">
        <f t="shared" si="8"/>
        <v>0</v>
      </c>
      <c r="K61">
        <f>IF(B61="",0,IFERROR(INDEX('Dán DT nhân viên'!$N$1:$N$1500,MATCH(B61,'Dán DT nhân viên'!$L$1:$L$1500,0)),0))</f>
        <v>0</v>
      </c>
      <c r="L61">
        <f>IF(B61="",0,IFERROR(INDEX('Dán DT NV realtime'!$N$1:$N$1500,MATCH(B61,'Dán DT NV realtime'!$L$1:$L$1500,0)),0))</f>
        <v>0</v>
      </c>
      <c r="M61">
        <f t="shared" si="9"/>
        <v>0</v>
      </c>
      <c r="N61">
        <f t="shared" si="10"/>
        <v>0</v>
      </c>
      <c r="O61" t="str">
        <f t="shared" si="11"/>
        <v/>
      </c>
      <c r="P61">
        <f>IF(B61="",0,COUNTIF($C$204:$V$204,"&gt;=0.995"))</f>
        <v>0</v>
      </c>
      <c r="Q61">
        <f>IF(B61="",0,COUNTIFS($C$180:$V$180,"Chính",$C$204:$V$204,"&gt;=0.995"))</f>
        <v>0</v>
      </c>
      <c r="R61">
        <f>IF(B61="",0,COUNTIFS($C$180:$V$180,"Vượt trội",$C$204:$V$204,"&gt;=0.995"))</f>
        <v>0</v>
      </c>
    </row>
    <row r="62" spans="1:18" x14ac:dyDescent="0.3">
      <c r="A62">
        <v>24</v>
      </c>
      <c r="B62" t="str">
        <f>IF('Khai báo'!A69="","",TRIM('Khai báo'!A69&amp;""))</f>
        <v/>
      </c>
      <c r="C62" t="str">
        <f>IF(B62="","",'Khai báo'!B69&amp;"")</f>
        <v/>
      </c>
      <c r="D62">
        <f>IF(B62="",0,IF(AND(N('Khai báo'!C69)&gt;=1,N('Khai báo'!C69)&lt;=4),N('Khai báo'!C69),IFERROR(--('Khai báo'!C69),1)))</f>
        <v>0</v>
      </c>
      <c r="E62">
        <f>IF(B62="",0,N('Khai báo'!D69))</f>
        <v>0</v>
      </c>
      <c r="F62" t="str">
        <f t="shared" si="4"/>
        <v/>
      </c>
      <c r="G62">
        <f t="shared" si="5"/>
        <v>0</v>
      </c>
      <c r="H62">
        <f t="shared" si="6"/>
        <v>0</v>
      </c>
      <c r="I62">
        <f t="shared" si="7"/>
        <v>0</v>
      </c>
      <c r="J62">
        <f t="shared" si="8"/>
        <v>0</v>
      </c>
      <c r="K62">
        <f>IF(B62="",0,IFERROR(INDEX('Dán DT nhân viên'!$N$1:$N$1500,MATCH(B62,'Dán DT nhân viên'!$L$1:$L$1500,0)),0))</f>
        <v>0</v>
      </c>
      <c r="L62">
        <f>IF(B62="",0,IFERROR(INDEX('Dán DT NV realtime'!$N$1:$N$1500,MATCH(B62,'Dán DT NV realtime'!$L$1:$L$1500,0)),0))</f>
        <v>0</v>
      </c>
      <c r="M62">
        <f t="shared" si="9"/>
        <v>0</v>
      </c>
      <c r="N62">
        <f t="shared" si="10"/>
        <v>0</v>
      </c>
      <c r="O62" t="str">
        <f t="shared" si="11"/>
        <v/>
      </c>
      <c r="P62">
        <f>IF(B62="",0,COUNTIF($C$205:$V$205,"&gt;=0.995"))</f>
        <v>0</v>
      </c>
      <c r="Q62">
        <f>IF(B62="",0,COUNTIFS($C$180:$V$180,"Chính",$C$205:$V$205,"&gt;=0.995"))</f>
        <v>0</v>
      </c>
      <c r="R62">
        <f>IF(B62="",0,COUNTIFS($C$180:$V$180,"Vượt trội",$C$205:$V$205,"&gt;=0.995"))</f>
        <v>0</v>
      </c>
    </row>
    <row r="63" spans="1:18" x14ac:dyDescent="0.3">
      <c r="A63">
        <v>25</v>
      </c>
      <c r="B63" t="str">
        <f>IF('Khai báo'!A70="","",TRIM('Khai báo'!A70&amp;""))</f>
        <v/>
      </c>
      <c r="C63" t="str">
        <f>IF(B63="","",'Khai báo'!B70&amp;"")</f>
        <v/>
      </c>
      <c r="D63">
        <f>IF(B63="",0,IF(AND(N('Khai báo'!C70)&gt;=1,N('Khai báo'!C70)&lt;=4),N('Khai báo'!C70),IFERROR(--('Khai báo'!C70),1)))</f>
        <v>0</v>
      </c>
      <c r="E63">
        <f>IF(B63="",0,N('Khai báo'!D70))</f>
        <v>0</v>
      </c>
      <c r="F63" t="str">
        <f t="shared" si="4"/>
        <v/>
      </c>
      <c r="G63">
        <f t="shared" si="5"/>
        <v>0</v>
      </c>
      <c r="H63">
        <f t="shared" si="6"/>
        <v>0</v>
      </c>
      <c r="I63">
        <f t="shared" si="7"/>
        <v>0</v>
      </c>
      <c r="J63">
        <f t="shared" si="8"/>
        <v>0</v>
      </c>
      <c r="K63">
        <f>IF(B63="",0,IFERROR(INDEX('Dán DT nhân viên'!$N$1:$N$1500,MATCH(B63,'Dán DT nhân viên'!$L$1:$L$1500,0)),0))</f>
        <v>0</v>
      </c>
      <c r="L63">
        <f>IF(B63="",0,IFERROR(INDEX('Dán DT NV realtime'!$N$1:$N$1500,MATCH(B63,'Dán DT NV realtime'!$L$1:$L$1500,0)),0))</f>
        <v>0</v>
      </c>
      <c r="M63">
        <f t="shared" si="9"/>
        <v>0</v>
      </c>
      <c r="N63">
        <f t="shared" si="10"/>
        <v>0</v>
      </c>
      <c r="O63" t="str">
        <f t="shared" si="11"/>
        <v/>
      </c>
      <c r="P63">
        <f>IF(B63="",0,COUNTIF($C$206:$V$206,"&gt;=0.995"))</f>
        <v>0</v>
      </c>
      <c r="Q63">
        <f>IF(B63="",0,COUNTIFS($C$180:$V$180,"Chính",$C$206:$V$206,"&gt;=0.995"))</f>
        <v>0</v>
      </c>
      <c r="R63">
        <f>IF(B63="",0,COUNTIFS($C$180:$V$180,"Vượt trội",$C$206:$V$206,"&gt;=0.995"))</f>
        <v>0</v>
      </c>
    </row>
    <row r="64" spans="1:18" x14ac:dyDescent="0.3">
      <c r="A64">
        <v>26</v>
      </c>
      <c r="B64" t="str">
        <f>IF('Khai báo'!A71="","",TRIM('Khai báo'!A71&amp;""))</f>
        <v/>
      </c>
      <c r="C64" t="str">
        <f>IF(B64="","",'Khai báo'!B71&amp;"")</f>
        <v/>
      </c>
      <c r="D64">
        <f>IF(B64="",0,IF(AND(N('Khai báo'!C71)&gt;=1,N('Khai báo'!C71)&lt;=4),N('Khai báo'!C71),IFERROR(--('Khai báo'!C71),1)))</f>
        <v>0</v>
      </c>
      <c r="E64">
        <f>IF(B64="",0,N('Khai báo'!D71))</f>
        <v>0</v>
      </c>
      <c r="F64" t="str">
        <f t="shared" si="4"/>
        <v/>
      </c>
      <c r="G64">
        <f t="shared" si="5"/>
        <v>0</v>
      </c>
      <c r="H64">
        <f t="shared" si="6"/>
        <v>0</v>
      </c>
      <c r="I64">
        <f t="shared" si="7"/>
        <v>0</v>
      </c>
      <c r="J64">
        <f t="shared" si="8"/>
        <v>0</v>
      </c>
      <c r="K64">
        <f>IF(B64="",0,IFERROR(INDEX('Dán DT nhân viên'!$N$1:$N$1500,MATCH(B64,'Dán DT nhân viên'!$L$1:$L$1500,0)),0))</f>
        <v>0</v>
      </c>
      <c r="L64">
        <f>IF(B64="",0,IFERROR(INDEX('Dán DT NV realtime'!$N$1:$N$1500,MATCH(B64,'Dán DT NV realtime'!$L$1:$L$1500,0)),0))</f>
        <v>0</v>
      </c>
      <c r="M64">
        <f t="shared" si="9"/>
        <v>0</v>
      </c>
      <c r="N64">
        <f t="shared" si="10"/>
        <v>0</v>
      </c>
      <c r="O64" t="str">
        <f t="shared" si="11"/>
        <v/>
      </c>
      <c r="P64">
        <f>IF(B64="",0,COUNTIF($C$207:$V$207,"&gt;=0.995"))</f>
        <v>0</v>
      </c>
      <c r="Q64">
        <f>IF(B64="",0,COUNTIFS($C$180:$V$180,"Chính",$C$207:$V$207,"&gt;=0.995"))</f>
        <v>0</v>
      </c>
      <c r="R64">
        <f>IF(B64="",0,COUNTIFS($C$180:$V$180,"Vượt trội",$C$207:$V$207,"&gt;=0.995"))</f>
        <v>0</v>
      </c>
    </row>
    <row r="65" spans="1:18" x14ac:dyDescent="0.3">
      <c r="A65">
        <v>27</v>
      </c>
      <c r="B65" t="str">
        <f>IF('Khai báo'!A72="","",TRIM('Khai báo'!A72&amp;""))</f>
        <v/>
      </c>
      <c r="C65" t="str">
        <f>IF(B65="","",'Khai báo'!B72&amp;"")</f>
        <v/>
      </c>
      <c r="D65">
        <f>IF(B65="",0,IF(AND(N('Khai báo'!C72)&gt;=1,N('Khai báo'!C72)&lt;=4),N('Khai báo'!C72),IFERROR(--('Khai báo'!C72),1)))</f>
        <v>0</v>
      </c>
      <c r="E65">
        <f>IF(B65="",0,N('Khai báo'!D72))</f>
        <v>0</v>
      </c>
      <c r="F65" t="str">
        <f t="shared" si="4"/>
        <v/>
      </c>
      <c r="G65">
        <f t="shared" si="5"/>
        <v>0</v>
      </c>
      <c r="H65">
        <f t="shared" si="6"/>
        <v>0</v>
      </c>
      <c r="I65">
        <f t="shared" si="7"/>
        <v>0</v>
      </c>
      <c r="J65">
        <f t="shared" si="8"/>
        <v>0</v>
      </c>
      <c r="K65">
        <f>IF(B65="",0,IFERROR(INDEX('Dán DT nhân viên'!$N$1:$N$1500,MATCH(B65,'Dán DT nhân viên'!$L$1:$L$1500,0)),0))</f>
        <v>0</v>
      </c>
      <c r="L65">
        <f>IF(B65="",0,IFERROR(INDEX('Dán DT NV realtime'!$N$1:$N$1500,MATCH(B65,'Dán DT NV realtime'!$L$1:$L$1500,0)),0))</f>
        <v>0</v>
      </c>
      <c r="M65">
        <f t="shared" si="9"/>
        <v>0</v>
      </c>
      <c r="N65">
        <f t="shared" si="10"/>
        <v>0</v>
      </c>
      <c r="O65" t="str">
        <f t="shared" si="11"/>
        <v/>
      </c>
      <c r="P65">
        <f>IF(B65="",0,COUNTIF($C$208:$V$208,"&gt;=0.995"))</f>
        <v>0</v>
      </c>
      <c r="Q65">
        <f>IF(B65="",0,COUNTIFS($C$180:$V$180,"Chính",$C$208:$V$208,"&gt;=0.995"))</f>
        <v>0</v>
      </c>
      <c r="R65">
        <f>IF(B65="",0,COUNTIFS($C$180:$V$180,"Vượt trội",$C$208:$V$208,"&gt;=0.995"))</f>
        <v>0</v>
      </c>
    </row>
    <row r="66" spans="1:18" x14ac:dyDescent="0.3">
      <c r="A66">
        <v>28</v>
      </c>
      <c r="B66" t="str">
        <f>IF('Khai báo'!A73="","",TRIM('Khai báo'!A73&amp;""))</f>
        <v/>
      </c>
      <c r="C66" t="str">
        <f>IF(B66="","",'Khai báo'!B73&amp;"")</f>
        <v/>
      </c>
      <c r="D66">
        <f>IF(B66="",0,IF(AND(N('Khai báo'!C73)&gt;=1,N('Khai báo'!C73)&lt;=4),N('Khai báo'!C73),IFERROR(--('Khai báo'!C73),1)))</f>
        <v>0</v>
      </c>
      <c r="E66">
        <f>IF(B66="",0,N('Khai báo'!D73))</f>
        <v>0</v>
      </c>
      <c r="F66" t="str">
        <f t="shared" si="4"/>
        <v/>
      </c>
      <c r="G66">
        <f t="shared" si="5"/>
        <v>0</v>
      </c>
      <c r="H66">
        <f t="shared" si="6"/>
        <v>0</v>
      </c>
      <c r="I66">
        <f t="shared" si="7"/>
        <v>0</v>
      </c>
      <c r="J66">
        <f t="shared" si="8"/>
        <v>0</v>
      </c>
      <c r="K66">
        <f>IF(B66="",0,IFERROR(INDEX('Dán DT nhân viên'!$N$1:$N$1500,MATCH(B66,'Dán DT nhân viên'!$L$1:$L$1500,0)),0))</f>
        <v>0</v>
      </c>
      <c r="L66">
        <f>IF(B66="",0,IFERROR(INDEX('Dán DT NV realtime'!$N$1:$N$1500,MATCH(B66,'Dán DT NV realtime'!$L$1:$L$1500,0)),0))</f>
        <v>0</v>
      </c>
      <c r="M66">
        <f t="shared" si="9"/>
        <v>0</v>
      </c>
      <c r="N66">
        <f t="shared" si="10"/>
        <v>0</v>
      </c>
      <c r="O66" t="str">
        <f t="shared" si="11"/>
        <v/>
      </c>
      <c r="P66">
        <f>IF(B66="",0,COUNTIF($C$209:$V$209,"&gt;=0.995"))</f>
        <v>0</v>
      </c>
      <c r="Q66">
        <f>IF(B66="",0,COUNTIFS($C$180:$V$180,"Chính",$C$209:$V$209,"&gt;=0.995"))</f>
        <v>0</v>
      </c>
      <c r="R66">
        <f>IF(B66="",0,COUNTIFS($C$180:$V$180,"Vượt trội",$C$209:$V$209,"&gt;=0.995"))</f>
        <v>0</v>
      </c>
    </row>
    <row r="67" spans="1:18" x14ac:dyDescent="0.3">
      <c r="A67">
        <v>29</v>
      </c>
      <c r="B67" t="str">
        <f>IF('Khai báo'!A74="","",TRIM('Khai báo'!A74&amp;""))</f>
        <v/>
      </c>
      <c r="C67" t="str">
        <f>IF(B67="","",'Khai báo'!B74&amp;"")</f>
        <v/>
      </c>
      <c r="D67">
        <f>IF(B67="",0,IF(AND(N('Khai báo'!C74)&gt;=1,N('Khai báo'!C74)&lt;=4),N('Khai báo'!C74),IFERROR(--('Khai báo'!C74),1)))</f>
        <v>0</v>
      </c>
      <c r="E67">
        <f>IF(B67="",0,N('Khai báo'!D74))</f>
        <v>0</v>
      </c>
      <c r="F67" t="str">
        <f t="shared" si="4"/>
        <v/>
      </c>
      <c r="G67">
        <f t="shared" si="5"/>
        <v>0</v>
      </c>
      <c r="H67">
        <f t="shared" si="6"/>
        <v>0</v>
      </c>
      <c r="I67">
        <f t="shared" si="7"/>
        <v>0</v>
      </c>
      <c r="J67">
        <f t="shared" si="8"/>
        <v>0</v>
      </c>
      <c r="K67">
        <f>IF(B67="",0,IFERROR(INDEX('Dán DT nhân viên'!$N$1:$N$1500,MATCH(B67,'Dán DT nhân viên'!$L$1:$L$1500,0)),0))</f>
        <v>0</v>
      </c>
      <c r="L67">
        <f>IF(B67="",0,IFERROR(INDEX('Dán DT NV realtime'!$N$1:$N$1500,MATCH(B67,'Dán DT NV realtime'!$L$1:$L$1500,0)),0))</f>
        <v>0</v>
      </c>
      <c r="M67">
        <f t="shared" si="9"/>
        <v>0</v>
      </c>
      <c r="N67">
        <f t="shared" si="10"/>
        <v>0</v>
      </c>
      <c r="O67" t="str">
        <f t="shared" si="11"/>
        <v/>
      </c>
      <c r="P67">
        <f>IF(B67="",0,COUNTIF($C$210:$V$210,"&gt;=0.995"))</f>
        <v>0</v>
      </c>
      <c r="Q67">
        <f>IF(B67="",0,COUNTIFS($C$180:$V$180,"Chính",$C$210:$V$210,"&gt;=0.995"))</f>
        <v>0</v>
      </c>
      <c r="R67">
        <f>IF(B67="",0,COUNTIFS($C$180:$V$180,"Vượt trội",$C$210:$V$210,"&gt;=0.995"))</f>
        <v>0</v>
      </c>
    </row>
    <row r="68" spans="1:18" x14ac:dyDescent="0.3">
      <c r="A68">
        <v>30</v>
      </c>
      <c r="B68" t="str">
        <f>IF('Khai báo'!A75="","",TRIM('Khai báo'!A75&amp;""))</f>
        <v/>
      </c>
      <c r="C68" t="str">
        <f>IF(B68="","",'Khai báo'!B75&amp;"")</f>
        <v/>
      </c>
      <c r="D68">
        <f>IF(B68="",0,IF(AND(N('Khai báo'!C75)&gt;=1,N('Khai báo'!C75)&lt;=4),N('Khai báo'!C75),IFERROR(--('Khai báo'!C75),1)))</f>
        <v>0</v>
      </c>
      <c r="E68">
        <f>IF(B68="",0,N('Khai báo'!D75))</f>
        <v>0</v>
      </c>
      <c r="F68" t="str">
        <f t="shared" si="4"/>
        <v/>
      </c>
      <c r="G68">
        <f t="shared" si="5"/>
        <v>0</v>
      </c>
      <c r="H68">
        <f t="shared" si="6"/>
        <v>0</v>
      </c>
      <c r="I68">
        <f t="shared" si="7"/>
        <v>0</v>
      </c>
      <c r="J68">
        <f t="shared" si="8"/>
        <v>0</v>
      </c>
      <c r="K68">
        <f>IF(B68="",0,IFERROR(INDEX('Dán DT nhân viên'!$N$1:$N$1500,MATCH(B68,'Dán DT nhân viên'!$L$1:$L$1500,0)),0))</f>
        <v>0</v>
      </c>
      <c r="L68">
        <f>IF(B68="",0,IFERROR(INDEX('Dán DT NV realtime'!$N$1:$N$1500,MATCH(B68,'Dán DT NV realtime'!$L$1:$L$1500,0)),0))</f>
        <v>0</v>
      </c>
      <c r="M68">
        <f t="shared" si="9"/>
        <v>0</v>
      </c>
      <c r="N68">
        <f t="shared" si="10"/>
        <v>0</v>
      </c>
      <c r="O68" t="str">
        <f t="shared" si="11"/>
        <v/>
      </c>
      <c r="P68">
        <f>IF(B68="",0,COUNTIF($C$211:$V$211,"&gt;=0.995"))</f>
        <v>0</v>
      </c>
      <c r="Q68">
        <f>IF(B68="",0,COUNTIFS($C$180:$V$180,"Chính",$C$211:$V$211,"&gt;=0.995"))</f>
        <v>0</v>
      </c>
      <c r="R68">
        <f>IF(B68="",0,COUNTIFS($C$180:$V$180,"Vượt trội",$C$211:$V$211,"&gt;=0.995"))</f>
        <v>0</v>
      </c>
    </row>
    <row r="69" spans="1:18" x14ac:dyDescent="0.3">
      <c r="A69">
        <v>31</v>
      </c>
      <c r="B69" t="str">
        <f>IF('Khai báo'!A76="","",TRIM('Khai báo'!A76&amp;""))</f>
        <v/>
      </c>
      <c r="C69" t="str">
        <f>IF(B69="","",'Khai báo'!B76&amp;"")</f>
        <v/>
      </c>
      <c r="D69">
        <f>IF(B69="",0,IF(AND(N('Khai báo'!C76)&gt;=1,N('Khai báo'!C76)&lt;=4),N('Khai báo'!C76),IFERROR(--('Khai báo'!C76),1)))</f>
        <v>0</v>
      </c>
      <c r="E69">
        <f>IF(B69="",0,N('Khai báo'!D76))</f>
        <v>0</v>
      </c>
      <c r="F69" t="str">
        <f t="shared" si="4"/>
        <v/>
      </c>
      <c r="G69">
        <f t="shared" si="5"/>
        <v>0</v>
      </c>
      <c r="H69">
        <f t="shared" si="6"/>
        <v>0</v>
      </c>
      <c r="I69">
        <f t="shared" si="7"/>
        <v>0</v>
      </c>
      <c r="J69">
        <f t="shared" si="8"/>
        <v>0</v>
      </c>
      <c r="K69">
        <f>IF(B69="",0,IFERROR(INDEX('Dán DT nhân viên'!$N$1:$N$1500,MATCH(B69,'Dán DT nhân viên'!$L$1:$L$1500,0)),0))</f>
        <v>0</v>
      </c>
      <c r="L69">
        <f>IF(B69="",0,IFERROR(INDEX('Dán DT NV realtime'!$N$1:$N$1500,MATCH(B69,'Dán DT NV realtime'!$L$1:$L$1500,0)),0))</f>
        <v>0</v>
      </c>
      <c r="M69">
        <f t="shared" si="9"/>
        <v>0</v>
      </c>
      <c r="N69">
        <f t="shared" si="10"/>
        <v>0</v>
      </c>
      <c r="O69" t="str">
        <f t="shared" si="11"/>
        <v/>
      </c>
      <c r="P69">
        <f>IF(B69="",0,COUNTIF($C$212:$V$212,"&gt;=0.995"))</f>
        <v>0</v>
      </c>
      <c r="Q69">
        <f>IF(B69="",0,COUNTIFS($C$180:$V$180,"Chính",$C$212:$V$212,"&gt;=0.995"))</f>
        <v>0</v>
      </c>
      <c r="R69">
        <f>IF(B69="",0,COUNTIFS($C$180:$V$180,"Vượt trội",$C$212:$V$212,"&gt;=0.995"))</f>
        <v>0</v>
      </c>
    </row>
    <row r="70" spans="1:18" x14ac:dyDescent="0.3">
      <c r="A70">
        <v>32</v>
      </c>
      <c r="B70" t="str">
        <f>IF('Khai báo'!A77="","",TRIM('Khai báo'!A77&amp;""))</f>
        <v/>
      </c>
      <c r="C70" t="str">
        <f>IF(B70="","",'Khai báo'!B77&amp;"")</f>
        <v/>
      </c>
      <c r="D70">
        <f>IF(B70="",0,IF(AND(N('Khai báo'!C77)&gt;=1,N('Khai báo'!C77)&lt;=4),N('Khai báo'!C77),IFERROR(--('Khai báo'!C77),1)))</f>
        <v>0</v>
      </c>
      <c r="E70">
        <f>IF(B70="",0,N('Khai báo'!D77))</f>
        <v>0</v>
      </c>
      <c r="F70" t="str">
        <f t="shared" si="4"/>
        <v/>
      </c>
      <c r="G70">
        <f t="shared" si="5"/>
        <v>0</v>
      </c>
      <c r="H70">
        <f t="shared" si="6"/>
        <v>0</v>
      </c>
      <c r="I70">
        <f t="shared" si="7"/>
        <v>0</v>
      </c>
      <c r="J70">
        <f t="shared" si="8"/>
        <v>0</v>
      </c>
      <c r="K70">
        <f>IF(B70="",0,IFERROR(INDEX('Dán DT nhân viên'!$N$1:$N$1500,MATCH(B70,'Dán DT nhân viên'!$L$1:$L$1500,0)),0))</f>
        <v>0</v>
      </c>
      <c r="L70">
        <f>IF(B70="",0,IFERROR(INDEX('Dán DT NV realtime'!$N$1:$N$1500,MATCH(B70,'Dán DT NV realtime'!$L$1:$L$1500,0)),0))</f>
        <v>0</v>
      </c>
      <c r="M70">
        <f t="shared" si="9"/>
        <v>0</v>
      </c>
      <c r="N70">
        <f t="shared" si="10"/>
        <v>0</v>
      </c>
      <c r="O70" t="str">
        <f t="shared" si="11"/>
        <v/>
      </c>
      <c r="P70">
        <f>IF(B70="",0,COUNTIF($C$213:$V$213,"&gt;=0.995"))</f>
        <v>0</v>
      </c>
      <c r="Q70">
        <f>IF(B70="",0,COUNTIFS($C$180:$V$180,"Chính",$C$213:$V$213,"&gt;=0.995"))</f>
        <v>0</v>
      </c>
      <c r="R70">
        <f>IF(B70="",0,COUNTIFS($C$180:$V$180,"Vượt trội",$C$213:$V$213,"&gt;=0.995"))</f>
        <v>0</v>
      </c>
    </row>
    <row r="71" spans="1:18" x14ac:dyDescent="0.3">
      <c r="A71">
        <v>33</v>
      </c>
      <c r="B71" t="str">
        <f>IF('Khai báo'!A78="","",TRIM('Khai báo'!A78&amp;""))</f>
        <v/>
      </c>
      <c r="C71" t="str">
        <f>IF(B71="","",'Khai báo'!B78&amp;"")</f>
        <v/>
      </c>
      <c r="D71">
        <f>IF(B71="",0,IF(AND(N('Khai báo'!C78)&gt;=1,N('Khai báo'!C78)&lt;=4),N('Khai báo'!C78),IFERROR(--('Khai báo'!C78),1)))</f>
        <v>0</v>
      </c>
      <c r="E71">
        <f>IF(B71="",0,N('Khai báo'!D78))</f>
        <v>0</v>
      </c>
      <c r="F71" t="str">
        <f t="shared" si="4"/>
        <v/>
      </c>
      <c r="G71">
        <f t="shared" si="5"/>
        <v>0</v>
      </c>
      <c r="H71">
        <f t="shared" si="6"/>
        <v>0</v>
      </c>
      <c r="I71">
        <f t="shared" si="7"/>
        <v>0</v>
      </c>
      <c r="J71">
        <f t="shared" si="8"/>
        <v>0</v>
      </c>
      <c r="K71">
        <f>IF(B71="",0,IFERROR(INDEX('Dán DT nhân viên'!$N$1:$N$1500,MATCH(B71,'Dán DT nhân viên'!$L$1:$L$1500,0)),0))</f>
        <v>0</v>
      </c>
      <c r="L71">
        <f>IF(B71="",0,IFERROR(INDEX('Dán DT NV realtime'!$N$1:$N$1500,MATCH(B71,'Dán DT NV realtime'!$L$1:$L$1500,0)),0))</f>
        <v>0</v>
      </c>
      <c r="M71">
        <f t="shared" si="9"/>
        <v>0</v>
      </c>
      <c r="N71">
        <f t="shared" si="10"/>
        <v>0</v>
      </c>
      <c r="O71" t="str">
        <f t="shared" si="11"/>
        <v/>
      </c>
      <c r="P71">
        <f>IF(B71="",0,COUNTIF($C$214:$V$214,"&gt;=0.995"))</f>
        <v>0</v>
      </c>
      <c r="Q71">
        <f>IF(B71="",0,COUNTIFS($C$180:$V$180,"Chính",$C$214:$V$214,"&gt;=0.995"))</f>
        <v>0</v>
      </c>
      <c r="R71">
        <f>IF(B71="",0,COUNTIFS($C$180:$V$180,"Vượt trội",$C$214:$V$214,"&gt;=0.995"))</f>
        <v>0</v>
      </c>
    </row>
    <row r="72" spans="1:18" x14ac:dyDescent="0.3">
      <c r="A72">
        <v>34</v>
      </c>
      <c r="B72" t="str">
        <f>IF('Khai báo'!A79="","",TRIM('Khai báo'!A79&amp;""))</f>
        <v/>
      </c>
      <c r="C72" t="str">
        <f>IF(B72="","",'Khai báo'!B79&amp;"")</f>
        <v/>
      </c>
      <c r="D72">
        <f>IF(B72="",0,IF(AND(N('Khai báo'!C79)&gt;=1,N('Khai báo'!C79)&lt;=4),N('Khai báo'!C79),IFERROR(--('Khai báo'!C79),1)))</f>
        <v>0</v>
      </c>
      <c r="E72">
        <f>IF(B72="",0,N('Khai báo'!D79))</f>
        <v>0</v>
      </c>
      <c r="F72" t="str">
        <f t="shared" si="4"/>
        <v/>
      </c>
      <c r="G72">
        <f t="shared" si="5"/>
        <v>0</v>
      </c>
      <c r="H72">
        <f t="shared" si="6"/>
        <v>0</v>
      </c>
      <c r="I72">
        <f t="shared" si="7"/>
        <v>0</v>
      </c>
      <c r="J72">
        <f t="shared" si="8"/>
        <v>0</v>
      </c>
      <c r="K72">
        <f>IF(B72="",0,IFERROR(INDEX('Dán DT nhân viên'!$N$1:$N$1500,MATCH(B72,'Dán DT nhân viên'!$L$1:$L$1500,0)),0))</f>
        <v>0</v>
      </c>
      <c r="L72">
        <f>IF(B72="",0,IFERROR(INDEX('Dán DT NV realtime'!$N$1:$N$1500,MATCH(B72,'Dán DT NV realtime'!$L$1:$L$1500,0)),0))</f>
        <v>0</v>
      </c>
      <c r="M72">
        <f t="shared" si="9"/>
        <v>0</v>
      </c>
      <c r="N72">
        <f t="shared" si="10"/>
        <v>0</v>
      </c>
      <c r="O72" t="str">
        <f t="shared" si="11"/>
        <v/>
      </c>
      <c r="P72">
        <f>IF(B72="",0,COUNTIF($C$215:$V$215,"&gt;=0.995"))</f>
        <v>0</v>
      </c>
      <c r="Q72">
        <f>IF(B72="",0,COUNTIFS($C$180:$V$180,"Chính",$C$215:$V$215,"&gt;=0.995"))</f>
        <v>0</v>
      </c>
      <c r="R72">
        <f>IF(B72="",0,COUNTIFS($C$180:$V$180,"Vượt trội",$C$215:$V$215,"&gt;=0.995"))</f>
        <v>0</v>
      </c>
    </row>
    <row r="73" spans="1:18" x14ac:dyDescent="0.3">
      <c r="A73">
        <v>35</v>
      </c>
      <c r="B73" t="str">
        <f>IF('Khai báo'!A80="","",TRIM('Khai báo'!A80&amp;""))</f>
        <v/>
      </c>
      <c r="C73" t="str">
        <f>IF(B73="","",'Khai báo'!B80&amp;"")</f>
        <v/>
      </c>
      <c r="D73">
        <f>IF(B73="",0,IF(AND(N('Khai báo'!C80)&gt;=1,N('Khai báo'!C80)&lt;=4),N('Khai báo'!C80),IFERROR(--('Khai báo'!C80),1)))</f>
        <v>0</v>
      </c>
      <c r="E73">
        <f>IF(B73="",0,N('Khai báo'!D80))</f>
        <v>0</v>
      </c>
      <c r="F73" t="str">
        <f t="shared" si="4"/>
        <v/>
      </c>
      <c r="G73">
        <f t="shared" si="5"/>
        <v>0</v>
      </c>
      <c r="H73">
        <f t="shared" si="6"/>
        <v>0</v>
      </c>
      <c r="I73">
        <f t="shared" si="7"/>
        <v>0</v>
      </c>
      <c r="J73">
        <f t="shared" si="8"/>
        <v>0</v>
      </c>
      <c r="K73">
        <f>IF(B73="",0,IFERROR(INDEX('Dán DT nhân viên'!$N$1:$N$1500,MATCH(B73,'Dán DT nhân viên'!$L$1:$L$1500,0)),0))</f>
        <v>0</v>
      </c>
      <c r="L73">
        <f>IF(B73="",0,IFERROR(INDEX('Dán DT NV realtime'!$N$1:$N$1500,MATCH(B73,'Dán DT NV realtime'!$L$1:$L$1500,0)),0))</f>
        <v>0</v>
      </c>
      <c r="M73">
        <f t="shared" si="9"/>
        <v>0</v>
      </c>
      <c r="N73">
        <f t="shared" si="10"/>
        <v>0</v>
      </c>
      <c r="O73" t="str">
        <f t="shared" si="11"/>
        <v/>
      </c>
      <c r="P73">
        <f>IF(B73="",0,COUNTIF($C$216:$V$216,"&gt;=0.995"))</f>
        <v>0</v>
      </c>
      <c r="Q73">
        <f>IF(B73="",0,COUNTIFS($C$180:$V$180,"Chính",$C$216:$V$216,"&gt;=0.995"))</f>
        <v>0</v>
      </c>
      <c r="R73">
        <f>IF(B73="",0,COUNTIFS($C$180:$V$180,"Vượt trội",$C$216:$V$216,"&gt;=0.995"))</f>
        <v>0</v>
      </c>
    </row>
    <row r="74" spans="1:18" x14ac:dyDescent="0.3">
      <c r="A74">
        <v>36</v>
      </c>
      <c r="B74" t="str">
        <f>IF('Khai báo'!A81="","",TRIM('Khai báo'!A81&amp;""))</f>
        <v/>
      </c>
      <c r="C74" t="str">
        <f>IF(B74="","",'Khai báo'!B81&amp;"")</f>
        <v/>
      </c>
      <c r="D74">
        <f>IF(B74="",0,IF(AND(N('Khai báo'!C81)&gt;=1,N('Khai báo'!C81)&lt;=4),N('Khai báo'!C81),IFERROR(--('Khai báo'!C81),1)))</f>
        <v>0</v>
      </c>
      <c r="E74">
        <f>IF(B74="",0,N('Khai báo'!D81))</f>
        <v>0</v>
      </c>
      <c r="F74" t="str">
        <f t="shared" si="4"/>
        <v/>
      </c>
      <c r="G74">
        <f t="shared" si="5"/>
        <v>0</v>
      </c>
      <c r="H74">
        <f t="shared" si="6"/>
        <v>0</v>
      </c>
      <c r="I74">
        <f t="shared" si="7"/>
        <v>0</v>
      </c>
      <c r="J74">
        <f t="shared" si="8"/>
        <v>0</v>
      </c>
      <c r="K74">
        <f>IF(B74="",0,IFERROR(INDEX('Dán DT nhân viên'!$N$1:$N$1500,MATCH(B74,'Dán DT nhân viên'!$L$1:$L$1500,0)),0))</f>
        <v>0</v>
      </c>
      <c r="L74">
        <f>IF(B74="",0,IFERROR(INDEX('Dán DT NV realtime'!$N$1:$N$1500,MATCH(B74,'Dán DT NV realtime'!$L$1:$L$1500,0)),0))</f>
        <v>0</v>
      </c>
      <c r="M74">
        <f t="shared" si="9"/>
        <v>0</v>
      </c>
      <c r="N74">
        <f t="shared" si="10"/>
        <v>0</v>
      </c>
      <c r="O74" t="str">
        <f t="shared" si="11"/>
        <v/>
      </c>
      <c r="P74">
        <f>IF(B74="",0,COUNTIF($C$217:$V$217,"&gt;=0.995"))</f>
        <v>0</v>
      </c>
      <c r="Q74">
        <f>IF(B74="",0,COUNTIFS($C$180:$V$180,"Chính",$C$217:$V$217,"&gt;=0.995"))</f>
        <v>0</v>
      </c>
      <c r="R74">
        <f>IF(B74="",0,COUNTIFS($C$180:$V$180,"Vượt trội",$C$217:$V$217,"&gt;=0.995"))</f>
        <v>0</v>
      </c>
    </row>
    <row r="75" spans="1:18" x14ac:dyDescent="0.3">
      <c r="A75">
        <v>37</v>
      </c>
      <c r="B75" t="str">
        <f>IF('Khai báo'!A82="","",TRIM('Khai báo'!A82&amp;""))</f>
        <v/>
      </c>
      <c r="C75" t="str">
        <f>IF(B75="","",'Khai báo'!B82&amp;"")</f>
        <v/>
      </c>
      <c r="D75">
        <f>IF(B75="",0,IF(AND(N('Khai báo'!C82)&gt;=1,N('Khai báo'!C82)&lt;=4),N('Khai báo'!C82),IFERROR(--('Khai báo'!C82),1)))</f>
        <v>0</v>
      </c>
      <c r="E75">
        <f>IF(B75="",0,N('Khai báo'!D82))</f>
        <v>0</v>
      </c>
      <c r="F75" t="str">
        <f t="shared" si="4"/>
        <v/>
      </c>
      <c r="G75">
        <f t="shared" si="5"/>
        <v>0</v>
      </c>
      <c r="H75">
        <f t="shared" si="6"/>
        <v>0</v>
      </c>
      <c r="I75">
        <f t="shared" si="7"/>
        <v>0</v>
      </c>
      <c r="J75">
        <f t="shared" si="8"/>
        <v>0</v>
      </c>
      <c r="K75">
        <f>IF(B75="",0,IFERROR(INDEX('Dán DT nhân viên'!$N$1:$N$1500,MATCH(B75,'Dán DT nhân viên'!$L$1:$L$1500,0)),0))</f>
        <v>0</v>
      </c>
      <c r="L75">
        <f>IF(B75="",0,IFERROR(INDEX('Dán DT NV realtime'!$N$1:$N$1500,MATCH(B75,'Dán DT NV realtime'!$L$1:$L$1500,0)),0))</f>
        <v>0</v>
      </c>
      <c r="M75">
        <f t="shared" si="9"/>
        <v>0</v>
      </c>
      <c r="N75">
        <f t="shared" si="10"/>
        <v>0</v>
      </c>
      <c r="O75" t="str">
        <f t="shared" si="11"/>
        <v/>
      </c>
      <c r="P75">
        <f>IF(B75="",0,COUNTIF($C$218:$V$218,"&gt;=0.995"))</f>
        <v>0</v>
      </c>
      <c r="Q75">
        <f>IF(B75="",0,COUNTIFS($C$180:$V$180,"Chính",$C$218:$V$218,"&gt;=0.995"))</f>
        <v>0</v>
      </c>
      <c r="R75">
        <f>IF(B75="",0,COUNTIFS($C$180:$V$180,"Vượt trội",$C$218:$V$218,"&gt;=0.995"))</f>
        <v>0</v>
      </c>
    </row>
    <row r="76" spans="1:18" x14ac:dyDescent="0.3">
      <c r="A76">
        <v>38</v>
      </c>
      <c r="B76" t="str">
        <f>IF('Khai báo'!A83="","",TRIM('Khai báo'!A83&amp;""))</f>
        <v/>
      </c>
      <c r="C76" t="str">
        <f>IF(B76="","",'Khai báo'!B83&amp;"")</f>
        <v/>
      </c>
      <c r="D76">
        <f>IF(B76="",0,IF(AND(N('Khai báo'!C83)&gt;=1,N('Khai báo'!C83)&lt;=4),N('Khai báo'!C83),IFERROR(--('Khai báo'!C83),1)))</f>
        <v>0</v>
      </c>
      <c r="E76">
        <f>IF(B76="",0,N('Khai báo'!D83))</f>
        <v>0</v>
      </c>
      <c r="F76" t="str">
        <f t="shared" si="4"/>
        <v/>
      </c>
      <c r="G76">
        <f t="shared" si="5"/>
        <v>0</v>
      </c>
      <c r="H76">
        <f t="shared" si="6"/>
        <v>0</v>
      </c>
      <c r="I76">
        <f t="shared" si="7"/>
        <v>0</v>
      </c>
      <c r="J76">
        <f t="shared" si="8"/>
        <v>0</v>
      </c>
      <c r="K76">
        <f>IF(B76="",0,IFERROR(INDEX('Dán DT nhân viên'!$N$1:$N$1500,MATCH(B76,'Dán DT nhân viên'!$L$1:$L$1500,0)),0))</f>
        <v>0</v>
      </c>
      <c r="L76">
        <f>IF(B76="",0,IFERROR(INDEX('Dán DT NV realtime'!$N$1:$N$1500,MATCH(B76,'Dán DT NV realtime'!$L$1:$L$1500,0)),0))</f>
        <v>0</v>
      </c>
      <c r="M76">
        <f t="shared" si="9"/>
        <v>0</v>
      </c>
      <c r="N76">
        <f t="shared" si="10"/>
        <v>0</v>
      </c>
      <c r="O76" t="str">
        <f t="shared" si="11"/>
        <v/>
      </c>
      <c r="P76">
        <f>IF(B76="",0,COUNTIF($C$219:$V$219,"&gt;=0.995"))</f>
        <v>0</v>
      </c>
      <c r="Q76">
        <f>IF(B76="",0,COUNTIFS($C$180:$V$180,"Chính",$C$219:$V$219,"&gt;=0.995"))</f>
        <v>0</v>
      </c>
      <c r="R76">
        <f>IF(B76="",0,COUNTIFS($C$180:$V$180,"Vượt trội",$C$219:$V$219,"&gt;=0.995"))</f>
        <v>0</v>
      </c>
    </row>
    <row r="77" spans="1:18" x14ac:dyDescent="0.3">
      <c r="A77">
        <v>39</v>
      </c>
      <c r="B77" t="str">
        <f>IF('Khai báo'!A84="","",TRIM('Khai báo'!A84&amp;""))</f>
        <v/>
      </c>
      <c r="C77" t="str">
        <f>IF(B77="","",'Khai báo'!B84&amp;"")</f>
        <v/>
      </c>
      <c r="D77">
        <f>IF(B77="",0,IF(AND(N('Khai báo'!C84)&gt;=1,N('Khai báo'!C84)&lt;=4),N('Khai báo'!C84),IFERROR(--('Khai báo'!C84),1)))</f>
        <v>0</v>
      </c>
      <c r="E77">
        <f>IF(B77="",0,N('Khai báo'!D84))</f>
        <v>0</v>
      </c>
      <c r="F77" t="str">
        <f t="shared" si="4"/>
        <v/>
      </c>
      <c r="G77">
        <f t="shared" si="5"/>
        <v>0</v>
      </c>
      <c r="H77">
        <f t="shared" si="6"/>
        <v>0</v>
      </c>
      <c r="I77">
        <f t="shared" si="7"/>
        <v>0</v>
      </c>
      <c r="J77">
        <f t="shared" si="8"/>
        <v>0</v>
      </c>
      <c r="K77">
        <f>IF(B77="",0,IFERROR(INDEX('Dán DT nhân viên'!$N$1:$N$1500,MATCH(B77,'Dán DT nhân viên'!$L$1:$L$1500,0)),0))</f>
        <v>0</v>
      </c>
      <c r="L77">
        <f>IF(B77="",0,IFERROR(INDEX('Dán DT NV realtime'!$N$1:$N$1500,MATCH(B77,'Dán DT NV realtime'!$L$1:$L$1500,0)),0))</f>
        <v>0</v>
      </c>
      <c r="M77">
        <f t="shared" si="9"/>
        <v>0</v>
      </c>
      <c r="N77">
        <f t="shared" si="10"/>
        <v>0</v>
      </c>
      <c r="O77" t="str">
        <f t="shared" si="11"/>
        <v/>
      </c>
      <c r="P77">
        <f>IF(B77="",0,COUNTIF($C$220:$V$220,"&gt;=0.995"))</f>
        <v>0</v>
      </c>
      <c r="Q77">
        <f>IF(B77="",0,COUNTIFS($C$180:$V$180,"Chính",$C$220:$V$220,"&gt;=0.995"))</f>
        <v>0</v>
      </c>
      <c r="R77">
        <f>IF(B77="",0,COUNTIFS($C$180:$V$180,"Vượt trội",$C$220:$V$220,"&gt;=0.995"))</f>
        <v>0</v>
      </c>
    </row>
    <row r="78" spans="1:18" x14ac:dyDescent="0.3">
      <c r="A78">
        <v>40</v>
      </c>
      <c r="B78" t="str">
        <f>IF('Khai báo'!A85="","",TRIM('Khai báo'!A85&amp;""))</f>
        <v/>
      </c>
      <c r="C78" t="str">
        <f>IF(B78="","",'Khai báo'!B85&amp;"")</f>
        <v/>
      </c>
      <c r="D78">
        <f>IF(B78="",0,IF(AND(N('Khai báo'!C85)&gt;=1,N('Khai báo'!C85)&lt;=4),N('Khai báo'!C85),IFERROR(--('Khai báo'!C85),1)))</f>
        <v>0</v>
      </c>
      <c r="E78">
        <f>IF(B78="",0,N('Khai báo'!D85))</f>
        <v>0</v>
      </c>
      <c r="F78" t="str">
        <f t="shared" si="4"/>
        <v/>
      </c>
      <c r="G78">
        <f t="shared" si="5"/>
        <v>0</v>
      </c>
      <c r="H78">
        <f t="shared" si="6"/>
        <v>0</v>
      </c>
      <c r="I78">
        <f t="shared" si="7"/>
        <v>0</v>
      </c>
      <c r="J78">
        <f t="shared" si="8"/>
        <v>0</v>
      </c>
      <c r="K78">
        <f>IF(B78="",0,IFERROR(INDEX('Dán DT nhân viên'!$N$1:$N$1500,MATCH(B78,'Dán DT nhân viên'!$L$1:$L$1500,0)),0))</f>
        <v>0</v>
      </c>
      <c r="L78">
        <f>IF(B78="",0,IFERROR(INDEX('Dán DT NV realtime'!$N$1:$N$1500,MATCH(B78,'Dán DT NV realtime'!$L$1:$L$1500,0)),0))</f>
        <v>0</v>
      </c>
      <c r="M78">
        <f t="shared" si="9"/>
        <v>0</v>
      </c>
      <c r="N78">
        <f t="shared" si="10"/>
        <v>0</v>
      </c>
      <c r="O78" t="str">
        <f t="shared" si="11"/>
        <v/>
      </c>
      <c r="P78">
        <f>IF(B78="",0,COUNTIF($C$221:$V$221,"&gt;=0.995"))</f>
        <v>0</v>
      </c>
      <c r="Q78">
        <f>IF(B78="",0,COUNTIFS($C$180:$V$180,"Chính",$C$221:$V$221,"&gt;=0.995"))</f>
        <v>0</v>
      </c>
      <c r="R78">
        <f>IF(B78="",0,COUNTIFS($C$180:$V$180,"Vượt trội",$C$221:$V$221,"&gt;=0.995"))</f>
        <v>0</v>
      </c>
    </row>
    <row r="79" spans="1:18" x14ac:dyDescent="0.3">
      <c r="A79">
        <v>41</v>
      </c>
      <c r="B79" t="str">
        <f>IF('Khai báo'!A86="","",TRIM('Khai báo'!A86&amp;""))</f>
        <v/>
      </c>
      <c r="C79" t="str">
        <f>IF(B79="","",'Khai báo'!B86&amp;"")</f>
        <v/>
      </c>
      <c r="D79">
        <f>IF(B79="",0,IF(AND(N('Khai báo'!C86)&gt;=1,N('Khai báo'!C86)&lt;=4),N('Khai báo'!C86),IFERROR(--('Khai báo'!C86),1)))</f>
        <v>0</v>
      </c>
      <c r="E79">
        <f>IF(B79="",0,N('Khai báo'!D86))</f>
        <v>0</v>
      </c>
      <c r="F79" t="str">
        <f t="shared" si="4"/>
        <v/>
      </c>
      <c r="G79">
        <f t="shared" si="5"/>
        <v>0</v>
      </c>
      <c r="H79">
        <f t="shared" si="6"/>
        <v>0</v>
      </c>
      <c r="I79">
        <f t="shared" si="7"/>
        <v>0</v>
      </c>
      <c r="J79">
        <f t="shared" si="8"/>
        <v>0</v>
      </c>
      <c r="K79">
        <f>IF(B79="",0,IFERROR(INDEX('Dán DT nhân viên'!$N$1:$N$1500,MATCH(B79,'Dán DT nhân viên'!$L$1:$L$1500,0)),0))</f>
        <v>0</v>
      </c>
      <c r="L79">
        <f>IF(B79="",0,IFERROR(INDEX('Dán DT NV realtime'!$N$1:$N$1500,MATCH(B79,'Dán DT NV realtime'!$L$1:$L$1500,0)),0))</f>
        <v>0</v>
      </c>
      <c r="M79">
        <f t="shared" si="9"/>
        <v>0</v>
      </c>
      <c r="N79">
        <f t="shared" si="10"/>
        <v>0</v>
      </c>
      <c r="O79" t="str">
        <f t="shared" si="11"/>
        <v/>
      </c>
      <c r="P79">
        <f>IF(B79="",0,COUNTIF($C$222:$V$222,"&gt;=0.995"))</f>
        <v>0</v>
      </c>
      <c r="Q79">
        <f>IF(B79="",0,COUNTIFS($C$180:$V$180,"Chính",$C$222:$V$222,"&gt;=0.995"))</f>
        <v>0</v>
      </c>
      <c r="R79">
        <f>IF(B79="",0,COUNTIFS($C$180:$V$180,"Vượt trội",$C$222:$V$222,"&gt;=0.995"))</f>
        <v>0</v>
      </c>
    </row>
    <row r="80" spans="1:18" x14ac:dyDescent="0.3">
      <c r="A80">
        <v>42</v>
      </c>
      <c r="B80" t="str">
        <f>IF('Khai báo'!A87="","",TRIM('Khai báo'!A87&amp;""))</f>
        <v/>
      </c>
      <c r="C80" t="str">
        <f>IF(B80="","",'Khai báo'!B87&amp;"")</f>
        <v/>
      </c>
      <c r="D80">
        <f>IF(B80="",0,IF(AND(N('Khai báo'!C87)&gt;=1,N('Khai báo'!C87)&lt;=4),N('Khai báo'!C87),IFERROR(--('Khai báo'!C87),1)))</f>
        <v>0</v>
      </c>
      <c r="E80">
        <f>IF(B80="",0,N('Khai báo'!D87))</f>
        <v>0</v>
      </c>
      <c r="F80" t="str">
        <f t="shared" si="4"/>
        <v/>
      </c>
      <c r="G80">
        <f t="shared" si="5"/>
        <v>0</v>
      </c>
      <c r="H80">
        <f t="shared" si="6"/>
        <v>0</v>
      </c>
      <c r="I80">
        <f t="shared" si="7"/>
        <v>0</v>
      </c>
      <c r="J80">
        <f t="shared" si="8"/>
        <v>0</v>
      </c>
      <c r="K80">
        <f>IF(B80="",0,IFERROR(INDEX('Dán DT nhân viên'!$N$1:$N$1500,MATCH(B80,'Dán DT nhân viên'!$L$1:$L$1500,0)),0))</f>
        <v>0</v>
      </c>
      <c r="L80">
        <f>IF(B80="",0,IFERROR(INDEX('Dán DT NV realtime'!$N$1:$N$1500,MATCH(B80,'Dán DT NV realtime'!$L$1:$L$1500,0)),0))</f>
        <v>0</v>
      </c>
      <c r="M80">
        <f t="shared" si="9"/>
        <v>0</v>
      </c>
      <c r="N80">
        <f t="shared" si="10"/>
        <v>0</v>
      </c>
      <c r="O80" t="str">
        <f t="shared" si="11"/>
        <v/>
      </c>
      <c r="P80">
        <f>IF(B80="",0,COUNTIF($C$223:$V$223,"&gt;=0.995"))</f>
        <v>0</v>
      </c>
      <c r="Q80">
        <f>IF(B80="",0,COUNTIFS($C$180:$V$180,"Chính",$C$223:$V$223,"&gt;=0.995"))</f>
        <v>0</v>
      </c>
      <c r="R80">
        <f>IF(B80="",0,COUNTIFS($C$180:$V$180,"Vượt trội",$C$223:$V$223,"&gt;=0.995"))</f>
        <v>0</v>
      </c>
    </row>
    <row r="81" spans="1:22" x14ac:dyDescent="0.3">
      <c r="A81">
        <v>43</v>
      </c>
      <c r="B81" t="str">
        <f>IF('Khai báo'!A88="","",TRIM('Khai báo'!A88&amp;""))</f>
        <v/>
      </c>
      <c r="C81" t="str">
        <f>IF(B81="","",'Khai báo'!B88&amp;"")</f>
        <v/>
      </c>
      <c r="D81">
        <f>IF(B81="",0,IF(AND(N('Khai báo'!C88)&gt;=1,N('Khai báo'!C88)&lt;=4),N('Khai báo'!C88),IFERROR(--('Khai báo'!C88),1)))</f>
        <v>0</v>
      </c>
      <c r="E81">
        <f>IF(B81="",0,N('Khai báo'!D88))</f>
        <v>0</v>
      </c>
      <c r="F81" t="str">
        <f t="shared" si="4"/>
        <v/>
      </c>
      <c r="G81">
        <f t="shared" si="5"/>
        <v>0</v>
      </c>
      <c r="H81">
        <f t="shared" si="6"/>
        <v>0</v>
      </c>
      <c r="I81">
        <f t="shared" si="7"/>
        <v>0</v>
      </c>
      <c r="J81">
        <f t="shared" si="8"/>
        <v>0</v>
      </c>
      <c r="K81">
        <f>IF(B81="",0,IFERROR(INDEX('Dán DT nhân viên'!$N$1:$N$1500,MATCH(B81,'Dán DT nhân viên'!$L$1:$L$1500,0)),0))</f>
        <v>0</v>
      </c>
      <c r="L81">
        <f>IF(B81="",0,IFERROR(INDEX('Dán DT NV realtime'!$N$1:$N$1500,MATCH(B81,'Dán DT NV realtime'!$L$1:$L$1500,0)),0))</f>
        <v>0</v>
      </c>
      <c r="M81">
        <f t="shared" si="9"/>
        <v>0</v>
      </c>
      <c r="N81">
        <f t="shared" si="10"/>
        <v>0</v>
      </c>
      <c r="O81" t="str">
        <f t="shared" si="11"/>
        <v/>
      </c>
      <c r="P81">
        <f>IF(B81="",0,COUNTIF($C$224:$V$224,"&gt;=0.995"))</f>
        <v>0</v>
      </c>
      <c r="Q81">
        <f>IF(B81="",0,COUNTIFS($C$180:$V$180,"Chính",$C$224:$V$224,"&gt;=0.995"))</f>
        <v>0</v>
      </c>
      <c r="R81">
        <f>IF(B81="",0,COUNTIFS($C$180:$V$180,"Vượt trội",$C$224:$V$224,"&gt;=0.995"))</f>
        <v>0</v>
      </c>
    </row>
    <row r="82" spans="1:22" x14ac:dyDescent="0.3">
      <c r="A82">
        <v>44</v>
      </c>
      <c r="B82" t="str">
        <f>IF('Khai báo'!A89="","",TRIM('Khai báo'!A89&amp;""))</f>
        <v/>
      </c>
      <c r="C82" t="str">
        <f>IF(B82="","",'Khai báo'!B89&amp;"")</f>
        <v/>
      </c>
      <c r="D82">
        <f>IF(B82="",0,IF(AND(N('Khai báo'!C89)&gt;=1,N('Khai báo'!C89)&lt;=4),N('Khai báo'!C89),IFERROR(--('Khai báo'!C89),1)))</f>
        <v>0</v>
      </c>
      <c r="E82">
        <f>IF(B82="",0,N('Khai báo'!D89))</f>
        <v>0</v>
      </c>
      <c r="F82" t="str">
        <f t="shared" si="4"/>
        <v/>
      </c>
      <c r="G82">
        <f t="shared" si="5"/>
        <v>0</v>
      </c>
      <c r="H82">
        <f t="shared" si="6"/>
        <v>0</v>
      </c>
      <c r="I82">
        <f t="shared" si="7"/>
        <v>0</v>
      </c>
      <c r="J82">
        <f t="shared" si="8"/>
        <v>0</v>
      </c>
      <c r="K82">
        <f>IF(B82="",0,IFERROR(INDEX('Dán DT nhân viên'!$N$1:$N$1500,MATCH(B82,'Dán DT nhân viên'!$L$1:$L$1500,0)),0))</f>
        <v>0</v>
      </c>
      <c r="L82">
        <f>IF(B82="",0,IFERROR(INDEX('Dán DT NV realtime'!$N$1:$N$1500,MATCH(B82,'Dán DT NV realtime'!$L$1:$L$1500,0)),0))</f>
        <v>0</v>
      </c>
      <c r="M82">
        <f t="shared" si="9"/>
        <v>0</v>
      </c>
      <c r="N82">
        <f t="shared" si="10"/>
        <v>0</v>
      </c>
      <c r="O82" t="str">
        <f t="shared" si="11"/>
        <v/>
      </c>
      <c r="P82">
        <f>IF(B82="",0,COUNTIF($C$225:$V$225,"&gt;=0.995"))</f>
        <v>0</v>
      </c>
      <c r="Q82">
        <f>IF(B82="",0,COUNTIFS($C$180:$V$180,"Chính",$C$225:$V$225,"&gt;=0.995"))</f>
        <v>0</v>
      </c>
      <c r="R82">
        <f>IF(B82="",0,COUNTIFS($C$180:$V$180,"Vượt trội",$C$225:$V$225,"&gt;=0.995"))</f>
        <v>0</v>
      </c>
    </row>
    <row r="83" spans="1:22" x14ac:dyDescent="0.3">
      <c r="A83">
        <v>45</v>
      </c>
      <c r="B83" t="str">
        <f>IF('Khai báo'!A90="","",TRIM('Khai báo'!A90&amp;""))</f>
        <v/>
      </c>
      <c r="C83" t="str">
        <f>IF(B83="","",'Khai báo'!B90&amp;"")</f>
        <v/>
      </c>
      <c r="D83">
        <f>IF(B83="",0,IF(AND(N('Khai báo'!C90)&gt;=1,N('Khai báo'!C90)&lt;=4),N('Khai báo'!C90),IFERROR(--('Khai báo'!C90),1)))</f>
        <v>0</v>
      </c>
      <c r="E83">
        <f>IF(B83="",0,N('Khai báo'!D90))</f>
        <v>0</v>
      </c>
      <c r="F83" t="str">
        <f t="shared" si="4"/>
        <v/>
      </c>
      <c r="G83">
        <f t="shared" si="5"/>
        <v>0</v>
      </c>
      <c r="H83">
        <f t="shared" si="6"/>
        <v>0</v>
      </c>
      <c r="I83">
        <f t="shared" si="7"/>
        <v>0</v>
      </c>
      <c r="J83">
        <f t="shared" si="8"/>
        <v>0</v>
      </c>
      <c r="K83">
        <f>IF(B83="",0,IFERROR(INDEX('Dán DT nhân viên'!$N$1:$N$1500,MATCH(B83,'Dán DT nhân viên'!$L$1:$L$1500,0)),0))</f>
        <v>0</v>
      </c>
      <c r="L83">
        <f>IF(B83="",0,IFERROR(INDEX('Dán DT NV realtime'!$N$1:$N$1500,MATCH(B83,'Dán DT NV realtime'!$L$1:$L$1500,0)),0))</f>
        <v>0</v>
      </c>
      <c r="M83">
        <f t="shared" si="9"/>
        <v>0</v>
      </c>
      <c r="N83">
        <f t="shared" si="10"/>
        <v>0</v>
      </c>
      <c r="O83" t="str">
        <f t="shared" si="11"/>
        <v/>
      </c>
      <c r="P83">
        <f>IF(B83="",0,COUNTIF($C$226:$V$226,"&gt;=0.995"))</f>
        <v>0</v>
      </c>
      <c r="Q83">
        <f>IF(B83="",0,COUNTIFS($C$180:$V$180,"Chính",$C$226:$V$226,"&gt;=0.995"))</f>
        <v>0</v>
      </c>
      <c r="R83">
        <f>IF(B83="",0,COUNTIFS($C$180:$V$180,"Vượt trội",$C$226:$V$226,"&gt;=0.995"))</f>
        <v>0</v>
      </c>
    </row>
    <row r="85" spans="1:22" x14ac:dyDescent="0.3">
      <c r="A85" s="46" t="s">
        <v>156</v>
      </c>
      <c r="C85" t="str">
        <f>B3</f>
        <v/>
      </c>
      <c r="D85" t="str">
        <f>B4</f>
        <v/>
      </c>
      <c r="E85" t="str">
        <f>B5</f>
        <v/>
      </c>
      <c r="F85" t="str">
        <f>B6</f>
        <v/>
      </c>
      <c r="G85" t="str">
        <f>B7</f>
        <v/>
      </c>
      <c r="H85" t="str">
        <f>B8</f>
        <v/>
      </c>
      <c r="I85" t="str">
        <f>B9</f>
        <v/>
      </c>
      <c r="J85" t="str">
        <f>B10</f>
        <v/>
      </c>
      <c r="K85" t="str">
        <f>B11</f>
        <v/>
      </c>
      <c r="L85" t="str">
        <f>B12</f>
        <v/>
      </c>
      <c r="M85" t="str">
        <f>B13</f>
        <v/>
      </c>
      <c r="N85" t="str">
        <f>B14</f>
        <v/>
      </c>
      <c r="O85" t="str">
        <f>B15</f>
        <v/>
      </c>
      <c r="P85" t="str">
        <f>B16</f>
        <v/>
      </c>
      <c r="Q85" t="str">
        <f>B17</f>
        <v/>
      </c>
      <c r="R85" t="str">
        <f>B18</f>
        <v/>
      </c>
      <c r="S85" t="str">
        <f>B19</f>
        <v/>
      </c>
      <c r="T85" t="str">
        <f>B20</f>
        <v/>
      </c>
      <c r="U85" t="str">
        <f>B21</f>
        <v/>
      </c>
      <c r="V85" t="str">
        <f>B22</f>
        <v/>
      </c>
    </row>
    <row r="86" spans="1:22" x14ac:dyDescent="0.3">
      <c r="A86">
        <v>1</v>
      </c>
      <c r="B86" t="str">
        <f t="shared" ref="B86:B130" si="12">B39</f>
        <v/>
      </c>
      <c r="C86">
        <f>IF(OR($B$39="",$B$3=""),0,IFERROR(INDEX('Dán TĐ nhân viên'!$N$1:$N$1500,MATCH("*"&amp;$C$3&amp;"|"&amp;$B$39,'Dán TĐ nhân viên'!$M$1:$M$1500,0)),0))</f>
        <v>0</v>
      </c>
      <c r="D86">
        <f>IF(OR($B$39="",$B$4=""),0,IFERROR(INDEX('Dán TĐ nhân viên'!$N$1:$N$1500,MATCH("*"&amp;$C$4&amp;"|"&amp;$B$39,'Dán TĐ nhân viên'!$M$1:$M$1500,0)),0))</f>
        <v>0</v>
      </c>
      <c r="E86">
        <f>IF(OR($B$39="",$B$5=""),0,IFERROR(INDEX('Dán TĐ nhân viên'!$N$1:$N$1500,MATCH("*"&amp;$C$5&amp;"|"&amp;$B$39,'Dán TĐ nhân viên'!$M$1:$M$1500,0)),0))</f>
        <v>0</v>
      </c>
      <c r="F86">
        <f>IF(OR($B$39="",$B$6=""),0,IFERROR(INDEX('Dán TĐ nhân viên'!$N$1:$N$1500,MATCH("*"&amp;$C$6&amp;"|"&amp;$B$39,'Dán TĐ nhân viên'!$M$1:$M$1500,0)),0))</f>
        <v>0</v>
      </c>
      <c r="G86">
        <f>IF(OR($B$39="",$B$7=""),0,IFERROR(INDEX('Dán TĐ nhân viên'!$N$1:$N$1500,MATCH("*"&amp;$C$7&amp;"|"&amp;$B$39,'Dán TĐ nhân viên'!$M$1:$M$1500,0)),0))</f>
        <v>0</v>
      </c>
      <c r="H86">
        <f>IF(OR($B$39="",$B$8=""),0,IFERROR(INDEX('Dán TĐ nhân viên'!$N$1:$N$1500,MATCH("*"&amp;$C$8&amp;"|"&amp;$B$39,'Dán TĐ nhân viên'!$M$1:$M$1500,0)),0))</f>
        <v>0</v>
      </c>
      <c r="I86">
        <f>IF(OR($B$39="",$B$9=""),0,IFERROR(INDEX('Dán TĐ nhân viên'!$N$1:$N$1500,MATCH("*"&amp;$C$9&amp;"|"&amp;$B$39,'Dán TĐ nhân viên'!$M$1:$M$1500,0)),0))</f>
        <v>0</v>
      </c>
      <c r="J86">
        <f>IF(OR($B$39="",$B$10=""),0,IFERROR(INDEX('Dán TĐ nhân viên'!$N$1:$N$1500,MATCH("*"&amp;$C$10&amp;"|"&amp;$B$39,'Dán TĐ nhân viên'!$M$1:$M$1500,0)),0))</f>
        <v>0</v>
      </c>
      <c r="K86">
        <f>IF(OR($B$39="",$B$11=""),0,IFERROR(INDEX('Dán TĐ nhân viên'!$N$1:$N$1500,MATCH("*"&amp;$C$11&amp;"|"&amp;$B$39,'Dán TĐ nhân viên'!$M$1:$M$1500,0)),0))</f>
        <v>0</v>
      </c>
      <c r="L86">
        <f>IF(OR($B$39="",$B$12=""),0,IFERROR(INDEX('Dán TĐ nhân viên'!$N$1:$N$1500,MATCH("*"&amp;$C$12&amp;"|"&amp;$B$39,'Dán TĐ nhân viên'!$M$1:$M$1500,0)),0))</f>
        <v>0</v>
      </c>
      <c r="M86">
        <f>IF(OR($B$39="",$B$13=""),0,IFERROR(INDEX('Dán TĐ nhân viên'!$N$1:$N$1500,MATCH("*"&amp;$C$13&amp;"|"&amp;$B$39,'Dán TĐ nhân viên'!$M$1:$M$1500,0)),0))</f>
        <v>0</v>
      </c>
      <c r="N86">
        <f>IF(OR($B$39="",$B$14=""),0,IFERROR(INDEX('Dán TĐ nhân viên'!$N$1:$N$1500,MATCH("*"&amp;$C$14&amp;"|"&amp;$B$39,'Dán TĐ nhân viên'!$M$1:$M$1500,0)),0))</f>
        <v>0</v>
      </c>
      <c r="O86">
        <f>IF(OR($B$39="",$B$15=""),0,IFERROR(INDEX('Dán TĐ nhân viên'!$N$1:$N$1500,MATCH("*"&amp;$C$15&amp;"|"&amp;$B$39,'Dán TĐ nhân viên'!$M$1:$M$1500,0)),0))</f>
        <v>0</v>
      </c>
      <c r="P86">
        <f>IF(OR($B$39="",$B$16=""),0,IFERROR(INDEX('Dán TĐ nhân viên'!$N$1:$N$1500,MATCH("*"&amp;$C$16&amp;"|"&amp;$B$39,'Dán TĐ nhân viên'!$M$1:$M$1500,0)),0))</f>
        <v>0</v>
      </c>
      <c r="Q86">
        <f>IF(OR($B$39="",$B$17=""),0,IFERROR(INDEX('Dán TĐ nhân viên'!$N$1:$N$1500,MATCH("*"&amp;$C$17&amp;"|"&amp;$B$39,'Dán TĐ nhân viên'!$M$1:$M$1500,0)),0))</f>
        <v>0</v>
      </c>
      <c r="R86">
        <f>IF(OR($B$39="",$B$18=""),0,IFERROR(INDEX('Dán TĐ nhân viên'!$N$1:$N$1500,MATCH("*"&amp;$C$18&amp;"|"&amp;$B$39,'Dán TĐ nhân viên'!$M$1:$M$1500,0)),0))</f>
        <v>0</v>
      </c>
      <c r="S86">
        <f>IF(OR($B$39="",$B$19=""),0,IFERROR(INDEX('Dán TĐ nhân viên'!$N$1:$N$1500,MATCH("*"&amp;$C$19&amp;"|"&amp;$B$39,'Dán TĐ nhân viên'!$M$1:$M$1500,0)),0))</f>
        <v>0</v>
      </c>
      <c r="T86">
        <f>IF(OR($B$39="",$B$20=""),0,IFERROR(INDEX('Dán TĐ nhân viên'!$N$1:$N$1500,MATCH("*"&amp;$C$20&amp;"|"&amp;$B$39,'Dán TĐ nhân viên'!$M$1:$M$1500,0)),0))</f>
        <v>0</v>
      </c>
      <c r="U86">
        <f>IF(OR($B$39="",$B$21=""),0,IFERROR(INDEX('Dán TĐ nhân viên'!$N$1:$N$1500,MATCH("*"&amp;$C$21&amp;"|"&amp;$B$39,'Dán TĐ nhân viên'!$M$1:$M$1500,0)),0))</f>
        <v>0</v>
      </c>
      <c r="V86">
        <f>IF(OR($B$39="",$B$22=""),0,IFERROR(INDEX('Dán TĐ nhân viên'!$N$1:$N$1500,MATCH("*"&amp;$C$22&amp;"|"&amp;$B$39,'Dán TĐ nhân viên'!$M$1:$M$1500,0)),0))</f>
        <v>0</v>
      </c>
    </row>
    <row r="87" spans="1:22" x14ac:dyDescent="0.3">
      <c r="A87">
        <v>2</v>
      </c>
      <c r="B87" t="str">
        <f t="shared" si="12"/>
        <v/>
      </c>
      <c r="C87">
        <f>IF(OR($B$40="",$B$3=""),0,IFERROR(INDEX('Dán TĐ nhân viên'!$N$1:$N$1500,MATCH("*"&amp;$C$3&amp;"|"&amp;$B$40,'Dán TĐ nhân viên'!$M$1:$M$1500,0)),0))</f>
        <v>0</v>
      </c>
      <c r="D87">
        <f>IF(OR($B$40="",$B$4=""),0,IFERROR(INDEX('Dán TĐ nhân viên'!$N$1:$N$1500,MATCH("*"&amp;$C$4&amp;"|"&amp;$B$40,'Dán TĐ nhân viên'!$M$1:$M$1500,0)),0))</f>
        <v>0</v>
      </c>
      <c r="E87">
        <f>IF(OR($B$40="",$B$5=""),0,IFERROR(INDEX('Dán TĐ nhân viên'!$N$1:$N$1500,MATCH("*"&amp;$C$5&amp;"|"&amp;$B$40,'Dán TĐ nhân viên'!$M$1:$M$1500,0)),0))</f>
        <v>0</v>
      </c>
      <c r="F87">
        <f>IF(OR($B$40="",$B$6=""),0,IFERROR(INDEX('Dán TĐ nhân viên'!$N$1:$N$1500,MATCH("*"&amp;$C$6&amp;"|"&amp;$B$40,'Dán TĐ nhân viên'!$M$1:$M$1500,0)),0))</f>
        <v>0</v>
      </c>
      <c r="G87">
        <f>IF(OR($B$40="",$B$7=""),0,IFERROR(INDEX('Dán TĐ nhân viên'!$N$1:$N$1500,MATCH("*"&amp;$C$7&amp;"|"&amp;$B$40,'Dán TĐ nhân viên'!$M$1:$M$1500,0)),0))</f>
        <v>0</v>
      </c>
      <c r="H87">
        <f>IF(OR($B$40="",$B$8=""),0,IFERROR(INDEX('Dán TĐ nhân viên'!$N$1:$N$1500,MATCH("*"&amp;$C$8&amp;"|"&amp;$B$40,'Dán TĐ nhân viên'!$M$1:$M$1500,0)),0))</f>
        <v>0</v>
      </c>
      <c r="I87">
        <f>IF(OR($B$40="",$B$9=""),0,IFERROR(INDEX('Dán TĐ nhân viên'!$N$1:$N$1500,MATCH("*"&amp;$C$9&amp;"|"&amp;$B$40,'Dán TĐ nhân viên'!$M$1:$M$1500,0)),0))</f>
        <v>0</v>
      </c>
      <c r="J87">
        <f>IF(OR($B$40="",$B$10=""),0,IFERROR(INDEX('Dán TĐ nhân viên'!$N$1:$N$1500,MATCH("*"&amp;$C$10&amp;"|"&amp;$B$40,'Dán TĐ nhân viên'!$M$1:$M$1500,0)),0))</f>
        <v>0</v>
      </c>
      <c r="K87">
        <f>IF(OR($B$40="",$B$11=""),0,IFERROR(INDEX('Dán TĐ nhân viên'!$N$1:$N$1500,MATCH("*"&amp;$C$11&amp;"|"&amp;$B$40,'Dán TĐ nhân viên'!$M$1:$M$1500,0)),0))</f>
        <v>0</v>
      </c>
      <c r="L87">
        <f>IF(OR($B$40="",$B$12=""),0,IFERROR(INDEX('Dán TĐ nhân viên'!$N$1:$N$1500,MATCH("*"&amp;$C$12&amp;"|"&amp;$B$40,'Dán TĐ nhân viên'!$M$1:$M$1500,0)),0))</f>
        <v>0</v>
      </c>
      <c r="M87">
        <f>IF(OR($B$40="",$B$13=""),0,IFERROR(INDEX('Dán TĐ nhân viên'!$N$1:$N$1500,MATCH("*"&amp;$C$13&amp;"|"&amp;$B$40,'Dán TĐ nhân viên'!$M$1:$M$1500,0)),0))</f>
        <v>0</v>
      </c>
      <c r="N87">
        <f>IF(OR($B$40="",$B$14=""),0,IFERROR(INDEX('Dán TĐ nhân viên'!$N$1:$N$1500,MATCH("*"&amp;$C$14&amp;"|"&amp;$B$40,'Dán TĐ nhân viên'!$M$1:$M$1500,0)),0))</f>
        <v>0</v>
      </c>
      <c r="O87">
        <f>IF(OR($B$40="",$B$15=""),0,IFERROR(INDEX('Dán TĐ nhân viên'!$N$1:$N$1500,MATCH("*"&amp;$C$15&amp;"|"&amp;$B$40,'Dán TĐ nhân viên'!$M$1:$M$1500,0)),0))</f>
        <v>0</v>
      </c>
      <c r="P87">
        <f>IF(OR($B$40="",$B$16=""),0,IFERROR(INDEX('Dán TĐ nhân viên'!$N$1:$N$1500,MATCH("*"&amp;$C$16&amp;"|"&amp;$B$40,'Dán TĐ nhân viên'!$M$1:$M$1500,0)),0))</f>
        <v>0</v>
      </c>
      <c r="Q87">
        <f>IF(OR($B$40="",$B$17=""),0,IFERROR(INDEX('Dán TĐ nhân viên'!$N$1:$N$1500,MATCH("*"&amp;$C$17&amp;"|"&amp;$B$40,'Dán TĐ nhân viên'!$M$1:$M$1500,0)),0))</f>
        <v>0</v>
      </c>
      <c r="R87">
        <f>IF(OR($B$40="",$B$18=""),0,IFERROR(INDEX('Dán TĐ nhân viên'!$N$1:$N$1500,MATCH("*"&amp;$C$18&amp;"|"&amp;$B$40,'Dán TĐ nhân viên'!$M$1:$M$1500,0)),0))</f>
        <v>0</v>
      </c>
      <c r="S87">
        <f>IF(OR($B$40="",$B$19=""),0,IFERROR(INDEX('Dán TĐ nhân viên'!$N$1:$N$1500,MATCH("*"&amp;$C$19&amp;"|"&amp;$B$40,'Dán TĐ nhân viên'!$M$1:$M$1500,0)),0))</f>
        <v>0</v>
      </c>
      <c r="T87">
        <f>IF(OR($B$40="",$B$20=""),0,IFERROR(INDEX('Dán TĐ nhân viên'!$N$1:$N$1500,MATCH("*"&amp;$C$20&amp;"|"&amp;$B$40,'Dán TĐ nhân viên'!$M$1:$M$1500,0)),0))</f>
        <v>0</v>
      </c>
      <c r="U87">
        <f>IF(OR($B$40="",$B$21=""),0,IFERROR(INDEX('Dán TĐ nhân viên'!$N$1:$N$1500,MATCH("*"&amp;$C$21&amp;"|"&amp;$B$40,'Dán TĐ nhân viên'!$M$1:$M$1500,0)),0))</f>
        <v>0</v>
      </c>
      <c r="V87">
        <f>IF(OR($B$40="",$B$22=""),0,IFERROR(INDEX('Dán TĐ nhân viên'!$N$1:$N$1500,MATCH("*"&amp;$C$22&amp;"|"&amp;$B$40,'Dán TĐ nhân viên'!$M$1:$M$1500,0)),0))</f>
        <v>0</v>
      </c>
    </row>
    <row r="88" spans="1:22" x14ac:dyDescent="0.3">
      <c r="A88">
        <v>3</v>
      </c>
      <c r="B88" t="str">
        <f t="shared" si="12"/>
        <v/>
      </c>
      <c r="C88">
        <f>IF(OR($B$41="",$B$3=""),0,IFERROR(INDEX('Dán TĐ nhân viên'!$N$1:$N$1500,MATCH("*"&amp;$C$3&amp;"|"&amp;$B$41,'Dán TĐ nhân viên'!$M$1:$M$1500,0)),0))</f>
        <v>0</v>
      </c>
      <c r="D88">
        <f>IF(OR($B$41="",$B$4=""),0,IFERROR(INDEX('Dán TĐ nhân viên'!$N$1:$N$1500,MATCH("*"&amp;$C$4&amp;"|"&amp;$B$41,'Dán TĐ nhân viên'!$M$1:$M$1500,0)),0))</f>
        <v>0</v>
      </c>
      <c r="E88">
        <f>IF(OR($B$41="",$B$5=""),0,IFERROR(INDEX('Dán TĐ nhân viên'!$N$1:$N$1500,MATCH("*"&amp;$C$5&amp;"|"&amp;$B$41,'Dán TĐ nhân viên'!$M$1:$M$1500,0)),0))</f>
        <v>0</v>
      </c>
      <c r="F88">
        <f>IF(OR($B$41="",$B$6=""),0,IFERROR(INDEX('Dán TĐ nhân viên'!$N$1:$N$1500,MATCH("*"&amp;$C$6&amp;"|"&amp;$B$41,'Dán TĐ nhân viên'!$M$1:$M$1500,0)),0))</f>
        <v>0</v>
      </c>
      <c r="G88">
        <f>IF(OR($B$41="",$B$7=""),0,IFERROR(INDEX('Dán TĐ nhân viên'!$N$1:$N$1500,MATCH("*"&amp;$C$7&amp;"|"&amp;$B$41,'Dán TĐ nhân viên'!$M$1:$M$1500,0)),0))</f>
        <v>0</v>
      </c>
      <c r="H88">
        <f>IF(OR($B$41="",$B$8=""),0,IFERROR(INDEX('Dán TĐ nhân viên'!$N$1:$N$1500,MATCH("*"&amp;$C$8&amp;"|"&amp;$B$41,'Dán TĐ nhân viên'!$M$1:$M$1500,0)),0))</f>
        <v>0</v>
      </c>
      <c r="I88">
        <f>IF(OR($B$41="",$B$9=""),0,IFERROR(INDEX('Dán TĐ nhân viên'!$N$1:$N$1500,MATCH("*"&amp;$C$9&amp;"|"&amp;$B$41,'Dán TĐ nhân viên'!$M$1:$M$1500,0)),0))</f>
        <v>0</v>
      </c>
      <c r="J88">
        <f>IF(OR($B$41="",$B$10=""),0,IFERROR(INDEX('Dán TĐ nhân viên'!$N$1:$N$1500,MATCH("*"&amp;$C$10&amp;"|"&amp;$B$41,'Dán TĐ nhân viên'!$M$1:$M$1500,0)),0))</f>
        <v>0</v>
      </c>
      <c r="K88">
        <f>IF(OR($B$41="",$B$11=""),0,IFERROR(INDEX('Dán TĐ nhân viên'!$N$1:$N$1500,MATCH("*"&amp;$C$11&amp;"|"&amp;$B$41,'Dán TĐ nhân viên'!$M$1:$M$1500,0)),0))</f>
        <v>0</v>
      </c>
      <c r="L88">
        <f>IF(OR($B$41="",$B$12=""),0,IFERROR(INDEX('Dán TĐ nhân viên'!$N$1:$N$1500,MATCH("*"&amp;$C$12&amp;"|"&amp;$B$41,'Dán TĐ nhân viên'!$M$1:$M$1500,0)),0))</f>
        <v>0</v>
      </c>
      <c r="M88">
        <f>IF(OR($B$41="",$B$13=""),0,IFERROR(INDEX('Dán TĐ nhân viên'!$N$1:$N$1500,MATCH("*"&amp;$C$13&amp;"|"&amp;$B$41,'Dán TĐ nhân viên'!$M$1:$M$1500,0)),0))</f>
        <v>0</v>
      </c>
      <c r="N88">
        <f>IF(OR($B$41="",$B$14=""),0,IFERROR(INDEX('Dán TĐ nhân viên'!$N$1:$N$1500,MATCH("*"&amp;$C$14&amp;"|"&amp;$B$41,'Dán TĐ nhân viên'!$M$1:$M$1500,0)),0))</f>
        <v>0</v>
      </c>
      <c r="O88">
        <f>IF(OR($B$41="",$B$15=""),0,IFERROR(INDEX('Dán TĐ nhân viên'!$N$1:$N$1500,MATCH("*"&amp;$C$15&amp;"|"&amp;$B$41,'Dán TĐ nhân viên'!$M$1:$M$1500,0)),0))</f>
        <v>0</v>
      </c>
      <c r="P88">
        <f>IF(OR($B$41="",$B$16=""),0,IFERROR(INDEX('Dán TĐ nhân viên'!$N$1:$N$1500,MATCH("*"&amp;$C$16&amp;"|"&amp;$B$41,'Dán TĐ nhân viên'!$M$1:$M$1500,0)),0))</f>
        <v>0</v>
      </c>
      <c r="Q88">
        <f>IF(OR($B$41="",$B$17=""),0,IFERROR(INDEX('Dán TĐ nhân viên'!$N$1:$N$1500,MATCH("*"&amp;$C$17&amp;"|"&amp;$B$41,'Dán TĐ nhân viên'!$M$1:$M$1500,0)),0))</f>
        <v>0</v>
      </c>
      <c r="R88">
        <f>IF(OR($B$41="",$B$18=""),0,IFERROR(INDEX('Dán TĐ nhân viên'!$N$1:$N$1500,MATCH("*"&amp;$C$18&amp;"|"&amp;$B$41,'Dán TĐ nhân viên'!$M$1:$M$1500,0)),0))</f>
        <v>0</v>
      </c>
      <c r="S88">
        <f>IF(OR($B$41="",$B$19=""),0,IFERROR(INDEX('Dán TĐ nhân viên'!$N$1:$N$1500,MATCH("*"&amp;$C$19&amp;"|"&amp;$B$41,'Dán TĐ nhân viên'!$M$1:$M$1500,0)),0))</f>
        <v>0</v>
      </c>
      <c r="T88">
        <f>IF(OR($B$41="",$B$20=""),0,IFERROR(INDEX('Dán TĐ nhân viên'!$N$1:$N$1500,MATCH("*"&amp;$C$20&amp;"|"&amp;$B$41,'Dán TĐ nhân viên'!$M$1:$M$1500,0)),0))</f>
        <v>0</v>
      </c>
      <c r="U88">
        <f>IF(OR($B$41="",$B$21=""),0,IFERROR(INDEX('Dán TĐ nhân viên'!$N$1:$N$1500,MATCH("*"&amp;$C$21&amp;"|"&amp;$B$41,'Dán TĐ nhân viên'!$M$1:$M$1500,0)),0))</f>
        <v>0</v>
      </c>
      <c r="V88">
        <f>IF(OR($B$41="",$B$22=""),0,IFERROR(INDEX('Dán TĐ nhân viên'!$N$1:$N$1500,MATCH("*"&amp;$C$22&amp;"|"&amp;$B$41,'Dán TĐ nhân viên'!$M$1:$M$1500,0)),0))</f>
        <v>0</v>
      </c>
    </row>
    <row r="89" spans="1:22" x14ac:dyDescent="0.3">
      <c r="A89">
        <v>4</v>
      </c>
      <c r="B89" t="str">
        <f t="shared" si="12"/>
        <v/>
      </c>
      <c r="C89">
        <f>IF(OR($B$42="",$B$3=""),0,IFERROR(INDEX('Dán TĐ nhân viên'!$N$1:$N$1500,MATCH("*"&amp;$C$3&amp;"|"&amp;$B$42,'Dán TĐ nhân viên'!$M$1:$M$1500,0)),0))</f>
        <v>0</v>
      </c>
      <c r="D89">
        <f>IF(OR($B$42="",$B$4=""),0,IFERROR(INDEX('Dán TĐ nhân viên'!$N$1:$N$1500,MATCH("*"&amp;$C$4&amp;"|"&amp;$B$42,'Dán TĐ nhân viên'!$M$1:$M$1500,0)),0))</f>
        <v>0</v>
      </c>
      <c r="E89">
        <f>IF(OR($B$42="",$B$5=""),0,IFERROR(INDEX('Dán TĐ nhân viên'!$N$1:$N$1500,MATCH("*"&amp;$C$5&amp;"|"&amp;$B$42,'Dán TĐ nhân viên'!$M$1:$M$1500,0)),0))</f>
        <v>0</v>
      </c>
      <c r="F89">
        <f>IF(OR($B$42="",$B$6=""),0,IFERROR(INDEX('Dán TĐ nhân viên'!$N$1:$N$1500,MATCH("*"&amp;$C$6&amp;"|"&amp;$B$42,'Dán TĐ nhân viên'!$M$1:$M$1500,0)),0))</f>
        <v>0</v>
      </c>
      <c r="G89">
        <f>IF(OR($B$42="",$B$7=""),0,IFERROR(INDEX('Dán TĐ nhân viên'!$N$1:$N$1500,MATCH("*"&amp;$C$7&amp;"|"&amp;$B$42,'Dán TĐ nhân viên'!$M$1:$M$1500,0)),0))</f>
        <v>0</v>
      </c>
      <c r="H89">
        <f>IF(OR($B$42="",$B$8=""),0,IFERROR(INDEX('Dán TĐ nhân viên'!$N$1:$N$1500,MATCH("*"&amp;$C$8&amp;"|"&amp;$B$42,'Dán TĐ nhân viên'!$M$1:$M$1500,0)),0))</f>
        <v>0</v>
      </c>
      <c r="I89">
        <f>IF(OR($B$42="",$B$9=""),0,IFERROR(INDEX('Dán TĐ nhân viên'!$N$1:$N$1500,MATCH("*"&amp;$C$9&amp;"|"&amp;$B$42,'Dán TĐ nhân viên'!$M$1:$M$1500,0)),0))</f>
        <v>0</v>
      </c>
      <c r="J89">
        <f>IF(OR($B$42="",$B$10=""),0,IFERROR(INDEX('Dán TĐ nhân viên'!$N$1:$N$1500,MATCH("*"&amp;$C$10&amp;"|"&amp;$B$42,'Dán TĐ nhân viên'!$M$1:$M$1500,0)),0))</f>
        <v>0</v>
      </c>
      <c r="K89">
        <f>IF(OR($B$42="",$B$11=""),0,IFERROR(INDEX('Dán TĐ nhân viên'!$N$1:$N$1500,MATCH("*"&amp;$C$11&amp;"|"&amp;$B$42,'Dán TĐ nhân viên'!$M$1:$M$1500,0)),0))</f>
        <v>0</v>
      </c>
      <c r="L89">
        <f>IF(OR($B$42="",$B$12=""),0,IFERROR(INDEX('Dán TĐ nhân viên'!$N$1:$N$1500,MATCH("*"&amp;$C$12&amp;"|"&amp;$B$42,'Dán TĐ nhân viên'!$M$1:$M$1500,0)),0))</f>
        <v>0</v>
      </c>
      <c r="M89">
        <f>IF(OR($B$42="",$B$13=""),0,IFERROR(INDEX('Dán TĐ nhân viên'!$N$1:$N$1500,MATCH("*"&amp;$C$13&amp;"|"&amp;$B$42,'Dán TĐ nhân viên'!$M$1:$M$1500,0)),0))</f>
        <v>0</v>
      </c>
      <c r="N89">
        <f>IF(OR($B$42="",$B$14=""),0,IFERROR(INDEX('Dán TĐ nhân viên'!$N$1:$N$1500,MATCH("*"&amp;$C$14&amp;"|"&amp;$B$42,'Dán TĐ nhân viên'!$M$1:$M$1500,0)),0))</f>
        <v>0</v>
      </c>
      <c r="O89">
        <f>IF(OR($B$42="",$B$15=""),0,IFERROR(INDEX('Dán TĐ nhân viên'!$N$1:$N$1500,MATCH("*"&amp;$C$15&amp;"|"&amp;$B$42,'Dán TĐ nhân viên'!$M$1:$M$1500,0)),0))</f>
        <v>0</v>
      </c>
      <c r="P89">
        <f>IF(OR($B$42="",$B$16=""),0,IFERROR(INDEX('Dán TĐ nhân viên'!$N$1:$N$1500,MATCH("*"&amp;$C$16&amp;"|"&amp;$B$42,'Dán TĐ nhân viên'!$M$1:$M$1500,0)),0))</f>
        <v>0</v>
      </c>
      <c r="Q89">
        <f>IF(OR($B$42="",$B$17=""),0,IFERROR(INDEX('Dán TĐ nhân viên'!$N$1:$N$1500,MATCH("*"&amp;$C$17&amp;"|"&amp;$B$42,'Dán TĐ nhân viên'!$M$1:$M$1500,0)),0))</f>
        <v>0</v>
      </c>
      <c r="R89">
        <f>IF(OR($B$42="",$B$18=""),0,IFERROR(INDEX('Dán TĐ nhân viên'!$N$1:$N$1500,MATCH("*"&amp;$C$18&amp;"|"&amp;$B$42,'Dán TĐ nhân viên'!$M$1:$M$1500,0)),0))</f>
        <v>0</v>
      </c>
      <c r="S89">
        <f>IF(OR($B$42="",$B$19=""),0,IFERROR(INDEX('Dán TĐ nhân viên'!$N$1:$N$1500,MATCH("*"&amp;$C$19&amp;"|"&amp;$B$42,'Dán TĐ nhân viên'!$M$1:$M$1500,0)),0))</f>
        <v>0</v>
      </c>
      <c r="T89">
        <f>IF(OR($B$42="",$B$20=""),0,IFERROR(INDEX('Dán TĐ nhân viên'!$N$1:$N$1500,MATCH("*"&amp;$C$20&amp;"|"&amp;$B$42,'Dán TĐ nhân viên'!$M$1:$M$1500,0)),0))</f>
        <v>0</v>
      </c>
      <c r="U89">
        <f>IF(OR($B$42="",$B$21=""),0,IFERROR(INDEX('Dán TĐ nhân viên'!$N$1:$N$1500,MATCH("*"&amp;$C$21&amp;"|"&amp;$B$42,'Dán TĐ nhân viên'!$M$1:$M$1500,0)),0))</f>
        <v>0</v>
      </c>
      <c r="V89">
        <f>IF(OR($B$42="",$B$22=""),0,IFERROR(INDEX('Dán TĐ nhân viên'!$N$1:$N$1500,MATCH("*"&amp;$C$22&amp;"|"&amp;$B$42,'Dán TĐ nhân viên'!$M$1:$M$1500,0)),0))</f>
        <v>0</v>
      </c>
    </row>
    <row r="90" spans="1:22" x14ac:dyDescent="0.3">
      <c r="A90">
        <v>5</v>
      </c>
      <c r="B90" t="str">
        <f t="shared" si="12"/>
        <v/>
      </c>
      <c r="C90">
        <f>IF(OR($B$43="",$B$3=""),0,IFERROR(INDEX('Dán TĐ nhân viên'!$N$1:$N$1500,MATCH("*"&amp;$C$3&amp;"|"&amp;$B$43,'Dán TĐ nhân viên'!$M$1:$M$1500,0)),0))</f>
        <v>0</v>
      </c>
      <c r="D90">
        <f>IF(OR($B$43="",$B$4=""),0,IFERROR(INDEX('Dán TĐ nhân viên'!$N$1:$N$1500,MATCH("*"&amp;$C$4&amp;"|"&amp;$B$43,'Dán TĐ nhân viên'!$M$1:$M$1500,0)),0))</f>
        <v>0</v>
      </c>
      <c r="E90">
        <f>IF(OR($B$43="",$B$5=""),0,IFERROR(INDEX('Dán TĐ nhân viên'!$N$1:$N$1500,MATCH("*"&amp;$C$5&amp;"|"&amp;$B$43,'Dán TĐ nhân viên'!$M$1:$M$1500,0)),0))</f>
        <v>0</v>
      </c>
      <c r="F90">
        <f>IF(OR($B$43="",$B$6=""),0,IFERROR(INDEX('Dán TĐ nhân viên'!$N$1:$N$1500,MATCH("*"&amp;$C$6&amp;"|"&amp;$B$43,'Dán TĐ nhân viên'!$M$1:$M$1500,0)),0))</f>
        <v>0</v>
      </c>
      <c r="G90">
        <f>IF(OR($B$43="",$B$7=""),0,IFERROR(INDEX('Dán TĐ nhân viên'!$N$1:$N$1500,MATCH("*"&amp;$C$7&amp;"|"&amp;$B$43,'Dán TĐ nhân viên'!$M$1:$M$1500,0)),0))</f>
        <v>0</v>
      </c>
      <c r="H90">
        <f>IF(OR($B$43="",$B$8=""),0,IFERROR(INDEX('Dán TĐ nhân viên'!$N$1:$N$1500,MATCH("*"&amp;$C$8&amp;"|"&amp;$B$43,'Dán TĐ nhân viên'!$M$1:$M$1500,0)),0))</f>
        <v>0</v>
      </c>
      <c r="I90">
        <f>IF(OR($B$43="",$B$9=""),0,IFERROR(INDEX('Dán TĐ nhân viên'!$N$1:$N$1500,MATCH("*"&amp;$C$9&amp;"|"&amp;$B$43,'Dán TĐ nhân viên'!$M$1:$M$1500,0)),0))</f>
        <v>0</v>
      </c>
      <c r="J90">
        <f>IF(OR($B$43="",$B$10=""),0,IFERROR(INDEX('Dán TĐ nhân viên'!$N$1:$N$1500,MATCH("*"&amp;$C$10&amp;"|"&amp;$B$43,'Dán TĐ nhân viên'!$M$1:$M$1500,0)),0))</f>
        <v>0</v>
      </c>
      <c r="K90">
        <f>IF(OR($B$43="",$B$11=""),0,IFERROR(INDEX('Dán TĐ nhân viên'!$N$1:$N$1500,MATCH("*"&amp;$C$11&amp;"|"&amp;$B$43,'Dán TĐ nhân viên'!$M$1:$M$1500,0)),0))</f>
        <v>0</v>
      </c>
      <c r="L90">
        <f>IF(OR($B$43="",$B$12=""),0,IFERROR(INDEX('Dán TĐ nhân viên'!$N$1:$N$1500,MATCH("*"&amp;$C$12&amp;"|"&amp;$B$43,'Dán TĐ nhân viên'!$M$1:$M$1500,0)),0))</f>
        <v>0</v>
      </c>
      <c r="M90">
        <f>IF(OR($B$43="",$B$13=""),0,IFERROR(INDEX('Dán TĐ nhân viên'!$N$1:$N$1500,MATCH("*"&amp;$C$13&amp;"|"&amp;$B$43,'Dán TĐ nhân viên'!$M$1:$M$1500,0)),0))</f>
        <v>0</v>
      </c>
      <c r="N90">
        <f>IF(OR($B$43="",$B$14=""),0,IFERROR(INDEX('Dán TĐ nhân viên'!$N$1:$N$1500,MATCH("*"&amp;$C$14&amp;"|"&amp;$B$43,'Dán TĐ nhân viên'!$M$1:$M$1500,0)),0))</f>
        <v>0</v>
      </c>
      <c r="O90">
        <f>IF(OR($B$43="",$B$15=""),0,IFERROR(INDEX('Dán TĐ nhân viên'!$N$1:$N$1500,MATCH("*"&amp;$C$15&amp;"|"&amp;$B$43,'Dán TĐ nhân viên'!$M$1:$M$1500,0)),0))</f>
        <v>0</v>
      </c>
      <c r="P90">
        <f>IF(OR($B$43="",$B$16=""),0,IFERROR(INDEX('Dán TĐ nhân viên'!$N$1:$N$1500,MATCH("*"&amp;$C$16&amp;"|"&amp;$B$43,'Dán TĐ nhân viên'!$M$1:$M$1500,0)),0))</f>
        <v>0</v>
      </c>
      <c r="Q90">
        <f>IF(OR($B$43="",$B$17=""),0,IFERROR(INDEX('Dán TĐ nhân viên'!$N$1:$N$1500,MATCH("*"&amp;$C$17&amp;"|"&amp;$B$43,'Dán TĐ nhân viên'!$M$1:$M$1500,0)),0))</f>
        <v>0</v>
      </c>
      <c r="R90">
        <f>IF(OR($B$43="",$B$18=""),0,IFERROR(INDEX('Dán TĐ nhân viên'!$N$1:$N$1500,MATCH("*"&amp;$C$18&amp;"|"&amp;$B$43,'Dán TĐ nhân viên'!$M$1:$M$1500,0)),0))</f>
        <v>0</v>
      </c>
      <c r="S90">
        <f>IF(OR($B$43="",$B$19=""),0,IFERROR(INDEX('Dán TĐ nhân viên'!$N$1:$N$1500,MATCH("*"&amp;$C$19&amp;"|"&amp;$B$43,'Dán TĐ nhân viên'!$M$1:$M$1500,0)),0))</f>
        <v>0</v>
      </c>
      <c r="T90">
        <f>IF(OR($B$43="",$B$20=""),0,IFERROR(INDEX('Dán TĐ nhân viên'!$N$1:$N$1500,MATCH("*"&amp;$C$20&amp;"|"&amp;$B$43,'Dán TĐ nhân viên'!$M$1:$M$1500,0)),0))</f>
        <v>0</v>
      </c>
      <c r="U90">
        <f>IF(OR($B$43="",$B$21=""),0,IFERROR(INDEX('Dán TĐ nhân viên'!$N$1:$N$1500,MATCH("*"&amp;$C$21&amp;"|"&amp;$B$43,'Dán TĐ nhân viên'!$M$1:$M$1500,0)),0))</f>
        <v>0</v>
      </c>
      <c r="V90">
        <f>IF(OR($B$43="",$B$22=""),0,IFERROR(INDEX('Dán TĐ nhân viên'!$N$1:$N$1500,MATCH("*"&amp;$C$22&amp;"|"&amp;$B$43,'Dán TĐ nhân viên'!$M$1:$M$1500,0)),0))</f>
        <v>0</v>
      </c>
    </row>
    <row r="91" spans="1:22" x14ac:dyDescent="0.3">
      <c r="A91">
        <v>6</v>
      </c>
      <c r="B91" t="str">
        <f t="shared" si="12"/>
        <v/>
      </c>
      <c r="C91">
        <f>IF(OR($B$44="",$B$3=""),0,IFERROR(INDEX('Dán TĐ nhân viên'!$N$1:$N$1500,MATCH("*"&amp;$C$3&amp;"|"&amp;$B$44,'Dán TĐ nhân viên'!$M$1:$M$1500,0)),0))</f>
        <v>0</v>
      </c>
      <c r="D91">
        <f>IF(OR($B$44="",$B$4=""),0,IFERROR(INDEX('Dán TĐ nhân viên'!$N$1:$N$1500,MATCH("*"&amp;$C$4&amp;"|"&amp;$B$44,'Dán TĐ nhân viên'!$M$1:$M$1500,0)),0))</f>
        <v>0</v>
      </c>
      <c r="E91">
        <f>IF(OR($B$44="",$B$5=""),0,IFERROR(INDEX('Dán TĐ nhân viên'!$N$1:$N$1500,MATCH("*"&amp;$C$5&amp;"|"&amp;$B$44,'Dán TĐ nhân viên'!$M$1:$M$1500,0)),0))</f>
        <v>0</v>
      </c>
      <c r="F91">
        <f>IF(OR($B$44="",$B$6=""),0,IFERROR(INDEX('Dán TĐ nhân viên'!$N$1:$N$1500,MATCH("*"&amp;$C$6&amp;"|"&amp;$B$44,'Dán TĐ nhân viên'!$M$1:$M$1500,0)),0))</f>
        <v>0</v>
      </c>
      <c r="G91">
        <f>IF(OR($B$44="",$B$7=""),0,IFERROR(INDEX('Dán TĐ nhân viên'!$N$1:$N$1500,MATCH("*"&amp;$C$7&amp;"|"&amp;$B$44,'Dán TĐ nhân viên'!$M$1:$M$1500,0)),0))</f>
        <v>0</v>
      </c>
      <c r="H91">
        <f>IF(OR($B$44="",$B$8=""),0,IFERROR(INDEX('Dán TĐ nhân viên'!$N$1:$N$1500,MATCH("*"&amp;$C$8&amp;"|"&amp;$B$44,'Dán TĐ nhân viên'!$M$1:$M$1500,0)),0))</f>
        <v>0</v>
      </c>
      <c r="I91">
        <f>IF(OR($B$44="",$B$9=""),0,IFERROR(INDEX('Dán TĐ nhân viên'!$N$1:$N$1500,MATCH("*"&amp;$C$9&amp;"|"&amp;$B$44,'Dán TĐ nhân viên'!$M$1:$M$1500,0)),0))</f>
        <v>0</v>
      </c>
      <c r="J91">
        <f>IF(OR($B$44="",$B$10=""),0,IFERROR(INDEX('Dán TĐ nhân viên'!$N$1:$N$1500,MATCH("*"&amp;$C$10&amp;"|"&amp;$B$44,'Dán TĐ nhân viên'!$M$1:$M$1500,0)),0))</f>
        <v>0</v>
      </c>
      <c r="K91">
        <f>IF(OR($B$44="",$B$11=""),0,IFERROR(INDEX('Dán TĐ nhân viên'!$N$1:$N$1500,MATCH("*"&amp;$C$11&amp;"|"&amp;$B$44,'Dán TĐ nhân viên'!$M$1:$M$1500,0)),0))</f>
        <v>0</v>
      </c>
      <c r="L91">
        <f>IF(OR($B$44="",$B$12=""),0,IFERROR(INDEX('Dán TĐ nhân viên'!$N$1:$N$1500,MATCH("*"&amp;$C$12&amp;"|"&amp;$B$44,'Dán TĐ nhân viên'!$M$1:$M$1500,0)),0))</f>
        <v>0</v>
      </c>
      <c r="M91">
        <f>IF(OR($B$44="",$B$13=""),0,IFERROR(INDEX('Dán TĐ nhân viên'!$N$1:$N$1500,MATCH("*"&amp;$C$13&amp;"|"&amp;$B$44,'Dán TĐ nhân viên'!$M$1:$M$1500,0)),0))</f>
        <v>0</v>
      </c>
      <c r="N91">
        <f>IF(OR($B$44="",$B$14=""),0,IFERROR(INDEX('Dán TĐ nhân viên'!$N$1:$N$1500,MATCH("*"&amp;$C$14&amp;"|"&amp;$B$44,'Dán TĐ nhân viên'!$M$1:$M$1500,0)),0))</f>
        <v>0</v>
      </c>
      <c r="O91">
        <f>IF(OR($B$44="",$B$15=""),0,IFERROR(INDEX('Dán TĐ nhân viên'!$N$1:$N$1500,MATCH("*"&amp;$C$15&amp;"|"&amp;$B$44,'Dán TĐ nhân viên'!$M$1:$M$1500,0)),0))</f>
        <v>0</v>
      </c>
      <c r="P91">
        <f>IF(OR($B$44="",$B$16=""),0,IFERROR(INDEX('Dán TĐ nhân viên'!$N$1:$N$1500,MATCH("*"&amp;$C$16&amp;"|"&amp;$B$44,'Dán TĐ nhân viên'!$M$1:$M$1500,0)),0))</f>
        <v>0</v>
      </c>
      <c r="Q91">
        <f>IF(OR($B$44="",$B$17=""),0,IFERROR(INDEX('Dán TĐ nhân viên'!$N$1:$N$1500,MATCH("*"&amp;$C$17&amp;"|"&amp;$B$44,'Dán TĐ nhân viên'!$M$1:$M$1500,0)),0))</f>
        <v>0</v>
      </c>
      <c r="R91">
        <f>IF(OR($B$44="",$B$18=""),0,IFERROR(INDEX('Dán TĐ nhân viên'!$N$1:$N$1500,MATCH("*"&amp;$C$18&amp;"|"&amp;$B$44,'Dán TĐ nhân viên'!$M$1:$M$1500,0)),0))</f>
        <v>0</v>
      </c>
      <c r="S91">
        <f>IF(OR($B$44="",$B$19=""),0,IFERROR(INDEX('Dán TĐ nhân viên'!$N$1:$N$1500,MATCH("*"&amp;$C$19&amp;"|"&amp;$B$44,'Dán TĐ nhân viên'!$M$1:$M$1500,0)),0))</f>
        <v>0</v>
      </c>
      <c r="T91">
        <f>IF(OR($B$44="",$B$20=""),0,IFERROR(INDEX('Dán TĐ nhân viên'!$N$1:$N$1500,MATCH("*"&amp;$C$20&amp;"|"&amp;$B$44,'Dán TĐ nhân viên'!$M$1:$M$1500,0)),0))</f>
        <v>0</v>
      </c>
      <c r="U91">
        <f>IF(OR($B$44="",$B$21=""),0,IFERROR(INDEX('Dán TĐ nhân viên'!$N$1:$N$1500,MATCH("*"&amp;$C$21&amp;"|"&amp;$B$44,'Dán TĐ nhân viên'!$M$1:$M$1500,0)),0))</f>
        <v>0</v>
      </c>
      <c r="V91">
        <f>IF(OR($B$44="",$B$22=""),0,IFERROR(INDEX('Dán TĐ nhân viên'!$N$1:$N$1500,MATCH("*"&amp;$C$22&amp;"|"&amp;$B$44,'Dán TĐ nhân viên'!$M$1:$M$1500,0)),0))</f>
        <v>0</v>
      </c>
    </row>
    <row r="92" spans="1:22" x14ac:dyDescent="0.3">
      <c r="A92">
        <v>7</v>
      </c>
      <c r="B92" t="str">
        <f t="shared" si="12"/>
        <v/>
      </c>
      <c r="C92">
        <f>IF(OR($B$45="",$B$3=""),0,IFERROR(INDEX('Dán TĐ nhân viên'!$N$1:$N$1500,MATCH("*"&amp;$C$3&amp;"|"&amp;$B$45,'Dán TĐ nhân viên'!$M$1:$M$1500,0)),0))</f>
        <v>0</v>
      </c>
      <c r="D92">
        <f>IF(OR($B$45="",$B$4=""),0,IFERROR(INDEX('Dán TĐ nhân viên'!$N$1:$N$1500,MATCH("*"&amp;$C$4&amp;"|"&amp;$B$45,'Dán TĐ nhân viên'!$M$1:$M$1500,0)),0))</f>
        <v>0</v>
      </c>
      <c r="E92">
        <f>IF(OR($B$45="",$B$5=""),0,IFERROR(INDEX('Dán TĐ nhân viên'!$N$1:$N$1500,MATCH("*"&amp;$C$5&amp;"|"&amp;$B$45,'Dán TĐ nhân viên'!$M$1:$M$1500,0)),0))</f>
        <v>0</v>
      </c>
      <c r="F92">
        <f>IF(OR($B$45="",$B$6=""),0,IFERROR(INDEX('Dán TĐ nhân viên'!$N$1:$N$1500,MATCH("*"&amp;$C$6&amp;"|"&amp;$B$45,'Dán TĐ nhân viên'!$M$1:$M$1500,0)),0))</f>
        <v>0</v>
      </c>
      <c r="G92">
        <f>IF(OR($B$45="",$B$7=""),0,IFERROR(INDEX('Dán TĐ nhân viên'!$N$1:$N$1500,MATCH("*"&amp;$C$7&amp;"|"&amp;$B$45,'Dán TĐ nhân viên'!$M$1:$M$1500,0)),0))</f>
        <v>0</v>
      </c>
      <c r="H92">
        <f>IF(OR($B$45="",$B$8=""),0,IFERROR(INDEX('Dán TĐ nhân viên'!$N$1:$N$1500,MATCH("*"&amp;$C$8&amp;"|"&amp;$B$45,'Dán TĐ nhân viên'!$M$1:$M$1500,0)),0))</f>
        <v>0</v>
      </c>
      <c r="I92">
        <f>IF(OR($B$45="",$B$9=""),0,IFERROR(INDEX('Dán TĐ nhân viên'!$N$1:$N$1500,MATCH("*"&amp;$C$9&amp;"|"&amp;$B$45,'Dán TĐ nhân viên'!$M$1:$M$1500,0)),0))</f>
        <v>0</v>
      </c>
      <c r="J92">
        <f>IF(OR($B$45="",$B$10=""),0,IFERROR(INDEX('Dán TĐ nhân viên'!$N$1:$N$1500,MATCH("*"&amp;$C$10&amp;"|"&amp;$B$45,'Dán TĐ nhân viên'!$M$1:$M$1500,0)),0))</f>
        <v>0</v>
      </c>
      <c r="K92">
        <f>IF(OR($B$45="",$B$11=""),0,IFERROR(INDEX('Dán TĐ nhân viên'!$N$1:$N$1500,MATCH("*"&amp;$C$11&amp;"|"&amp;$B$45,'Dán TĐ nhân viên'!$M$1:$M$1500,0)),0))</f>
        <v>0</v>
      </c>
      <c r="L92">
        <f>IF(OR($B$45="",$B$12=""),0,IFERROR(INDEX('Dán TĐ nhân viên'!$N$1:$N$1500,MATCH("*"&amp;$C$12&amp;"|"&amp;$B$45,'Dán TĐ nhân viên'!$M$1:$M$1500,0)),0))</f>
        <v>0</v>
      </c>
      <c r="M92">
        <f>IF(OR($B$45="",$B$13=""),0,IFERROR(INDEX('Dán TĐ nhân viên'!$N$1:$N$1500,MATCH("*"&amp;$C$13&amp;"|"&amp;$B$45,'Dán TĐ nhân viên'!$M$1:$M$1500,0)),0))</f>
        <v>0</v>
      </c>
      <c r="N92">
        <f>IF(OR($B$45="",$B$14=""),0,IFERROR(INDEX('Dán TĐ nhân viên'!$N$1:$N$1500,MATCH("*"&amp;$C$14&amp;"|"&amp;$B$45,'Dán TĐ nhân viên'!$M$1:$M$1500,0)),0))</f>
        <v>0</v>
      </c>
      <c r="O92">
        <f>IF(OR($B$45="",$B$15=""),0,IFERROR(INDEX('Dán TĐ nhân viên'!$N$1:$N$1500,MATCH("*"&amp;$C$15&amp;"|"&amp;$B$45,'Dán TĐ nhân viên'!$M$1:$M$1500,0)),0))</f>
        <v>0</v>
      </c>
      <c r="P92">
        <f>IF(OR($B$45="",$B$16=""),0,IFERROR(INDEX('Dán TĐ nhân viên'!$N$1:$N$1500,MATCH("*"&amp;$C$16&amp;"|"&amp;$B$45,'Dán TĐ nhân viên'!$M$1:$M$1500,0)),0))</f>
        <v>0</v>
      </c>
      <c r="Q92">
        <f>IF(OR($B$45="",$B$17=""),0,IFERROR(INDEX('Dán TĐ nhân viên'!$N$1:$N$1500,MATCH("*"&amp;$C$17&amp;"|"&amp;$B$45,'Dán TĐ nhân viên'!$M$1:$M$1500,0)),0))</f>
        <v>0</v>
      </c>
      <c r="R92">
        <f>IF(OR($B$45="",$B$18=""),0,IFERROR(INDEX('Dán TĐ nhân viên'!$N$1:$N$1500,MATCH("*"&amp;$C$18&amp;"|"&amp;$B$45,'Dán TĐ nhân viên'!$M$1:$M$1500,0)),0))</f>
        <v>0</v>
      </c>
      <c r="S92">
        <f>IF(OR($B$45="",$B$19=""),0,IFERROR(INDEX('Dán TĐ nhân viên'!$N$1:$N$1500,MATCH("*"&amp;$C$19&amp;"|"&amp;$B$45,'Dán TĐ nhân viên'!$M$1:$M$1500,0)),0))</f>
        <v>0</v>
      </c>
      <c r="T92">
        <f>IF(OR($B$45="",$B$20=""),0,IFERROR(INDEX('Dán TĐ nhân viên'!$N$1:$N$1500,MATCH("*"&amp;$C$20&amp;"|"&amp;$B$45,'Dán TĐ nhân viên'!$M$1:$M$1500,0)),0))</f>
        <v>0</v>
      </c>
      <c r="U92">
        <f>IF(OR($B$45="",$B$21=""),0,IFERROR(INDEX('Dán TĐ nhân viên'!$N$1:$N$1500,MATCH("*"&amp;$C$21&amp;"|"&amp;$B$45,'Dán TĐ nhân viên'!$M$1:$M$1500,0)),0))</f>
        <v>0</v>
      </c>
      <c r="V92">
        <f>IF(OR($B$45="",$B$22=""),0,IFERROR(INDEX('Dán TĐ nhân viên'!$N$1:$N$1500,MATCH("*"&amp;$C$22&amp;"|"&amp;$B$45,'Dán TĐ nhân viên'!$M$1:$M$1500,0)),0))</f>
        <v>0</v>
      </c>
    </row>
    <row r="93" spans="1:22" x14ac:dyDescent="0.3">
      <c r="A93">
        <v>8</v>
      </c>
      <c r="B93" t="str">
        <f t="shared" si="12"/>
        <v/>
      </c>
      <c r="C93">
        <f>IF(OR($B$46="",$B$3=""),0,IFERROR(INDEX('Dán TĐ nhân viên'!$N$1:$N$1500,MATCH("*"&amp;$C$3&amp;"|"&amp;$B$46,'Dán TĐ nhân viên'!$M$1:$M$1500,0)),0))</f>
        <v>0</v>
      </c>
      <c r="D93">
        <f>IF(OR($B$46="",$B$4=""),0,IFERROR(INDEX('Dán TĐ nhân viên'!$N$1:$N$1500,MATCH("*"&amp;$C$4&amp;"|"&amp;$B$46,'Dán TĐ nhân viên'!$M$1:$M$1500,0)),0))</f>
        <v>0</v>
      </c>
      <c r="E93">
        <f>IF(OR($B$46="",$B$5=""),0,IFERROR(INDEX('Dán TĐ nhân viên'!$N$1:$N$1500,MATCH("*"&amp;$C$5&amp;"|"&amp;$B$46,'Dán TĐ nhân viên'!$M$1:$M$1500,0)),0))</f>
        <v>0</v>
      </c>
      <c r="F93">
        <f>IF(OR($B$46="",$B$6=""),0,IFERROR(INDEX('Dán TĐ nhân viên'!$N$1:$N$1500,MATCH("*"&amp;$C$6&amp;"|"&amp;$B$46,'Dán TĐ nhân viên'!$M$1:$M$1500,0)),0))</f>
        <v>0</v>
      </c>
      <c r="G93">
        <f>IF(OR($B$46="",$B$7=""),0,IFERROR(INDEX('Dán TĐ nhân viên'!$N$1:$N$1500,MATCH("*"&amp;$C$7&amp;"|"&amp;$B$46,'Dán TĐ nhân viên'!$M$1:$M$1500,0)),0))</f>
        <v>0</v>
      </c>
      <c r="H93">
        <f>IF(OR($B$46="",$B$8=""),0,IFERROR(INDEX('Dán TĐ nhân viên'!$N$1:$N$1500,MATCH("*"&amp;$C$8&amp;"|"&amp;$B$46,'Dán TĐ nhân viên'!$M$1:$M$1500,0)),0))</f>
        <v>0</v>
      </c>
      <c r="I93">
        <f>IF(OR($B$46="",$B$9=""),0,IFERROR(INDEX('Dán TĐ nhân viên'!$N$1:$N$1500,MATCH("*"&amp;$C$9&amp;"|"&amp;$B$46,'Dán TĐ nhân viên'!$M$1:$M$1500,0)),0))</f>
        <v>0</v>
      </c>
      <c r="J93">
        <f>IF(OR($B$46="",$B$10=""),0,IFERROR(INDEX('Dán TĐ nhân viên'!$N$1:$N$1500,MATCH("*"&amp;$C$10&amp;"|"&amp;$B$46,'Dán TĐ nhân viên'!$M$1:$M$1500,0)),0))</f>
        <v>0</v>
      </c>
      <c r="K93">
        <f>IF(OR($B$46="",$B$11=""),0,IFERROR(INDEX('Dán TĐ nhân viên'!$N$1:$N$1500,MATCH("*"&amp;$C$11&amp;"|"&amp;$B$46,'Dán TĐ nhân viên'!$M$1:$M$1500,0)),0))</f>
        <v>0</v>
      </c>
      <c r="L93">
        <f>IF(OR($B$46="",$B$12=""),0,IFERROR(INDEX('Dán TĐ nhân viên'!$N$1:$N$1500,MATCH("*"&amp;$C$12&amp;"|"&amp;$B$46,'Dán TĐ nhân viên'!$M$1:$M$1500,0)),0))</f>
        <v>0</v>
      </c>
      <c r="M93">
        <f>IF(OR($B$46="",$B$13=""),0,IFERROR(INDEX('Dán TĐ nhân viên'!$N$1:$N$1500,MATCH("*"&amp;$C$13&amp;"|"&amp;$B$46,'Dán TĐ nhân viên'!$M$1:$M$1500,0)),0))</f>
        <v>0</v>
      </c>
      <c r="N93">
        <f>IF(OR($B$46="",$B$14=""),0,IFERROR(INDEX('Dán TĐ nhân viên'!$N$1:$N$1500,MATCH("*"&amp;$C$14&amp;"|"&amp;$B$46,'Dán TĐ nhân viên'!$M$1:$M$1500,0)),0))</f>
        <v>0</v>
      </c>
      <c r="O93">
        <f>IF(OR($B$46="",$B$15=""),0,IFERROR(INDEX('Dán TĐ nhân viên'!$N$1:$N$1500,MATCH("*"&amp;$C$15&amp;"|"&amp;$B$46,'Dán TĐ nhân viên'!$M$1:$M$1500,0)),0))</f>
        <v>0</v>
      </c>
      <c r="P93">
        <f>IF(OR($B$46="",$B$16=""),0,IFERROR(INDEX('Dán TĐ nhân viên'!$N$1:$N$1500,MATCH("*"&amp;$C$16&amp;"|"&amp;$B$46,'Dán TĐ nhân viên'!$M$1:$M$1500,0)),0))</f>
        <v>0</v>
      </c>
      <c r="Q93">
        <f>IF(OR($B$46="",$B$17=""),0,IFERROR(INDEX('Dán TĐ nhân viên'!$N$1:$N$1500,MATCH("*"&amp;$C$17&amp;"|"&amp;$B$46,'Dán TĐ nhân viên'!$M$1:$M$1500,0)),0))</f>
        <v>0</v>
      </c>
      <c r="R93">
        <f>IF(OR($B$46="",$B$18=""),0,IFERROR(INDEX('Dán TĐ nhân viên'!$N$1:$N$1500,MATCH("*"&amp;$C$18&amp;"|"&amp;$B$46,'Dán TĐ nhân viên'!$M$1:$M$1500,0)),0))</f>
        <v>0</v>
      </c>
      <c r="S93">
        <f>IF(OR($B$46="",$B$19=""),0,IFERROR(INDEX('Dán TĐ nhân viên'!$N$1:$N$1500,MATCH("*"&amp;$C$19&amp;"|"&amp;$B$46,'Dán TĐ nhân viên'!$M$1:$M$1500,0)),0))</f>
        <v>0</v>
      </c>
      <c r="T93">
        <f>IF(OR($B$46="",$B$20=""),0,IFERROR(INDEX('Dán TĐ nhân viên'!$N$1:$N$1500,MATCH("*"&amp;$C$20&amp;"|"&amp;$B$46,'Dán TĐ nhân viên'!$M$1:$M$1500,0)),0))</f>
        <v>0</v>
      </c>
      <c r="U93">
        <f>IF(OR($B$46="",$B$21=""),0,IFERROR(INDEX('Dán TĐ nhân viên'!$N$1:$N$1500,MATCH("*"&amp;$C$21&amp;"|"&amp;$B$46,'Dán TĐ nhân viên'!$M$1:$M$1500,0)),0))</f>
        <v>0</v>
      </c>
      <c r="V93">
        <f>IF(OR($B$46="",$B$22=""),0,IFERROR(INDEX('Dán TĐ nhân viên'!$N$1:$N$1500,MATCH("*"&amp;$C$22&amp;"|"&amp;$B$46,'Dán TĐ nhân viên'!$M$1:$M$1500,0)),0))</f>
        <v>0</v>
      </c>
    </row>
    <row r="94" spans="1:22" x14ac:dyDescent="0.3">
      <c r="A94">
        <v>9</v>
      </c>
      <c r="B94" t="str">
        <f t="shared" si="12"/>
        <v/>
      </c>
      <c r="C94">
        <f>IF(OR($B$47="",$B$3=""),0,IFERROR(INDEX('Dán TĐ nhân viên'!$N$1:$N$1500,MATCH("*"&amp;$C$3&amp;"|"&amp;$B$47,'Dán TĐ nhân viên'!$M$1:$M$1500,0)),0))</f>
        <v>0</v>
      </c>
      <c r="D94">
        <f>IF(OR($B$47="",$B$4=""),0,IFERROR(INDEX('Dán TĐ nhân viên'!$N$1:$N$1500,MATCH("*"&amp;$C$4&amp;"|"&amp;$B$47,'Dán TĐ nhân viên'!$M$1:$M$1500,0)),0))</f>
        <v>0</v>
      </c>
      <c r="E94">
        <f>IF(OR($B$47="",$B$5=""),0,IFERROR(INDEX('Dán TĐ nhân viên'!$N$1:$N$1500,MATCH("*"&amp;$C$5&amp;"|"&amp;$B$47,'Dán TĐ nhân viên'!$M$1:$M$1500,0)),0))</f>
        <v>0</v>
      </c>
      <c r="F94">
        <f>IF(OR($B$47="",$B$6=""),0,IFERROR(INDEX('Dán TĐ nhân viên'!$N$1:$N$1500,MATCH("*"&amp;$C$6&amp;"|"&amp;$B$47,'Dán TĐ nhân viên'!$M$1:$M$1500,0)),0))</f>
        <v>0</v>
      </c>
      <c r="G94">
        <f>IF(OR($B$47="",$B$7=""),0,IFERROR(INDEX('Dán TĐ nhân viên'!$N$1:$N$1500,MATCH("*"&amp;$C$7&amp;"|"&amp;$B$47,'Dán TĐ nhân viên'!$M$1:$M$1500,0)),0))</f>
        <v>0</v>
      </c>
      <c r="H94">
        <f>IF(OR($B$47="",$B$8=""),0,IFERROR(INDEX('Dán TĐ nhân viên'!$N$1:$N$1500,MATCH("*"&amp;$C$8&amp;"|"&amp;$B$47,'Dán TĐ nhân viên'!$M$1:$M$1500,0)),0))</f>
        <v>0</v>
      </c>
      <c r="I94">
        <f>IF(OR($B$47="",$B$9=""),0,IFERROR(INDEX('Dán TĐ nhân viên'!$N$1:$N$1500,MATCH("*"&amp;$C$9&amp;"|"&amp;$B$47,'Dán TĐ nhân viên'!$M$1:$M$1500,0)),0))</f>
        <v>0</v>
      </c>
      <c r="J94">
        <f>IF(OR($B$47="",$B$10=""),0,IFERROR(INDEX('Dán TĐ nhân viên'!$N$1:$N$1500,MATCH("*"&amp;$C$10&amp;"|"&amp;$B$47,'Dán TĐ nhân viên'!$M$1:$M$1500,0)),0))</f>
        <v>0</v>
      </c>
      <c r="K94">
        <f>IF(OR($B$47="",$B$11=""),0,IFERROR(INDEX('Dán TĐ nhân viên'!$N$1:$N$1500,MATCH("*"&amp;$C$11&amp;"|"&amp;$B$47,'Dán TĐ nhân viên'!$M$1:$M$1500,0)),0))</f>
        <v>0</v>
      </c>
      <c r="L94">
        <f>IF(OR($B$47="",$B$12=""),0,IFERROR(INDEX('Dán TĐ nhân viên'!$N$1:$N$1500,MATCH("*"&amp;$C$12&amp;"|"&amp;$B$47,'Dán TĐ nhân viên'!$M$1:$M$1500,0)),0))</f>
        <v>0</v>
      </c>
      <c r="M94">
        <f>IF(OR($B$47="",$B$13=""),0,IFERROR(INDEX('Dán TĐ nhân viên'!$N$1:$N$1500,MATCH("*"&amp;$C$13&amp;"|"&amp;$B$47,'Dán TĐ nhân viên'!$M$1:$M$1500,0)),0))</f>
        <v>0</v>
      </c>
      <c r="N94">
        <f>IF(OR($B$47="",$B$14=""),0,IFERROR(INDEX('Dán TĐ nhân viên'!$N$1:$N$1500,MATCH("*"&amp;$C$14&amp;"|"&amp;$B$47,'Dán TĐ nhân viên'!$M$1:$M$1500,0)),0))</f>
        <v>0</v>
      </c>
      <c r="O94">
        <f>IF(OR($B$47="",$B$15=""),0,IFERROR(INDEX('Dán TĐ nhân viên'!$N$1:$N$1500,MATCH("*"&amp;$C$15&amp;"|"&amp;$B$47,'Dán TĐ nhân viên'!$M$1:$M$1500,0)),0))</f>
        <v>0</v>
      </c>
      <c r="P94">
        <f>IF(OR($B$47="",$B$16=""),0,IFERROR(INDEX('Dán TĐ nhân viên'!$N$1:$N$1500,MATCH("*"&amp;$C$16&amp;"|"&amp;$B$47,'Dán TĐ nhân viên'!$M$1:$M$1500,0)),0))</f>
        <v>0</v>
      </c>
      <c r="Q94">
        <f>IF(OR($B$47="",$B$17=""),0,IFERROR(INDEX('Dán TĐ nhân viên'!$N$1:$N$1500,MATCH("*"&amp;$C$17&amp;"|"&amp;$B$47,'Dán TĐ nhân viên'!$M$1:$M$1500,0)),0))</f>
        <v>0</v>
      </c>
      <c r="R94">
        <f>IF(OR($B$47="",$B$18=""),0,IFERROR(INDEX('Dán TĐ nhân viên'!$N$1:$N$1500,MATCH("*"&amp;$C$18&amp;"|"&amp;$B$47,'Dán TĐ nhân viên'!$M$1:$M$1500,0)),0))</f>
        <v>0</v>
      </c>
      <c r="S94">
        <f>IF(OR($B$47="",$B$19=""),0,IFERROR(INDEX('Dán TĐ nhân viên'!$N$1:$N$1500,MATCH("*"&amp;$C$19&amp;"|"&amp;$B$47,'Dán TĐ nhân viên'!$M$1:$M$1500,0)),0))</f>
        <v>0</v>
      </c>
      <c r="T94">
        <f>IF(OR($B$47="",$B$20=""),0,IFERROR(INDEX('Dán TĐ nhân viên'!$N$1:$N$1500,MATCH("*"&amp;$C$20&amp;"|"&amp;$B$47,'Dán TĐ nhân viên'!$M$1:$M$1500,0)),0))</f>
        <v>0</v>
      </c>
      <c r="U94">
        <f>IF(OR($B$47="",$B$21=""),0,IFERROR(INDEX('Dán TĐ nhân viên'!$N$1:$N$1500,MATCH("*"&amp;$C$21&amp;"|"&amp;$B$47,'Dán TĐ nhân viên'!$M$1:$M$1500,0)),0))</f>
        <v>0</v>
      </c>
      <c r="V94">
        <f>IF(OR($B$47="",$B$22=""),0,IFERROR(INDEX('Dán TĐ nhân viên'!$N$1:$N$1500,MATCH("*"&amp;$C$22&amp;"|"&amp;$B$47,'Dán TĐ nhân viên'!$M$1:$M$1500,0)),0))</f>
        <v>0</v>
      </c>
    </row>
    <row r="95" spans="1:22" x14ac:dyDescent="0.3">
      <c r="A95">
        <v>10</v>
      </c>
      <c r="B95" t="str">
        <f t="shared" si="12"/>
        <v/>
      </c>
      <c r="C95">
        <f>IF(OR($B$48="",$B$3=""),0,IFERROR(INDEX('Dán TĐ nhân viên'!$N$1:$N$1500,MATCH("*"&amp;$C$3&amp;"|"&amp;$B$48,'Dán TĐ nhân viên'!$M$1:$M$1500,0)),0))</f>
        <v>0</v>
      </c>
      <c r="D95">
        <f>IF(OR($B$48="",$B$4=""),0,IFERROR(INDEX('Dán TĐ nhân viên'!$N$1:$N$1500,MATCH("*"&amp;$C$4&amp;"|"&amp;$B$48,'Dán TĐ nhân viên'!$M$1:$M$1500,0)),0))</f>
        <v>0</v>
      </c>
      <c r="E95">
        <f>IF(OR($B$48="",$B$5=""),0,IFERROR(INDEX('Dán TĐ nhân viên'!$N$1:$N$1500,MATCH("*"&amp;$C$5&amp;"|"&amp;$B$48,'Dán TĐ nhân viên'!$M$1:$M$1500,0)),0))</f>
        <v>0</v>
      </c>
      <c r="F95">
        <f>IF(OR($B$48="",$B$6=""),0,IFERROR(INDEX('Dán TĐ nhân viên'!$N$1:$N$1500,MATCH("*"&amp;$C$6&amp;"|"&amp;$B$48,'Dán TĐ nhân viên'!$M$1:$M$1500,0)),0))</f>
        <v>0</v>
      </c>
      <c r="G95">
        <f>IF(OR($B$48="",$B$7=""),0,IFERROR(INDEX('Dán TĐ nhân viên'!$N$1:$N$1500,MATCH("*"&amp;$C$7&amp;"|"&amp;$B$48,'Dán TĐ nhân viên'!$M$1:$M$1500,0)),0))</f>
        <v>0</v>
      </c>
      <c r="H95">
        <f>IF(OR($B$48="",$B$8=""),0,IFERROR(INDEX('Dán TĐ nhân viên'!$N$1:$N$1500,MATCH("*"&amp;$C$8&amp;"|"&amp;$B$48,'Dán TĐ nhân viên'!$M$1:$M$1500,0)),0))</f>
        <v>0</v>
      </c>
      <c r="I95">
        <f>IF(OR($B$48="",$B$9=""),0,IFERROR(INDEX('Dán TĐ nhân viên'!$N$1:$N$1500,MATCH("*"&amp;$C$9&amp;"|"&amp;$B$48,'Dán TĐ nhân viên'!$M$1:$M$1500,0)),0))</f>
        <v>0</v>
      </c>
      <c r="J95">
        <f>IF(OR($B$48="",$B$10=""),0,IFERROR(INDEX('Dán TĐ nhân viên'!$N$1:$N$1500,MATCH("*"&amp;$C$10&amp;"|"&amp;$B$48,'Dán TĐ nhân viên'!$M$1:$M$1500,0)),0))</f>
        <v>0</v>
      </c>
      <c r="K95">
        <f>IF(OR($B$48="",$B$11=""),0,IFERROR(INDEX('Dán TĐ nhân viên'!$N$1:$N$1500,MATCH("*"&amp;$C$11&amp;"|"&amp;$B$48,'Dán TĐ nhân viên'!$M$1:$M$1500,0)),0))</f>
        <v>0</v>
      </c>
      <c r="L95">
        <f>IF(OR($B$48="",$B$12=""),0,IFERROR(INDEX('Dán TĐ nhân viên'!$N$1:$N$1500,MATCH("*"&amp;$C$12&amp;"|"&amp;$B$48,'Dán TĐ nhân viên'!$M$1:$M$1500,0)),0))</f>
        <v>0</v>
      </c>
      <c r="M95">
        <f>IF(OR($B$48="",$B$13=""),0,IFERROR(INDEX('Dán TĐ nhân viên'!$N$1:$N$1500,MATCH("*"&amp;$C$13&amp;"|"&amp;$B$48,'Dán TĐ nhân viên'!$M$1:$M$1500,0)),0))</f>
        <v>0</v>
      </c>
      <c r="N95">
        <f>IF(OR($B$48="",$B$14=""),0,IFERROR(INDEX('Dán TĐ nhân viên'!$N$1:$N$1500,MATCH("*"&amp;$C$14&amp;"|"&amp;$B$48,'Dán TĐ nhân viên'!$M$1:$M$1500,0)),0))</f>
        <v>0</v>
      </c>
      <c r="O95">
        <f>IF(OR($B$48="",$B$15=""),0,IFERROR(INDEX('Dán TĐ nhân viên'!$N$1:$N$1500,MATCH("*"&amp;$C$15&amp;"|"&amp;$B$48,'Dán TĐ nhân viên'!$M$1:$M$1500,0)),0))</f>
        <v>0</v>
      </c>
      <c r="P95">
        <f>IF(OR($B$48="",$B$16=""),0,IFERROR(INDEX('Dán TĐ nhân viên'!$N$1:$N$1500,MATCH("*"&amp;$C$16&amp;"|"&amp;$B$48,'Dán TĐ nhân viên'!$M$1:$M$1500,0)),0))</f>
        <v>0</v>
      </c>
      <c r="Q95">
        <f>IF(OR($B$48="",$B$17=""),0,IFERROR(INDEX('Dán TĐ nhân viên'!$N$1:$N$1500,MATCH("*"&amp;$C$17&amp;"|"&amp;$B$48,'Dán TĐ nhân viên'!$M$1:$M$1500,0)),0))</f>
        <v>0</v>
      </c>
      <c r="R95">
        <f>IF(OR($B$48="",$B$18=""),0,IFERROR(INDEX('Dán TĐ nhân viên'!$N$1:$N$1500,MATCH("*"&amp;$C$18&amp;"|"&amp;$B$48,'Dán TĐ nhân viên'!$M$1:$M$1500,0)),0))</f>
        <v>0</v>
      </c>
      <c r="S95">
        <f>IF(OR($B$48="",$B$19=""),0,IFERROR(INDEX('Dán TĐ nhân viên'!$N$1:$N$1500,MATCH("*"&amp;$C$19&amp;"|"&amp;$B$48,'Dán TĐ nhân viên'!$M$1:$M$1500,0)),0))</f>
        <v>0</v>
      </c>
      <c r="T95">
        <f>IF(OR($B$48="",$B$20=""),0,IFERROR(INDEX('Dán TĐ nhân viên'!$N$1:$N$1500,MATCH("*"&amp;$C$20&amp;"|"&amp;$B$48,'Dán TĐ nhân viên'!$M$1:$M$1500,0)),0))</f>
        <v>0</v>
      </c>
      <c r="U95">
        <f>IF(OR($B$48="",$B$21=""),0,IFERROR(INDEX('Dán TĐ nhân viên'!$N$1:$N$1500,MATCH("*"&amp;$C$21&amp;"|"&amp;$B$48,'Dán TĐ nhân viên'!$M$1:$M$1500,0)),0))</f>
        <v>0</v>
      </c>
      <c r="V95">
        <f>IF(OR($B$48="",$B$22=""),0,IFERROR(INDEX('Dán TĐ nhân viên'!$N$1:$N$1500,MATCH("*"&amp;$C$22&amp;"|"&amp;$B$48,'Dán TĐ nhân viên'!$M$1:$M$1500,0)),0))</f>
        <v>0</v>
      </c>
    </row>
    <row r="96" spans="1:22" x14ac:dyDescent="0.3">
      <c r="A96">
        <v>11</v>
      </c>
      <c r="B96" t="str">
        <f t="shared" si="12"/>
        <v/>
      </c>
      <c r="C96">
        <f>IF(OR($B$49="",$B$3=""),0,IFERROR(INDEX('Dán TĐ nhân viên'!$N$1:$N$1500,MATCH("*"&amp;$C$3&amp;"|"&amp;$B$49,'Dán TĐ nhân viên'!$M$1:$M$1500,0)),0))</f>
        <v>0</v>
      </c>
      <c r="D96">
        <f>IF(OR($B$49="",$B$4=""),0,IFERROR(INDEX('Dán TĐ nhân viên'!$N$1:$N$1500,MATCH("*"&amp;$C$4&amp;"|"&amp;$B$49,'Dán TĐ nhân viên'!$M$1:$M$1500,0)),0))</f>
        <v>0</v>
      </c>
      <c r="E96">
        <f>IF(OR($B$49="",$B$5=""),0,IFERROR(INDEX('Dán TĐ nhân viên'!$N$1:$N$1500,MATCH("*"&amp;$C$5&amp;"|"&amp;$B$49,'Dán TĐ nhân viên'!$M$1:$M$1500,0)),0))</f>
        <v>0</v>
      </c>
      <c r="F96">
        <f>IF(OR($B$49="",$B$6=""),0,IFERROR(INDEX('Dán TĐ nhân viên'!$N$1:$N$1500,MATCH("*"&amp;$C$6&amp;"|"&amp;$B$49,'Dán TĐ nhân viên'!$M$1:$M$1500,0)),0))</f>
        <v>0</v>
      </c>
      <c r="G96">
        <f>IF(OR($B$49="",$B$7=""),0,IFERROR(INDEX('Dán TĐ nhân viên'!$N$1:$N$1500,MATCH("*"&amp;$C$7&amp;"|"&amp;$B$49,'Dán TĐ nhân viên'!$M$1:$M$1500,0)),0))</f>
        <v>0</v>
      </c>
      <c r="H96">
        <f>IF(OR($B$49="",$B$8=""),0,IFERROR(INDEX('Dán TĐ nhân viên'!$N$1:$N$1500,MATCH("*"&amp;$C$8&amp;"|"&amp;$B$49,'Dán TĐ nhân viên'!$M$1:$M$1500,0)),0))</f>
        <v>0</v>
      </c>
      <c r="I96">
        <f>IF(OR($B$49="",$B$9=""),0,IFERROR(INDEX('Dán TĐ nhân viên'!$N$1:$N$1500,MATCH("*"&amp;$C$9&amp;"|"&amp;$B$49,'Dán TĐ nhân viên'!$M$1:$M$1500,0)),0))</f>
        <v>0</v>
      </c>
      <c r="J96">
        <f>IF(OR($B$49="",$B$10=""),0,IFERROR(INDEX('Dán TĐ nhân viên'!$N$1:$N$1500,MATCH("*"&amp;$C$10&amp;"|"&amp;$B$49,'Dán TĐ nhân viên'!$M$1:$M$1500,0)),0))</f>
        <v>0</v>
      </c>
      <c r="K96">
        <f>IF(OR($B$49="",$B$11=""),0,IFERROR(INDEX('Dán TĐ nhân viên'!$N$1:$N$1500,MATCH("*"&amp;$C$11&amp;"|"&amp;$B$49,'Dán TĐ nhân viên'!$M$1:$M$1500,0)),0))</f>
        <v>0</v>
      </c>
      <c r="L96">
        <f>IF(OR($B$49="",$B$12=""),0,IFERROR(INDEX('Dán TĐ nhân viên'!$N$1:$N$1500,MATCH("*"&amp;$C$12&amp;"|"&amp;$B$49,'Dán TĐ nhân viên'!$M$1:$M$1500,0)),0))</f>
        <v>0</v>
      </c>
      <c r="M96">
        <f>IF(OR($B$49="",$B$13=""),0,IFERROR(INDEX('Dán TĐ nhân viên'!$N$1:$N$1500,MATCH("*"&amp;$C$13&amp;"|"&amp;$B$49,'Dán TĐ nhân viên'!$M$1:$M$1500,0)),0))</f>
        <v>0</v>
      </c>
      <c r="N96">
        <f>IF(OR($B$49="",$B$14=""),0,IFERROR(INDEX('Dán TĐ nhân viên'!$N$1:$N$1500,MATCH("*"&amp;$C$14&amp;"|"&amp;$B$49,'Dán TĐ nhân viên'!$M$1:$M$1500,0)),0))</f>
        <v>0</v>
      </c>
      <c r="O96">
        <f>IF(OR($B$49="",$B$15=""),0,IFERROR(INDEX('Dán TĐ nhân viên'!$N$1:$N$1500,MATCH("*"&amp;$C$15&amp;"|"&amp;$B$49,'Dán TĐ nhân viên'!$M$1:$M$1500,0)),0))</f>
        <v>0</v>
      </c>
      <c r="P96">
        <f>IF(OR($B$49="",$B$16=""),0,IFERROR(INDEX('Dán TĐ nhân viên'!$N$1:$N$1500,MATCH("*"&amp;$C$16&amp;"|"&amp;$B$49,'Dán TĐ nhân viên'!$M$1:$M$1500,0)),0))</f>
        <v>0</v>
      </c>
      <c r="Q96">
        <f>IF(OR($B$49="",$B$17=""),0,IFERROR(INDEX('Dán TĐ nhân viên'!$N$1:$N$1500,MATCH("*"&amp;$C$17&amp;"|"&amp;$B$49,'Dán TĐ nhân viên'!$M$1:$M$1500,0)),0))</f>
        <v>0</v>
      </c>
      <c r="R96">
        <f>IF(OR($B$49="",$B$18=""),0,IFERROR(INDEX('Dán TĐ nhân viên'!$N$1:$N$1500,MATCH("*"&amp;$C$18&amp;"|"&amp;$B$49,'Dán TĐ nhân viên'!$M$1:$M$1500,0)),0))</f>
        <v>0</v>
      </c>
      <c r="S96">
        <f>IF(OR($B$49="",$B$19=""),0,IFERROR(INDEX('Dán TĐ nhân viên'!$N$1:$N$1500,MATCH("*"&amp;$C$19&amp;"|"&amp;$B$49,'Dán TĐ nhân viên'!$M$1:$M$1500,0)),0))</f>
        <v>0</v>
      </c>
      <c r="T96">
        <f>IF(OR($B$49="",$B$20=""),0,IFERROR(INDEX('Dán TĐ nhân viên'!$N$1:$N$1500,MATCH("*"&amp;$C$20&amp;"|"&amp;$B$49,'Dán TĐ nhân viên'!$M$1:$M$1500,0)),0))</f>
        <v>0</v>
      </c>
      <c r="U96">
        <f>IF(OR($B$49="",$B$21=""),0,IFERROR(INDEX('Dán TĐ nhân viên'!$N$1:$N$1500,MATCH("*"&amp;$C$21&amp;"|"&amp;$B$49,'Dán TĐ nhân viên'!$M$1:$M$1500,0)),0))</f>
        <v>0</v>
      </c>
      <c r="V96">
        <f>IF(OR($B$49="",$B$22=""),0,IFERROR(INDEX('Dán TĐ nhân viên'!$N$1:$N$1500,MATCH("*"&amp;$C$22&amp;"|"&amp;$B$49,'Dán TĐ nhân viên'!$M$1:$M$1500,0)),0))</f>
        <v>0</v>
      </c>
    </row>
    <row r="97" spans="1:22" x14ac:dyDescent="0.3">
      <c r="A97">
        <v>12</v>
      </c>
      <c r="B97" t="str">
        <f t="shared" si="12"/>
        <v/>
      </c>
      <c r="C97">
        <f>IF(OR($B$50="",$B$3=""),0,IFERROR(INDEX('Dán TĐ nhân viên'!$N$1:$N$1500,MATCH("*"&amp;$C$3&amp;"|"&amp;$B$50,'Dán TĐ nhân viên'!$M$1:$M$1500,0)),0))</f>
        <v>0</v>
      </c>
      <c r="D97">
        <f>IF(OR($B$50="",$B$4=""),0,IFERROR(INDEX('Dán TĐ nhân viên'!$N$1:$N$1500,MATCH("*"&amp;$C$4&amp;"|"&amp;$B$50,'Dán TĐ nhân viên'!$M$1:$M$1500,0)),0))</f>
        <v>0</v>
      </c>
      <c r="E97">
        <f>IF(OR($B$50="",$B$5=""),0,IFERROR(INDEX('Dán TĐ nhân viên'!$N$1:$N$1500,MATCH("*"&amp;$C$5&amp;"|"&amp;$B$50,'Dán TĐ nhân viên'!$M$1:$M$1500,0)),0))</f>
        <v>0</v>
      </c>
      <c r="F97">
        <f>IF(OR($B$50="",$B$6=""),0,IFERROR(INDEX('Dán TĐ nhân viên'!$N$1:$N$1500,MATCH("*"&amp;$C$6&amp;"|"&amp;$B$50,'Dán TĐ nhân viên'!$M$1:$M$1500,0)),0))</f>
        <v>0</v>
      </c>
      <c r="G97">
        <f>IF(OR($B$50="",$B$7=""),0,IFERROR(INDEX('Dán TĐ nhân viên'!$N$1:$N$1500,MATCH("*"&amp;$C$7&amp;"|"&amp;$B$50,'Dán TĐ nhân viên'!$M$1:$M$1500,0)),0))</f>
        <v>0</v>
      </c>
      <c r="H97">
        <f>IF(OR($B$50="",$B$8=""),0,IFERROR(INDEX('Dán TĐ nhân viên'!$N$1:$N$1500,MATCH("*"&amp;$C$8&amp;"|"&amp;$B$50,'Dán TĐ nhân viên'!$M$1:$M$1500,0)),0))</f>
        <v>0</v>
      </c>
      <c r="I97">
        <f>IF(OR($B$50="",$B$9=""),0,IFERROR(INDEX('Dán TĐ nhân viên'!$N$1:$N$1500,MATCH("*"&amp;$C$9&amp;"|"&amp;$B$50,'Dán TĐ nhân viên'!$M$1:$M$1500,0)),0))</f>
        <v>0</v>
      </c>
      <c r="J97">
        <f>IF(OR($B$50="",$B$10=""),0,IFERROR(INDEX('Dán TĐ nhân viên'!$N$1:$N$1500,MATCH("*"&amp;$C$10&amp;"|"&amp;$B$50,'Dán TĐ nhân viên'!$M$1:$M$1500,0)),0))</f>
        <v>0</v>
      </c>
      <c r="K97">
        <f>IF(OR($B$50="",$B$11=""),0,IFERROR(INDEX('Dán TĐ nhân viên'!$N$1:$N$1500,MATCH("*"&amp;$C$11&amp;"|"&amp;$B$50,'Dán TĐ nhân viên'!$M$1:$M$1500,0)),0))</f>
        <v>0</v>
      </c>
      <c r="L97">
        <f>IF(OR($B$50="",$B$12=""),0,IFERROR(INDEX('Dán TĐ nhân viên'!$N$1:$N$1500,MATCH("*"&amp;$C$12&amp;"|"&amp;$B$50,'Dán TĐ nhân viên'!$M$1:$M$1500,0)),0))</f>
        <v>0</v>
      </c>
      <c r="M97">
        <f>IF(OR($B$50="",$B$13=""),0,IFERROR(INDEX('Dán TĐ nhân viên'!$N$1:$N$1500,MATCH("*"&amp;$C$13&amp;"|"&amp;$B$50,'Dán TĐ nhân viên'!$M$1:$M$1500,0)),0))</f>
        <v>0</v>
      </c>
      <c r="N97">
        <f>IF(OR($B$50="",$B$14=""),0,IFERROR(INDEX('Dán TĐ nhân viên'!$N$1:$N$1500,MATCH("*"&amp;$C$14&amp;"|"&amp;$B$50,'Dán TĐ nhân viên'!$M$1:$M$1500,0)),0))</f>
        <v>0</v>
      </c>
      <c r="O97">
        <f>IF(OR($B$50="",$B$15=""),0,IFERROR(INDEX('Dán TĐ nhân viên'!$N$1:$N$1500,MATCH("*"&amp;$C$15&amp;"|"&amp;$B$50,'Dán TĐ nhân viên'!$M$1:$M$1500,0)),0))</f>
        <v>0</v>
      </c>
      <c r="P97">
        <f>IF(OR($B$50="",$B$16=""),0,IFERROR(INDEX('Dán TĐ nhân viên'!$N$1:$N$1500,MATCH("*"&amp;$C$16&amp;"|"&amp;$B$50,'Dán TĐ nhân viên'!$M$1:$M$1500,0)),0))</f>
        <v>0</v>
      </c>
      <c r="Q97">
        <f>IF(OR($B$50="",$B$17=""),0,IFERROR(INDEX('Dán TĐ nhân viên'!$N$1:$N$1500,MATCH("*"&amp;$C$17&amp;"|"&amp;$B$50,'Dán TĐ nhân viên'!$M$1:$M$1500,0)),0))</f>
        <v>0</v>
      </c>
      <c r="R97">
        <f>IF(OR($B$50="",$B$18=""),0,IFERROR(INDEX('Dán TĐ nhân viên'!$N$1:$N$1500,MATCH("*"&amp;$C$18&amp;"|"&amp;$B$50,'Dán TĐ nhân viên'!$M$1:$M$1500,0)),0))</f>
        <v>0</v>
      </c>
      <c r="S97">
        <f>IF(OR($B$50="",$B$19=""),0,IFERROR(INDEX('Dán TĐ nhân viên'!$N$1:$N$1500,MATCH("*"&amp;$C$19&amp;"|"&amp;$B$50,'Dán TĐ nhân viên'!$M$1:$M$1500,0)),0))</f>
        <v>0</v>
      </c>
      <c r="T97">
        <f>IF(OR($B$50="",$B$20=""),0,IFERROR(INDEX('Dán TĐ nhân viên'!$N$1:$N$1500,MATCH("*"&amp;$C$20&amp;"|"&amp;$B$50,'Dán TĐ nhân viên'!$M$1:$M$1500,0)),0))</f>
        <v>0</v>
      </c>
      <c r="U97">
        <f>IF(OR($B$50="",$B$21=""),0,IFERROR(INDEX('Dán TĐ nhân viên'!$N$1:$N$1500,MATCH("*"&amp;$C$21&amp;"|"&amp;$B$50,'Dán TĐ nhân viên'!$M$1:$M$1500,0)),0))</f>
        <v>0</v>
      </c>
      <c r="V97">
        <f>IF(OR($B$50="",$B$22=""),0,IFERROR(INDEX('Dán TĐ nhân viên'!$N$1:$N$1500,MATCH("*"&amp;$C$22&amp;"|"&amp;$B$50,'Dán TĐ nhân viên'!$M$1:$M$1500,0)),0))</f>
        <v>0</v>
      </c>
    </row>
    <row r="98" spans="1:22" x14ac:dyDescent="0.3">
      <c r="A98">
        <v>13</v>
      </c>
      <c r="B98" t="str">
        <f t="shared" si="12"/>
        <v/>
      </c>
      <c r="C98">
        <f>IF(OR($B$51="",$B$3=""),0,IFERROR(INDEX('Dán TĐ nhân viên'!$N$1:$N$1500,MATCH("*"&amp;$C$3&amp;"|"&amp;$B$51,'Dán TĐ nhân viên'!$M$1:$M$1500,0)),0))</f>
        <v>0</v>
      </c>
      <c r="D98">
        <f>IF(OR($B$51="",$B$4=""),0,IFERROR(INDEX('Dán TĐ nhân viên'!$N$1:$N$1500,MATCH("*"&amp;$C$4&amp;"|"&amp;$B$51,'Dán TĐ nhân viên'!$M$1:$M$1500,0)),0))</f>
        <v>0</v>
      </c>
      <c r="E98">
        <f>IF(OR($B$51="",$B$5=""),0,IFERROR(INDEX('Dán TĐ nhân viên'!$N$1:$N$1500,MATCH("*"&amp;$C$5&amp;"|"&amp;$B$51,'Dán TĐ nhân viên'!$M$1:$M$1500,0)),0))</f>
        <v>0</v>
      </c>
      <c r="F98">
        <f>IF(OR($B$51="",$B$6=""),0,IFERROR(INDEX('Dán TĐ nhân viên'!$N$1:$N$1500,MATCH("*"&amp;$C$6&amp;"|"&amp;$B$51,'Dán TĐ nhân viên'!$M$1:$M$1500,0)),0))</f>
        <v>0</v>
      </c>
      <c r="G98">
        <f>IF(OR($B$51="",$B$7=""),0,IFERROR(INDEX('Dán TĐ nhân viên'!$N$1:$N$1500,MATCH("*"&amp;$C$7&amp;"|"&amp;$B$51,'Dán TĐ nhân viên'!$M$1:$M$1500,0)),0))</f>
        <v>0</v>
      </c>
      <c r="H98">
        <f>IF(OR($B$51="",$B$8=""),0,IFERROR(INDEX('Dán TĐ nhân viên'!$N$1:$N$1500,MATCH("*"&amp;$C$8&amp;"|"&amp;$B$51,'Dán TĐ nhân viên'!$M$1:$M$1500,0)),0))</f>
        <v>0</v>
      </c>
      <c r="I98">
        <f>IF(OR($B$51="",$B$9=""),0,IFERROR(INDEX('Dán TĐ nhân viên'!$N$1:$N$1500,MATCH("*"&amp;$C$9&amp;"|"&amp;$B$51,'Dán TĐ nhân viên'!$M$1:$M$1500,0)),0))</f>
        <v>0</v>
      </c>
      <c r="J98">
        <f>IF(OR($B$51="",$B$10=""),0,IFERROR(INDEX('Dán TĐ nhân viên'!$N$1:$N$1500,MATCH("*"&amp;$C$10&amp;"|"&amp;$B$51,'Dán TĐ nhân viên'!$M$1:$M$1500,0)),0))</f>
        <v>0</v>
      </c>
      <c r="K98">
        <f>IF(OR($B$51="",$B$11=""),0,IFERROR(INDEX('Dán TĐ nhân viên'!$N$1:$N$1500,MATCH("*"&amp;$C$11&amp;"|"&amp;$B$51,'Dán TĐ nhân viên'!$M$1:$M$1500,0)),0))</f>
        <v>0</v>
      </c>
      <c r="L98">
        <f>IF(OR($B$51="",$B$12=""),0,IFERROR(INDEX('Dán TĐ nhân viên'!$N$1:$N$1500,MATCH("*"&amp;$C$12&amp;"|"&amp;$B$51,'Dán TĐ nhân viên'!$M$1:$M$1500,0)),0))</f>
        <v>0</v>
      </c>
      <c r="M98">
        <f>IF(OR($B$51="",$B$13=""),0,IFERROR(INDEX('Dán TĐ nhân viên'!$N$1:$N$1500,MATCH("*"&amp;$C$13&amp;"|"&amp;$B$51,'Dán TĐ nhân viên'!$M$1:$M$1500,0)),0))</f>
        <v>0</v>
      </c>
      <c r="N98">
        <f>IF(OR($B$51="",$B$14=""),0,IFERROR(INDEX('Dán TĐ nhân viên'!$N$1:$N$1500,MATCH("*"&amp;$C$14&amp;"|"&amp;$B$51,'Dán TĐ nhân viên'!$M$1:$M$1500,0)),0))</f>
        <v>0</v>
      </c>
      <c r="O98">
        <f>IF(OR($B$51="",$B$15=""),0,IFERROR(INDEX('Dán TĐ nhân viên'!$N$1:$N$1500,MATCH("*"&amp;$C$15&amp;"|"&amp;$B$51,'Dán TĐ nhân viên'!$M$1:$M$1500,0)),0))</f>
        <v>0</v>
      </c>
      <c r="P98">
        <f>IF(OR($B$51="",$B$16=""),0,IFERROR(INDEX('Dán TĐ nhân viên'!$N$1:$N$1500,MATCH("*"&amp;$C$16&amp;"|"&amp;$B$51,'Dán TĐ nhân viên'!$M$1:$M$1500,0)),0))</f>
        <v>0</v>
      </c>
      <c r="Q98">
        <f>IF(OR($B$51="",$B$17=""),0,IFERROR(INDEX('Dán TĐ nhân viên'!$N$1:$N$1500,MATCH("*"&amp;$C$17&amp;"|"&amp;$B$51,'Dán TĐ nhân viên'!$M$1:$M$1500,0)),0))</f>
        <v>0</v>
      </c>
      <c r="R98">
        <f>IF(OR($B$51="",$B$18=""),0,IFERROR(INDEX('Dán TĐ nhân viên'!$N$1:$N$1500,MATCH("*"&amp;$C$18&amp;"|"&amp;$B$51,'Dán TĐ nhân viên'!$M$1:$M$1500,0)),0))</f>
        <v>0</v>
      </c>
      <c r="S98">
        <f>IF(OR($B$51="",$B$19=""),0,IFERROR(INDEX('Dán TĐ nhân viên'!$N$1:$N$1500,MATCH("*"&amp;$C$19&amp;"|"&amp;$B$51,'Dán TĐ nhân viên'!$M$1:$M$1500,0)),0))</f>
        <v>0</v>
      </c>
      <c r="T98">
        <f>IF(OR($B$51="",$B$20=""),0,IFERROR(INDEX('Dán TĐ nhân viên'!$N$1:$N$1500,MATCH("*"&amp;$C$20&amp;"|"&amp;$B$51,'Dán TĐ nhân viên'!$M$1:$M$1500,0)),0))</f>
        <v>0</v>
      </c>
      <c r="U98">
        <f>IF(OR($B$51="",$B$21=""),0,IFERROR(INDEX('Dán TĐ nhân viên'!$N$1:$N$1500,MATCH("*"&amp;$C$21&amp;"|"&amp;$B$51,'Dán TĐ nhân viên'!$M$1:$M$1500,0)),0))</f>
        <v>0</v>
      </c>
      <c r="V98">
        <f>IF(OR($B$51="",$B$22=""),0,IFERROR(INDEX('Dán TĐ nhân viên'!$N$1:$N$1500,MATCH("*"&amp;$C$22&amp;"|"&amp;$B$51,'Dán TĐ nhân viên'!$M$1:$M$1500,0)),0))</f>
        <v>0</v>
      </c>
    </row>
    <row r="99" spans="1:22" x14ac:dyDescent="0.3">
      <c r="A99">
        <v>14</v>
      </c>
      <c r="B99" t="str">
        <f t="shared" si="12"/>
        <v/>
      </c>
      <c r="C99">
        <f>IF(OR($B$52="",$B$3=""),0,IFERROR(INDEX('Dán TĐ nhân viên'!$N$1:$N$1500,MATCH("*"&amp;$C$3&amp;"|"&amp;$B$52,'Dán TĐ nhân viên'!$M$1:$M$1500,0)),0))</f>
        <v>0</v>
      </c>
      <c r="D99">
        <f>IF(OR($B$52="",$B$4=""),0,IFERROR(INDEX('Dán TĐ nhân viên'!$N$1:$N$1500,MATCH("*"&amp;$C$4&amp;"|"&amp;$B$52,'Dán TĐ nhân viên'!$M$1:$M$1500,0)),0))</f>
        <v>0</v>
      </c>
      <c r="E99">
        <f>IF(OR($B$52="",$B$5=""),0,IFERROR(INDEX('Dán TĐ nhân viên'!$N$1:$N$1500,MATCH("*"&amp;$C$5&amp;"|"&amp;$B$52,'Dán TĐ nhân viên'!$M$1:$M$1500,0)),0))</f>
        <v>0</v>
      </c>
      <c r="F99">
        <f>IF(OR($B$52="",$B$6=""),0,IFERROR(INDEX('Dán TĐ nhân viên'!$N$1:$N$1500,MATCH("*"&amp;$C$6&amp;"|"&amp;$B$52,'Dán TĐ nhân viên'!$M$1:$M$1500,0)),0))</f>
        <v>0</v>
      </c>
      <c r="G99">
        <f>IF(OR($B$52="",$B$7=""),0,IFERROR(INDEX('Dán TĐ nhân viên'!$N$1:$N$1500,MATCH("*"&amp;$C$7&amp;"|"&amp;$B$52,'Dán TĐ nhân viên'!$M$1:$M$1500,0)),0))</f>
        <v>0</v>
      </c>
      <c r="H99">
        <f>IF(OR($B$52="",$B$8=""),0,IFERROR(INDEX('Dán TĐ nhân viên'!$N$1:$N$1500,MATCH("*"&amp;$C$8&amp;"|"&amp;$B$52,'Dán TĐ nhân viên'!$M$1:$M$1500,0)),0))</f>
        <v>0</v>
      </c>
      <c r="I99">
        <f>IF(OR($B$52="",$B$9=""),0,IFERROR(INDEX('Dán TĐ nhân viên'!$N$1:$N$1500,MATCH("*"&amp;$C$9&amp;"|"&amp;$B$52,'Dán TĐ nhân viên'!$M$1:$M$1500,0)),0))</f>
        <v>0</v>
      </c>
      <c r="J99">
        <f>IF(OR($B$52="",$B$10=""),0,IFERROR(INDEX('Dán TĐ nhân viên'!$N$1:$N$1500,MATCH("*"&amp;$C$10&amp;"|"&amp;$B$52,'Dán TĐ nhân viên'!$M$1:$M$1500,0)),0))</f>
        <v>0</v>
      </c>
      <c r="K99">
        <f>IF(OR($B$52="",$B$11=""),0,IFERROR(INDEX('Dán TĐ nhân viên'!$N$1:$N$1500,MATCH("*"&amp;$C$11&amp;"|"&amp;$B$52,'Dán TĐ nhân viên'!$M$1:$M$1500,0)),0))</f>
        <v>0</v>
      </c>
      <c r="L99">
        <f>IF(OR($B$52="",$B$12=""),0,IFERROR(INDEX('Dán TĐ nhân viên'!$N$1:$N$1500,MATCH("*"&amp;$C$12&amp;"|"&amp;$B$52,'Dán TĐ nhân viên'!$M$1:$M$1500,0)),0))</f>
        <v>0</v>
      </c>
      <c r="M99">
        <f>IF(OR($B$52="",$B$13=""),0,IFERROR(INDEX('Dán TĐ nhân viên'!$N$1:$N$1500,MATCH("*"&amp;$C$13&amp;"|"&amp;$B$52,'Dán TĐ nhân viên'!$M$1:$M$1500,0)),0))</f>
        <v>0</v>
      </c>
      <c r="N99">
        <f>IF(OR($B$52="",$B$14=""),0,IFERROR(INDEX('Dán TĐ nhân viên'!$N$1:$N$1500,MATCH("*"&amp;$C$14&amp;"|"&amp;$B$52,'Dán TĐ nhân viên'!$M$1:$M$1500,0)),0))</f>
        <v>0</v>
      </c>
      <c r="O99">
        <f>IF(OR($B$52="",$B$15=""),0,IFERROR(INDEX('Dán TĐ nhân viên'!$N$1:$N$1500,MATCH("*"&amp;$C$15&amp;"|"&amp;$B$52,'Dán TĐ nhân viên'!$M$1:$M$1500,0)),0))</f>
        <v>0</v>
      </c>
      <c r="P99">
        <f>IF(OR($B$52="",$B$16=""),0,IFERROR(INDEX('Dán TĐ nhân viên'!$N$1:$N$1500,MATCH("*"&amp;$C$16&amp;"|"&amp;$B$52,'Dán TĐ nhân viên'!$M$1:$M$1500,0)),0))</f>
        <v>0</v>
      </c>
      <c r="Q99">
        <f>IF(OR($B$52="",$B$17=""),0,IFERROR(INDEX('Dán TĐ nhân viên'!$N$1:$N$1500,MATCH("*"&amp;$C$17&amp;"|"&amp;$B$52,'Dán TĐ nhân viên'!$M$1:$M$1500,0)),0))</f>
        <v>0</v>
      </c>
      <c r="R99">
        <f>IF(OR($B$52="",$B$18=""),0,IFERROR(INDEX('Dán TĐ nhân viên'!$N$1:$N$1500,MATCH("*"&amp;$C$18&amp;"|"&amp;$B$52,'Dán TĐ nhân viên'!$M$1:$M$1500,0)),0))</f>
        <v>0</v>
      </c>
      <c r="S99">
        <f>IF(OR($B$52="",$B$19=""),0,IFERROR(INDEX('Dán TĐ nhân viên'!$N$1:$N$1500,MATCH("*"&amp;$C$19&amp;"|"&amp;$B$52,'Dán TĐ nhân viên'!$M$1:$M$1500,0)),0))</f>
        <v>0</v>
      </c>
      <c r="T99">
        <f>IF(OR($B$52="",$B$20=""),0,IFERROR(INDEX('Dán TĐ nhân viên'!$N$1:$N$1500,MATCH("*"&amp;$C$20&amp;"|"&amp;$B$52,'Dán TĐ nhân viên'!$M$1:$M$1500,0)),0))</f>
        <v>0</v>
      </c>
      <c r="U99">
        <f>IF(OR($B$52="",$B$21=""),0,IFERROR(INDEX('Dán TĐ nhân viên'!$N$1:$N$1500,MATCH("*"&amp;$C$21&amp;"|"&amp;$B$52,'Dán TĐ nhân viên'!$M$1:$M$1500,0)),0))</f>
        <v>0</v>
      </c>
      <c r="V99">
        <f>IF(OR($B$52="",$B$22=""),0,IFERROR(INDEX('Dán TĐ nhân viên'!$N$1:$N$1500,MATCH("*"&amp;$C$22&amp;"|"&amp;$B$52,'Dán TĐ nhân viên'!$M$1:$M$1500,0)),0))</f>
        <v>0</v>
      </c>
    </row>
    <row r="100" spans="1:22" x14ac:dyDescent="0.3">
      <c r="A100">
        <v>15</v>
      </c>
      <c r="B100" t="str">
        <f t="shared" si="12"/>
        <v/>
      </c>
      <c r="C100">
        <f>IF(OR($B$53="",$B$3=""),0,IFERROR(INDEX('Dán TĐ nhân viên'!$N$1:$N$1500,MATCH("*"&amp;$C$3&amp;"|"&amp;$B$53,'Dán TĐ nhân viên'!$M$1:$M$1500,0)),0))</f>
        <v>0</v>
      </c>
      <c r="D100">
        <f>IF(OR($B$53="",$B$4=""),0,IFERROR(INDEX('Dán TĐ nhân viên'!$N$1:$N$1500,MATCH("*"&amp;$C$4&amp;"|"&amp;$B$53,'Dán TĐ nhân viên'!$M$1:$M$1500,0)),0))</f>
        <v>0</v>
      </c>
      <c r="E100">
        <f>IF(OR($B$53="",$B$5=""),0,IFERROR(INDEX('Dán TĐ nhân viên'!$N$1:$N$1500,MATCH("*"&amp;$C$5&amp;"|"&amp;$B$53,'Dán TĐ nhân viên'!$M$1:$M$1500,0)),0))</f>
        <v>0</v>
      </c>
      <c r="F100">
        <f>IF(OR($B$53="",$B$6=""),0,IFERROR(INDEX('Dán TĐ nhân viên'!$N$1:$N$1500,MATCH("*"&amp;$C$6&amp;"|"&amp;$B$53,'Dán TĐ nhân viên'!$M$1:$M$1500,0)),0))</f>
        <v>0</v>
      </c>
      <c r="G100">
        <f>IF(OR($B$53="",$B$7=""),0,IFERROR(INDEX('Dán TĐ nhân viên'!$N$1:$N$1500,MATCH("*"&amp;$C$7&amp;"|"&amp;$B$53,'Dán TĐ nhân viên'!$M$1:$M$1500,0)),0))</f>
        <v>0</v>
      </c>
      <c r="H100">
        <f>IF(OR($B$53="",$B$8=""),0,IFERROR(INDEX('Dán TĐ nhân viên'!$N$1:$N$1500,MATCH("*"&amp;$C$8&amp;"|"&amp;$B$53,'Dán TĐ nhân viên'!$M$1:$M$1500,0)),0))</f>
        <v>0</v>
      </c>
      <c r="I100">
        <f>IF(OR($B$53="",$B$9=""),0,IFERROR(INDEX('Dán TĐ nhân viên'!$N$1:$N$1500,MATCH("*"&amp;$C$9&amp;"|"&amp;$B$53,'Dán TĐ nhân viên'!$M$1:$M$1500,0)),0))</f>
        <v>0</v>
      </c>
      <c r="J100">
        <f>IF(OR($B$53="",$B$10=""),0,IFERROR(INDEX('Dán TĐ nhân viên'!$N$1:$N$1500,MATCH("*"&amp;$C$10&amp;"|"&amp;$B$53,'Dán TĐ nhân viên'!$M$1:$M$1500,0)),0))</f>
        <v>0</v>
      </c>
      <c r="K100">
        <f>IF(OR($B$53="",$B$11=""),0,IFERROR(INDEX('Dán TĐ nhân viên'!$N$1:$N$1500,MATCH("*"&amp;$C$11&amp;"|"&amp;$B$53,'Dán TĐ nhân viên'!$M$1:$M$1500,0)),0))</f>
        <v>0</v>
      </c>
      <c r="L100">
        <f>IF(OR($B$53="",$B$12=""),0,IFERROR(INDEX('Dán TĐ nhân viên'!$N$1:$N$1500,MATCH("*"&amp;$C$12&amp;"|"&amp;$B$53,'Dán TĐ nhân viên'!$M$1:$M$1500,0)),0))</f>
        <v>0</v>
      </c>
      <c r="M100">
        <f>IF(OR($B$53="",$B$13=""),0,IFERROR(INDEX('Dán TĐ nhân viên'!$N$1:$N$1500,MATCH("*"&amp;$C$13&amp;"|"&amp;$B$53,'Dán TĐ nhân viên'!$M$1:$M$1500,0)),0))</f>
        <v>0</v>
      </c>
      <c r="N100">
        <f>IF(OR($B$53="",$B$14=""),0,IFERROR(INDEX('Dán TĐ nhân viên'!$N$1:$N$1500,MATCH("*"&amp;$C$14&amp;"|"&amp;$B$53,'Dán TĐ nhân viên'!$M$1:$M$1500,0)),0))</f>
        <v>0</v>
      </c>
      <c r="O100">
        <f>IF(OR($B$53="",$B$15=""),0,IFERROR(INDEX('Dán TĐ nhân viên'!$N$1:$N$1500,MATCH("*"&amp;$C$15&amp;"|"&amp;$B$53,'Dán TĐ nhân viên'!$M$1:$M$1500,0)),0))</f>
        <v>0</v>
      </c>
      <c r="P100">
        <f>IF(OR($B$53="",$B$16=""),0,IFERROR(INDEX('Dán TĐ nhân viên'!$N$1:$N$1500,MATCH("*"&amp;$C$16&amp;"|"&amp;$B$53,'Dán TĐ nhân viên'!$M$1:$M$1500,0)),0))</f>
        <v>0</v>
      </c>
      <c r="Q100">
        <f>IF(OR($B$53="",$B$17=""),0,IFERROR(INDEX('Dán TĐ nhân viên'!$N$1:$N$1500,MATCH("*"&amp;$C$17&amp;"|"&amp;$B$53,'Dán TĐ nhân viên'!$M$1:$M$1500,0)),0))</f>
        <v>0</v>
      </c>
      <c r="R100">
        <f>IF(OR($B$53="",$B$18=""),0,IFERROR(INDEX('Dán TĐ nhân viên'!$N$1:$N$1500,MATCH("*"&amp;$C$18&amp;"|"&amp;$B$53,'Dán TĐ nhân viên'!$M$1:$M$1500,0)),0))</f>
        <v>0</v>
      </c>
      <c r="S100">
        <f>IF(OR($B$53="",$B$19=""),0,IFERROR(INDEX('Dán TĐ nhân viên'!$N$1:$N$1500,MATCH("*"&amp;$C$19&amp;"|"&amp;$B$53,'Dán TĐ nhân viên'!$M$1:$M$1500,0)),0))</f>
        <v>0</v>
      </c>
      <c r="T100">
        <f>IF(OR($B$53="",$B$20=""),0,IFERROR(INDEX('Dán TĐ nhân viên'!$N$1:$N$1500,MATCH("*"&amp;$C$20&amp;"|"&amp;$B$53,'Dán TĐ nhân viên'!$M$1:$M$1500,0)),0))</f>
        <v>0</v>
      </c>
      <c r="U100">
        <f>IF(OR($B$53="",$B$21=""),0,IFERROR(INDEX('Dán TĐ nhân viên'!$N$1:$N$1500,MATCH("*"&amp;$C$21&amp;"|"&amp;$B$53,'Dán TĐ nhân viên'!$M$1:$M$1500,0)),0))</f>
        <v>0</v>
      </c>
      <c r="V100">
        <f>IF(OR($B$53="",$B$22=""),0,IFERROR(INDEX('Dán TĐ nhân viên'!$N$1:$N$1500,MATCH("*"&amp;$C$22&amp;"|"&amp;$B$53,'Dán TĐ nhân viên'!$M$1:$M$1500,0)),0))</f>
        <v>0</v>
      </c>
    </row>
    <row r="101" spans="1:22" x14ac:dyDescent="0.3">
      <c r="A101">
        <v>16</v>
      </c>
      <c r="B101" t="str">
        <f t="shared" si="12"/>
        <v/>
      </c>
      <c r="C101">
        <f>IF(OR($B$54="",$B$3=""),0,IFERROR(INDEX('Dán TĐ nhân viên'!$N$1:$N$1500,MATCH("*"&amp;$C$3&amp;"|"&amp;$B$54,'Dán TĐ nhân viên'!$M$1:$M$1500,0)),0))</f>
        <v>0</v>
      </c>
      <c r="D101">
        <f>IF(OR($B$54="",$B$4=""),0,IFERROR(INDEX('Dán TĐ nhân viên'!$N$1:$N$1500,MATCH("*"&amp;$C$4&amp;"|"&amp;$B$54,'Dán TĐ nhân viên'!$M$1:$M$1500,0)),0))</f>
        <v>0</v>
      </c>
      <c r="E101">
        <f>IF(OR($B$54="",$B$5=""),0,IFERROR(INDEX('Dán TĐ nhân viên'!$N$1:$N$1500,MATCH("*"&amp;$C$5&amp;"|"&amp;$B$54,'Dán TĐ nhân viên'!$M$1:$M$1500,0)),0))</f>
        <v>0</v>
      </c>
      <c r="F101">
        <f>IF(OR($B$54="",$B$6=""),0,IFERROR(INDEX('Dán TĐ nhân viên'!$N$1:$N$1500,MATCH("*"&amp;$C$6&amp;"|"&amp;$B$54,'Dán TĐ nhân viên'!$M$1:$M$1500,0)),0))</f>
        <v>0</v>
      </c>
      <c r="G101">
        <f>IF(OR($B$54="",$B$7=""),0,IFERROR(INDEX('Dán TĐ nhân viên'!$N$1:$N$1500,MATCH("*"&amp;$C$7&amp;"|"&amp;$B$54,'Dán TĐ nhân viên'!$M$1:$M$1500,0)),0))</f>
        <v>0</v>
      </c>
      <c r="H101">
        <f>IF(OR($B$54="",$B$8=""),0,IFERROR(INDEX('Dán TĐ nhân viên'!$N$1:$N$1500,MATCH("*"&amp;$C$8&amp;"|"&amp;$B$54,'Dán TĐ nhân viên'!$M$1:$M$1500,0)),0))</f>
        <v>0</v>
      </c>
      <c r="I101">
        <f>IF(OR($B$54="",$B$9=""),0,IFERROR(INDEX('Dán TĐ nhân viên'!$N$1:$N$1500,MATCH("*"&amp;$C$9&amp;"|"&amp;$B$54,'Dán TĐ nhân viên'!$M$1:$M$1500,0)),0))</f>
        <v>0</v>
      </c>
      <c r="J101">
        <f>IF(OR($B$54="",$B$10=""),0,IFERROR(INDEX('Dán TĐ nhân viên'!$N$1:$N$1500,MATCH("*"&amp;$C$10&amp;"|"&amp;$B$54,'Dán TĐ nhân viên'!$M$1:$M$1500,0)),0))</f>
        <v>0</v>
      </c>
      <c r="K101">
        <f>IF(OR($B$54="",$B$11=""),0,IFERROR(INDEX('Dán TĐ nhân viên'!$N$1:$N$1500,MATCH("*"&amp;$C$11&amp;"|"&amp;$B$54,'Dán TĐ nhân viên'!$M$1:$M$1500,0)),0))</f>
        <v>0</v>
      </c>
      <c r="L101">
        <f>IF(OR($B$54="",$B$12=""),0,IFERROR(INDEX('Dán TĐ nhân viên'!$N$1:$N$1500,MATCH("*"&amp;$C$12&amp;"|"&amp;$B$54,'Dán TĐ nhân viên'!$M$1:$M$1500,0)),0))</f>
        <v>0</v>
      </c>
      <c r="M101">
        <f>IF(OR($B$54="",$B$13=""),0,IFERROR(INDEX('Dán TĐ nhân viên'!$N$1:$N$1500,MATCH("*"&amp;$C$13&amp;"|"&amp;$B$54,'Dán TĐ nhân viên'!$M$1:$M$1500,0)),0))</f>
        <v>0</v>
      </c>
      <c r="N101">
        <f>IF(OR($B$54="",$B$14=""),0,IFERROR(INDEX('Dán TĐ nhân viên'!$N$1:$N$1500,MATCH("*"&amp;$C$14&amp;"|"&amp;$B$54,'Dán TĐ nhân viên'!$M$1:$M$1500,0)),0))</f>
        <v>0</v>
      </c>
      <c r="O101">
        <f>IF(OR($B$54="",$B$15=""),0,IFERROR(INDEX('Dán TĐ nhân viên'!$N$1:$N$1500,MATCH("*"&amp;$C$15&amp;"|"&amp;$B$54,'Dán TĐ nhân viên'!$M$1:$M$1500,0)),0))</f>
        <v>0</v>
      </c>
      <c r="P101">
        <f>IF(OR($B$54="",$B$16=""),0,IFERROR(INDEX('Dán TĐ nhân viên'!$N$1:$N$1500,MATCH("*"&amp;$C$16&amp;"|"&amp;$B$54,'Dán TĐ nhân viên'!$M$1:$M$1500,0)),0))</f>
        <v>0</v>
      </c>
      <c r="Q101">
        <f>IF(OR($B$54="",$B$17=""),0,IFERROR(INDEX('Dán TĐ nhân viên'!$N$1:$N$1500,MATCH("*"&amp;$C$17&amp;"|"&amp;$B$54,'Dán TĐ nhân viên'!$M$1:$M$1500,0)),0))</f>
        <v>0</v>
      </c>
      <c r="R101">
        <f>IF(OR($B$54="",$B$18=""),0,IFERROR(INDEX('Dán TĐ nhân viên'!$N$1:$N$1500,MATCH("*"&amp;$C$18&amp;"|"&amp;$B$54,'Dán TĐ nhân viên'!$M$1:$M$1500,0)),0))</f>
        <v>0</v>
      </c>
      <c r="S101">
        <f>IF(OR($B$54="",$B$19=""),0,IFERROR(INDEX('Dán TĐ nhân viên'!$N$1:$N$1500,MATCH("*"&amp;$C$19&amp;"|"&amp;$B$54,'Dán TĐ nhân viên'!$M$1:$M$1500,0)),0))</f>
        <v>0</v>
      </c>
      <c r="T101">
        <f>IF(OR($B$54="",$B$20=""),0,IFERROR(INDEX('Dán TĐ nhân viên'!$N$1:$N$1500,MATCH("*"&amp;$C$20&amp;"|"&amp;$B$54,'Dán TĐ nhân viên'!$M$1:$M$1500,0)),0))</f>
        <v>0</v>
      </c>
      <c r="U101">
        <f>IF(OR($B$54="",$B$21=""),0,IFERROR(INDEX('Dán TĐ nhân viên'!$N$1:$N$1500,MATCH("*"&amp;$C$21&amp;"|"&amp;$B$54,'Dán TĐ nhân viên'!$M$1:$M$1500,0)),0))</f>
        <v>0</v>
      </c>
      <c r="V101">
        <f>IF(OR($B$54="",$B$22=""),0,IFERROR(INDEX('Dán TĐ nhân viên'!$N$1:$N$1500,MATCH("*"&amp;$C$22&amp;"|"&amp;$B$54,'Dán TĐ nhân viên'!$M$1:$M$1500,0)),0))</f>
        <v>0</v>
      </c>
    </row>
    <row r="102" spans="1:22" x14ac:dyDescent="0.3">
      <c r="A102">
        <v>17</v>
      </c>
      <c r="B102" t="str">
        <f t="shared" si="12"/>
        <v/>
      </c>
      <c r="C102">
        <f>IF(OR($B$55="",$B$3=""),0,IFERROR(INDEX('Dán TĐ nhân viên'!$N$1:$N$1500,MATCH("*"&amp;$C$3&amp;"|"&amp;$B$55,'Dán TĐ nhân viên'!$M$1:$M$1500,0)),0))</f>
        <v>0</v>
      </c>
      <c r="D102">
        <f>IF(OR($B$55="",$B$4=""),0,IFERROR(INDEX('Dán TĐ nhân viên'!$N$1:$N$1500,MATCH("*"&amp;$C$4&amp;"|"&amp;$B$55,'Dán TĐ nhân viên'!$M$1:$M$1500,0)),0))</f>
        <v>0</v>
      </c>
      <c r="E102">
        <f>IF(OR($B$55="",$B$5=""),0,IFERROR(INDEX('Dán TĐ nhân viên'!$N$1:$N$1500,MATCH("*"&amp;$C$5&amp;"|"&amp;$B$55,'Dán TĐ nhân viên'!$M$1:$M$1500,0)),0))</f>
        <v>0</v>
      </c>
      <c r="F102">
        <f>IF(OR($B$55="",$B$6=""),0,IFERROR(INDEX('Dán TĐ nhân viên'!$N$1:$N$1500,MATCH("*"&amp;$C$6&amp;"|"&amp;$B$55,'Dán TĐ nhân viên'!$M$1:$M$1500,0)),0))</f>
        <v>0</v>
      </c>
      <c r="G102">
        <f>IF(OR($B$55="",$B$7=""),0,IFERROR(INDEX('Dán TĐ nhân viên'!$N$1:$N$1500,MATCH("*"&amp;$C$7&amp;"|"&amp;$B$55,'Dán TĐ nhân viên'!$M$1:$M$1500,0)),0))</f>
        <v>0</v>
      </c>
      <c r="H102">
        <f>IF(OR($B$55="",$B$8=""),0,IFERROR(INDEX('Dán TĐ nhân viên'!$N$1:$N$1500,MATCH("*"&amp;$C$8&amp;"|"&amp;$B$55,'Dán TĐ nhân viên'!$M$1:$M$1500,0)),0))</f>
        <v>0</v>
      </c>
      <c r="I102">
        <f>IF(OR($B$55="",$B$9=""),0,IFERROR(INDEX('Dán TĐ nhân viên'!$N$1:$N$1500,MATCH("*"&amp;$C$9&amp;"|"&amp;$B$55,'Dán TĐ nhân viên'!$M$1:$M$1500,0)),0))</f>
        <v>0</v>
      </c>
      <c r="J102">
        <f>IF(OR($B$55="",$B$10=""),0,IFERROR(INDEX('Dán TĐ nhân viên'!$N$1:$N$1500,MATCH("*"&amp;$C$10&amp;"|"&amp;$B$55,'Dán TĐ nhân viên'!$M$1:$M$1500,0)),0))</f>
        <v>0</v>
      </c>
      <c r="K102">
        <f>IF(OR($B$55="",$B$11=""),0,IFERROR(INDEX('Dán TĐ nhân viên'!$N$1:$N$1500,MATCH("*"&amp;$C$11&amp;"|"&amp;$B$55,'Dán TĐ nhân viên'!$M$1:$M$1500,0)),0))</f>
        <v>0</v>
      </c>
      <c r="L102">
        <f>IF(OR($B$55="",$B$12=""),0,IFERROR(INDEX('Dán TĐ nhân viên'!$N$1:$N$1500,MATCH("*"&amp;$C$12&amp;"|"&amp;$B$55,'Dán TĐ nhân viên'!$M$1:$M$1500,0)),0))</f>
        <v>0</v>
      </c>
      <c r="M102">
        <f>IF(OR($B$55="",$B$13=""),0,IFERROR(INDEX('Dán TĐ nhân viên'!$N$1:$N$1500,MATCH("*"&amp;$C$13&amp;"|"&amp;$B$55,'Dán TĐ nhân viên'!$M$1:$M$1500,0)),0))</f>
        <v>0</v>
      </c>
      <c r="N102">
        <f>IF(OR($B$55="",$B$14=""),0,IFERROR(INDEX('Dán TĐ nhân viên'!$N$1:$N$1500,MATCH("*"&amp;$C$14&amp;"|"&amp;$B$55,'Dán TĐ nhân viên'!$M$1:$M$1500,0)),0))</f>
        <v>0</v>
      </c>
      <c r="O102">
        <f>IF(OR($B$55="",$B$15=""),0,IFERROR(INDEX('Dán TĐ nhân viên'!$N$1:$N$1500,MATCH("*"&amp;$C$15&amp;"|"&amp;$B$55,'Dán TĐ nhân viên'!$M$1:$M$1500,0)),0))</f>
        <v>0</v>
      </c>
      <c r="P102">
        <f>IF(OR($B$55="",$B$16=""),0,IFERROR(INDEX('Dán TĐ nhân viên'!$N$1:$N$1500,MATCH("*"&amp;$C$16&amp;"|"&amp;$B$55,'Dán TĐ nhân viên'!$M$1:$M$1500,0)),0))</f>
        <v>0</v>
      </c>
      <c r="Q102">
        <f>IF(OR($B$55="",$B$17=""),0,IFERROR(INDEX('Dán TĐ nhân viên'!$N$1:$N$1500,MATCH("*"&amp;$C$17&amp;"|"&amp;$B$55,'Dán TĐ nhân viên'!$M$1:$M$1500,0)),0))</f>
        <v>0</v>
      </c>
      <c r="R102">
        <f>IF(OR($B$55="",$B$18=""),0,IFERROR(INDEX('Dán TĐ nhân viên'!$N$1:$N$1500,MATCH("*"&amp;$C$18&amp;"|"&amp;$B$55,'Dán TĐ nhân viên'!$M$1:$M$1500,0)),0))</f>
        <v>0</v>
      </c>
      <c r="S102">
        <f>IF(OR($B$55="",$B$19=""),0,IFERROR(INDEX('Dán TĐ nhân viên'!$N$1:$N$1500,MATCH("*"&amp;$C$19&amp;"|"&amp;$B$55,'Dán TĐ nhân viên'!$M$1:$M$1500,0)),0))</f>
        <v>0</v>
      </c>
      <c r="T102">
        <f>IF(OR($B$55="",$B$20=""),0,IFERROR(INDEX('Dán TĐ nhân viên'!$N$1:$N$1500,MATCH("*"&amp;$C$20&amp;"|"&amp;$B$55,'Dán TĐ nhân viên'!$M$1:$M$1500,0)),0))</f>
        <v>0</v>
      </c>
      <c r="U102">
        <f>IF(OR($B$55="",$B$21=""),0,IFERROR(INDEX('Dán TĐ nhân viên'!$N$1:$N$1500,MATCH("*"&amp;$C$21&amp;"|"&amp;$B$55,'Dán TĐ nhân viên'!$M$1:$M$1500,0)),0))</f>
        <v>0</v>
      </c>
      <c r="V102">
        <f>IF(OR($B$55="",$B$22=""),0,IFERROR(INDEX('Dán TĐ nhân viên'!$N$1:$N$1500,MATCH("*"&amp;$C$22&amp;"|"&amp;$B$55,'Dán TĐ nhân viên'!$M$1:$M$1500,0)),0))</f>
        <v>0</v>
      </c>
    </row>
    <row r="103" spans="1:22" x14ac:dyDescent="0.3">
      <c r="A103">
        <v>18</v>
      </c>
      <c r="B103" t="str">
        <f t="shared" si="12"/>
        <v/>
      </c>
      <c r="C103">
        <f>IF(OR($B$56="",$B$3=""),0,IFERROR(INDEX('Dán TĐ nhân viên'!$N$1:$N$1500,MATCH("*"&amp;$C$3&amp;"|"&amp;$B$56,'Dán TĐ nhân viên'!$M$1:$M$1500,0)),0))</f>
        <v>0</v>
      </c>
      <c r="D103">
        <f>IF(OR($B$56="",$B$4=""),0,IFERROR(INDEX('Dán TĐ nhân viên'!$N$1:$N$1500,MATCH("*"&amp;$C$4&amp;"|"&amp;$B$56,'Dán TĐ nhân viên'!$M$1:$M$1500,0)),0))</f>
        <v>0</v>
      </c>
      <c r="E103">
        <f>IF(OR($B$56="",$B$5=""),0,IFERROR(INDEX('Dán TĐ nhân viên'!$N$1:$N$1500,MATCH("*"&amp;$C$5&amp;"|"&amp;$B$56,'Dán TĐ nhân viên'!$M$1:$M$1500,0)),0))</f>
        <v>0</v>
      </c>
      <c r="F103">
        <f>IF(OR($B$56="",$B$6=""),0,IFERROR(INDEX('Dán TĐ nhân viên'!$N$1:$N$1500,MATCH("*"&amp;$C$6&amp;"|"&amp;$B$56,'Dán TĐ nhân viên'!$M$1:$M$1500,0)),0))</f>
        <v>0</v>
      </c>
      <c r="G103">
        <f>IF(OR($B$56="",$B$7=""),0,IFERROR(INDEX('Dán TĐ nhân viên'!$N$1:$N$1500,MATCH("*"&amp;$C$7&amp;"|"&amp;$B$56,'Dán TĐ nhân viên'!$M$1:$M$1500,0)),0))</f>
        <v>0</v>
      </c>
      <c r="H103">
        <f>IF(OR($B$56="",$B$8=""),0,IFERROR(INDEX('Dán TĐ nhân viên'!$N$1:$N$1500,MATCH("*"&amp;$C$8&amp;"|"&amp;$B$56,'Dán TĐ nhân viên'!$M$1:$M$1500,0)),0))</f>
        <v>0</v>
      </c>
      <c r="I103">
        <f>IF(OR($B$56="",$B$9=""),0,IFERROR(INDEX('Dán TĐ nhân viên'!$N$1:$N$1500,MATCH("*"&amp;$C$9&amp;"|"&amp;$B$56,'Dán TĐ nhân viên'!$M$1:$M$1500,0)),0))</f>
        <v>0</v>
      </c>
      <c r="J103">
        <f>IF(OR($B$56="",$B$10=""),0,IFERROR(INDEX('Dán TĐ nhân viên'!$N$1:$N$1500,MATCH("*"&amp;$C$10&amp;"|"&amp;$B$56,'Dán TĐ nhân viên'!$M$1:$M$1500,0)),0))</f>
        <v>0</v>
      </c>
      <c r="K103">
        <f>IF(OR($B$56="",$B$11=""),0,IFERROR(INDEX('Dán TĐ nhân viên'!$N$1:$N$1500,MATCH("*"&amp;$C$11&amp;"|"&amp;$B$56,'Dán TĐ nhân viên'!$M$1:$M$1500,0)),0))</f>
        <v>0</v>
      </c>
      <c r="L103">
        <f>IF(OR($B$56="",$B$12=""),0,IFERROR(INDEX('Dán TĐ nhân viên'!$N$1:$N$1500,MATCH("*"&amp;$C$12&amp;"|"&amp;$B$56,'Dán TĐ nhân viên'!$M$1:$M$1500,0)),0))</f>
        <v>0</v>
      </c>
      <c r="M103">
        <f>IF(OR($B$56="",$B$13=""),0,IFERROR(INDEX('Dán TĐ nhân viên'!$N$1:$N$1500,MATCH("*"&amp;$C$13&amp;"|"&amp;$B$56,'Dán TĐ nhân viên'!$M$1:$M$1500,0)),0))</f>
        <v>0</v>
      </c>
      <c r="N103">
        <f>IF(OR($B$56="",$B$14=""),0,IFERROR(INDEX('Dán TĐ nhân viên'!$N$1:$N$1500,MATCH("*"&amp;$C$14&amp;"|"&amp;$B$56,'Dán TĐ nhân viên'!$M$1:$M$1500,0)),0))</f>
        <v>0</v>
      </c>
      <c r="O103">
        <f>IF(OR($B$56="",$B$15=""),0,IFERROR(INDEX('Dán TĐ nhân viên'!$N$1:$N$1500,MATCH("*"&amp;$C$15&amp;"|"&amp;$B$56,'Dán TĐ nhân viên'!$M$1:$M$1500,0)),0))</f>
        <v>0</v>
      </c>
      <c r="P103">
        <f>IF(OR($B$56="",$B$16=""),0,IFERROR(INDEX('Dán TĐ nhân viên'!$N$1:$N$1500,MATCH("*"&amp;$C$16&amp;"|"&amp;$B$56,'Dán TĐ nhân viên'!$M$1:$M$1500,0)),0))</f>
        <v>0</v>
      </c>
      <c r="Q103">
        <f>IF(OR($B$56="",$B$17=""),0,IFERROR(INDEX('Dán TĐ nhân viên'!$N$1:$N$1500,MATCH("*"&amp;$C$17&amp;"|"&amp;$B$56,'Dán TĐ nhân viên'!$M$1:$M$1500,0)),0))</f>
        <v>0</v>
      </c>
      <c r="R103">
        <f>IF(OR($B$56="",$B$18=""),0,IFERROR(INDEX('Dán TĐ nhân viên'!$N$1:$N$1500,MATCH("*"&amp;$C$18&amp;"|"&amp;$B$56,'Dán TĐ nhân viên'!$M$1:$M$1500,0)),0))</f>
        <v>0</v>
      </c>
      <c r="S103">
        <f>IF(OR($B$56="",$B$19=""),0,IFERROR(INDEX('Dán TĐ nhân viên'!$N$1:$N$1500,MATCH("*"&amp;$C$19&amp;"|"&amp;$B$56,'Dán TĐ nhân viên'!$M$1:$M$1500,0)),0))</f>
        <v>0</v>
      </c>
      <c r="T103">
        <f>IF(OR($B$56="",$B$20=""),0,IFERROR(INDEX('Dán TĐ nhân viên'!$N$1:$N$1500,MATCH("*"&amp;$C$20&amp;"|"&amp;$B$56,'Dán TĐ nhân viên'!$M$1:$M$1500,0)),0))</f>
        <v>0</v>
      </c>
      <c r="U103">
        <f>IF(OR($B$56="",$B$21=""),0,IFERROR(INDEX('Dán TĐ nhân viên'!$N$1:$N$1500,MATCH("*"&amp;$C$21&amp;"|"&amp;$B$56,'Dán TĐ nhân viên'!$M$1:$M$1500,0)),0))</f>
        <v>0</v>
      </c>
      <c r="V103">
        <f>IF(OR($B$56="",$B$22=""),0,IFERROR(INDEX('Dán TĐ nhân viên'!$N$1:$N$1500,MATCH("*"&amp;$C$22&amp;"|"&amp;$B$56,'Dán TĐ nhân viên'!$M$1:$M$1500,0)),0))</f>
        <v>0</v>
      </c>
    </row>
    <row r="104" spans="1:22" x14ac:dyDescent="0.3">
      <c r="A104">
        <v>19</v>
      </c>
      <c r="B104" t="str">
        <f t="shared" si="12"/>
        <v/>
      </c>
      <c r="C104">
        <f>IF(OR($B$57="",$B$3=""),0,IFERROR(INDEX('Dán TĐ nhân viên'!$N$1:$N$1500,MATCH("*"&amp;$C$3&amp;"|"&amp;$B$57,'Dán TĐ nhân viên'!$M$1:$M$1500,0)),0))</f>
        <v>0</v>
      </c>
      <c r="D104">
        <f>IF(OR($B$57="",$B$4=""),0,IFERROR(INDEX('Dán TĐ nhân viên'!$N$1:$N$1500,MATCH("*"&amp;$C$4&amp;"|"&amp;$B$57,'Dán TĐ nhân viên'!$M$1:$M$1500,0)),0))</f>
        <v>0</v>
      </c>
      <c r="E104">
        <f>IF(OR($B$57="",$B$5=""),0,IFERROR(INDEX('Dán TĐ nhân viên'!$N$1:$N$1500,MATCH("*"&amp;$C$5&amp;"|"&amp;$B$57,'Dán TĐ nhân viên'!$M$1:$M$1500,0)),0))</f>
        <v>0</v>
      </c>
      <c r="F104">
        <f>IF(OR($B$57="",$B$6=""),0,IFERROR(INDEX('Dán TĐ nhân viên'!$N$1:$N$1500,MATCH("*"&amp;$C$6&amp;"|"&amp;$B$57,'Dán TĐ nhân viên'!$M$1:$M$1500,0)),0))</f>
        <v>0</v>
      </c>
      <c r="G104">
        <f>IF(OR($B$57="",$B$7=""),0,IFERROR(INDEX('Dán TĐ nhân viên'!$N$1:$N$1500,MATCH("*"&amp;$C$7&amp;"|"&amp;$B$57,'Dán TĐ nhân viên'!$M$1:$M$1500,0)),0))</f>
        <v>0</v>
      </c>
      <c r="H104">
        <f>IF(OR($B$57="",$B$8=""),0,IFERROR(INDEX('Dán TĐ nhân viên'!$N$1:$N$1500,MATCH("*"&amp;$C$8&amp;"|"&amp;$B$57,'Dán TĐ nhân viên'!$M$1:$M$1500,0)),0))</f>
        <v>0</v>
      </c>
      <c r="I104">
        <f>IF(OR($B$57="",$B$9=""),0,IFERROR(INDEX('Dán TĐ nhân viên'!$N$1:$N$1500,MATCH("*"&amp;$C$9&amp;"|"&amp;$B$57,'Dán TĐ nhân viên'!$M$1:$M$1500,0)),0))</f>
        <v>0</v>
      </c>
      <c r="J104">
        <f>IF(OR($B$57="",$B$10=""),0,IFERROR(INDEX('Dán TĐ nhân viên'!$N$1:$N$1500,MATCH("*"&amp;$C$10&amp;"|"&amp;$B$57,'Dán TĐ nhân viên'!$M$1:$M$1500,0)),0))</f>
        <v>0</v>
      </c>
      <c r="K104">
        <f>IF(OR($B$57="",$B$11=""),0,IFERROR(INDEX('Dán TĐ nhân viên'!$N$1:$N$1500,MATCH("*"&amp;$C$11&amp;"|"&amp;$B$57,'Dán TĐ nhân viên'!$M$1:$M$1500,0)),0))</f>
        <v>0</v>
      </c>
      <c r="L104">
        <f>IF(OR($B$57="",$B$12=""),0,IFERROR(INDEX('Dán TĐ nhân viên'!$N$1:$N$1500,MATCH("*"&amp;$C$12&amp;"|"&amp;$B$57,'Dán TĐ nhân viên'!$M$1:$M$1500,0)),0))</f>
        <v>0</v>
      </c>
      <c r="M104">
        <f>IF(OR($B$57="",$B$13=""),0,IFERROR(INDEX('Dán TĐ nhân viên'!$N$1:$N$1500,MATCH("*"&amp;$C$13&amp;"|"&amp;$B$57,'Dán TĐ nhân viên'!$M$1:$M$1500,0)),0))</f>
        <v>0</v>
      </c>
      <c r="N104">
        <f>IF(OR($B$57="",$B$14=""),0,IFERROR(INDEX('Dán TĐ nhân viên'!$N$1:$N$1500,MATCH("*"&amp;$C$14&amp;"|"&amp;$B$57,'Dán TĐ nhân viên'!$M$1:$M$1500,0)),0))</f>
        <v>0</v>
      </c>
      <c r="O104">
        <f>IF(OR($B$57="",$B$15=""),0,IFERROR(INDEX('Dán TĐ nhân viên'!$N$1:$N$1500,MATCH("*"&amp;$C$15&amp;"|"&amp;$B$57,'Dán TĐ nhân viên'!$M$1:$M$1500,0)),0))</f>
        <v>0</v>
      </c>
      <c r="P104">
        <f>IF(OR($B$57="",$B$16=""),0,IFERROR(INDEX('Dán TĐ nhân viên'!$N$1:$N$1500,MATCH("*"&amp;$C$16&amp;"|"&amp;$B$57,'Dán TĐ nhân viên'!$M$1:$M$1500,0)),0))</f>
        <v>0</v>
      </c>
      <c r="Q104">
        <f>IF(OR($B$57="",$B$17=""),0,IFERROR(INDEX('Dán TĐ nhân viên'!$N$1:$N$1500,MATCH("*"&amp;$C$17&amp;"|"&amp;$B$57,'Dán TĐ nhân viên'!$M$1:$M$1500,0)),0))</f>
        <v>0</v>
      </c>
      <c r="R104">
        <f>IF(OR($B$57="",$B$18=""),0,IFERROR(INDEX('Dán TĐ nhân viên'!$N$1:$N$1500,MATCH("*"&amp;$C$18&amp;"|"&amp;$B$57,'Dán TĐ nhân viên'!$M$1:$M$1500,0)),0))</f>
        <v>0</v>
      </c>
      <c r="S104">
        <f>IF(OR($B$57="",$B$19=""),0,IFERROR(INDEX('Dán TĐ nhân viên'!$N$1:$N$1500,MATCH("*"&amp;$C$19&amp;"|"&amp;$B$57,'Dán TĐ nhân viên'!$M$1:$M$1500,0)),0))</f>
        <v>0</v>
      </c>
      <c r="T104">
        <f>IF(OR($B$57="",$B$20=""),0,IFERROR(INDEX('Dán TĐ nhân viên'!$N$1:$N$1500,MATCH("*"&amp;$C$20&amp;"|"&amp;$B$57,'Dán TĐ nhân viên'!$M$1:$M$1500,0)),0))</f>
        <v>0</v>
      </c>
      <c r="U104">
        <f>IF(OR($B$57="",$B$21=""),0,IFERROR(INDEX('Dán TĐ nhân viên'!$N$1:$N$1500,MATCH("*"&amp;$C$21&amp;"|"&amp;$B$57,'Dán TĐ nhân viên'!$M$1:$M$1500,0)),0))</f>
        <v>0</v>
      </c>
      <c r="V104">
        <f>IF(OR($B$57="",$B$22=""),0,IFERROR(INDEX('Dán TĐ nhân viên'!$N$1:$N$1500,MATCH("*"&amp;$C$22&amp;"|"&amp;$B$57,'Dán TĐ nhân viên'!$M$1:$M$1500,0)),0))</f>
        <v>0</v>
      </c>
    </row>
    <row r="105" spans="1:22" x14ac:dyDescent="0.3">
      <c r="A105">
        <v>20</v>
      </c>
      <c r="B105" t="str">
        <f t="shared" si="12"/>
        <v/>
      </c>
      <c r="C105">
        <f>IF(OR($B$58="",$B$3=""),0,IFERROR(INDEX('Dán TĐ nhân viên'!$N$1:$N$1500,MATCH("*"&amp;$C$3&amp;"|"&amp;$B$58,'Dán TĐ nhân viên'!$M$1:$M$1500,0)),0))</f>
        <v>0</v>
      </c>
      <c r="D105">
        <f>IF(OR($B$58="",$B$4=""),0,IFERROR(INDEX('Dán TĐ nhân viên'!$N$1:$N$1500,MATCH("*"&amp;$C$4&amp;"|"&amp;$B$58,'Dán TĐ nhân viên'!$M$1:$M$1500,0)),0))</f>
        <v>0</v>
      </c>
      <c r="E105">
        <f>IF(OR($B$58="",$B$5=""),0,IFERROR(INDEX('Dán TĐ nhân viên'!$N$1:$N$1500,MATCH("*"&amp;$C$5&amp;"|"&amp;$B$58,'Dán TĐ nhân viên'!$M$1:$M$1500,0)),0))</f>
        <v>0</v>
      </c>
      <c r="F105">
        <f>IF(OR($B$58="",$B$6=""),0,IFERROR(INDEX('Dán TĐ nhân viên'!$N$1:$N$1500,MATCH("*"&amp;$C$6&amp;"|"&amp;$B$58,'Dán TĐ nhân viên'!$M$1:$M$1500,0)),0))</f>
        <v>0</v>
      </c>
      <c r="G105">
        <f>IF(OR($B$58="",$B$7=""),0,IFERROR(INDEX('Dán TĐ nhân viên'!$N$1:$N$1500,MATCH("*"&amp;$C$7&amp;"|"&amp;$B$58,'Dán TĐ nhân viên'!$M$1:$M$1500,0)),0))</f>
        <v>0</v>
      </c>
      <c r="H105">
        <f>IF(OR($B$58="",$B$8=""),0,IFERROR(INDEX('Dán TĐ nhân viên'!$N$1:$N$1500,MATCH("*"&amp;$C$8&amp;"|"&amp;$B$58,'Dán TĐ nhân viên'!$M$1:$M$1500,0)),0))</f>
        <v>0</v>
      </c>
      <c r="I105">
        <f>IF(OR($B$58="",$B$9=""),0,IFERROR(INDEX('Dán TĐ nhân viên'!$N$1:$N$1500,MATCH("*"&amp;$C$9&amp;"|"&amp;$B$58,'Dán TĐ nhân viên'!$M$1:$M$1500,0)),0))</f>
        <v>0</v>
      </c>
      <c r="J105">
        <f>IF(OR($B$58="",$B$10=""),0,IFERROR(INDEX('Dán TĐ nhân viên'!$N$1:$N$1500,MATCH("*"&amp;$C$10&amp;"|"&amp;$B$58,'Dán TĐ nhân viên'!$M$1:$M$1500,0)),0))</f>
        <v>0</v>
      </c>
      <c r="K105">
        <f>IF(OR($B$58="",$B$11=""),0,IFERROR(INDEX('Dán TĐ nhân viên'!$N$1:$N$1500,MATCH("*"&amp;$C$11&amp;"|"&amp;$B$58,'Dán TĐ nhân viên'!$M$1:$M$1500,0)),0))</f>
        <v>0</v>
      </c>
      <c r="L105">
        <f>IF(OR($B$58="",$B$12=""),0,IFERROR(INDEX('Dán TĐ nhân viên'!$N$1:$N$1500,MATCH("*"&amp;$C$12&amp;"|"&amp;$B$58,'Dán TĐ nhân viên'!$M$1:$M$1500,0)),0))</f>
        <v>0</v>
      </c>
      <c r="M105">
        <f>IF(OR($B$58="",$B$13=""),0,IFERROR(INDEX('Dán TĐ nhân viên'!$N$1:$N$1500,MATCH("*"&amp;$C$13&amp;"|"&amp;$B$58,'Dán TĐ nhân viên'!$M$1:$M$1500,0)),0))</f>
        <v>0</v>
      </c>
      <c r="N105">
        <f>IF(OR($B$58="",$B$14=""),0,IFERROR(INDEX('Dán TĐ nhân viên'!$N$1:$N$1500,MATCH("*"&amp;$C$14&amp;"|"&amp;$B$58,'Dán TĐ nhân viên'!$M$1:$M$1500,0)),0))</f>
        <v>0</v>
      </c>
      <c r="O105">
        <f>IF(OR($B$58="",$B$15=""),0,IFERROR(INDEX('Dán TĐ nhân viên'!$N$1:$N$1500,MATCH("*"&amp;$C$15&amp;"|"&amp;$B$58,'Dán TĐ nhân viên'!$M$1:$M$1500,0)),0))</f>
        <v>0</v>
      </c>
      <c r="P105">
        <f>IF(OR($B$58="",$B$16=""),0,IFERROR(INDEX('Dán TĐ nhân viên'!$N$1:$N$1500,MATCH("*"&amp;$C$16&amp;"|"&amp;$B$58,'Dán TĐ nhân viên'!$M$1:$M$1500,0)),0))</f>
        <v>0</v>
      </c>
      <c r="Q105">
        <f>IF(OR($B$58="",$B$17=""),0,IFERROR(INDEX('Dán TĐ nhân viên'!$N$1:$N$1500,MATCH("*"&amp;$C$17&amp;"|"&amp;$B$58,'Dán TĐ nhân viên'!$M$1:$M$1500,0)),0))</f>
        <v>0</v>
      </c>
      <c r="R105">
        <f>IF(OR($B$58="",$B$18=""),0,IFERROR(INDEX('Dán TĐ nhân viên'!$N$1:$N$1500,MATCH("*"&amp;$C$18&amp;"|"&amp;$B$58,'Dán TĐ nhân viên'!$M$1:$M$1500,0)),0))</f>
        <v>0</v>
      </c>
      <c r="S105">
        <f>IF(OR($B$58="",$B$19=""),0,IFERROR(INDEX('Dán TĐ nhân viên'!$N$1:$N$1500,MATCH("*"&amp;$C$19&amp;"|"&amp;$B$58,'Dán TĐ nhân viên'!$M$1:$M$1500,0)),0))</f>
        <v>0</v>
      </c>
      <c r="T105">
        <f>IF(OR($B$58="",$B$20=""),0,IFERROR(INDEX('Dán TĐ nhân viên'!$N$1:$N$1500,MATCH("*"&amp;$C$20&amp;"|"&amp;$B$58,'Dán TĐ nhân viên'!$M$1:$M$1500,0)),0))</f>
        <v>0</v>
      </c>
      <c r="U105">
        <f>IF(OR($B$58="",$B$21=""),0,IFERROR(INDEX('Dán TĐ nhân viên'!$N$1:$N$1500,MATCH("*"&amp;$C$21&amp;"|"&amp;$B$58,'Dán TĐ nhân viên'!$M$1:$M$1500,0)),0))</f>
        <v>0</v>
      </c>
      <c r="V105">
        <f>IF(OR($B$58="",$B$22=""),0,IFERROR(INDEX('Dán TĐ nhân viên'!$N$1:$N$1500,MATCH("*"&amp;$C$22&amp;"|"&amp;$B$58,'Dán TĐ nhân viên'!$M$1:$M$1500,0)),0))</f>
        <v>0</v>
      </c>
    </row>
    <row r="106" spans="1:22" x14ac:dyDescent="0.3">
      <c r="A106">
        <v>21</v>
      </c>
      <c r="B106" t="str">
        <f t="shared" si="12"/>
        <v/>
      </c>
      <c r="C106">
        <f>IF(OR($B$59="",$B$3=""),0,IFERROR(INDEX('Dán TĐ nhân viên'!$N$1:$N$1500,MATCH("*"&amp;$C$3&amp;"|"&amp;$B$59,'Dán TĐ nhân viên'!$M$1:$M$1500,0)),0))</f>
        <v>0</v>
      </c>
      <c r="D106">
        <f>IF(OR($B$59="",$B$4=""),0,IFERROR(INDEX('Dán TĐ nhân viên'!$N$1:$N$1500,MATCH("*"&amp;$C$4&amp;"|"&amp;$B$59,'Dán TĐ nhân viên'!$M$1:$M$1500,0)),0))</f>
        <v>0</v>
      </c>
      <c r="E106">
        <f>IF(OR($B$59="",$B$5=""),0,IFERROR(INDEX('Dán TĐ nhân viên'!$N$1:$N$1500,MATCH("*"&amp;$C$5&amp;"|"&amp;$B$59,'Dán TĐ nhân viên'!$M$1:$M$1500,0)),0))</f>
        <v>0</v>
      </c>
      <c r="F106">
        <f>IF(OR($B$59="",$B$6=""),0,IFERROR(INDEX('Dán TĐ nhân viên'!$N$1:$N$1500,MATCH("*"&amp;$C$6&amp;"|"&amp;$B$59,'Dán TĐ nhân viên'!$M$1:$M$1500,0)),0))</f>
        <v>0</v>
      </c>
      <c r="G106">
        <f>IF(OR($B$59="",$B$7=""),0,IFERROR(INDEX('Dán TĐ nhân viên'!$N$1:$N$1500,MATCH("*"&amp;$C$7&amp;"|"&amp;$B$59,'Dán TĐ nhân viên'!$M$1:$M$1500,0)),0))</f>
        <v>0</v>
      </c>
      <c r="H106">
        <f>IF(OR($B$59="",$B$8=""),0,IFERROR(INDEX('Dán TĐ nhân viên'!$N$1:$N$1500,MATCH("*"&amp;$C$8&amp;"|"&amp;$B$59,'Dán TĐ nhân viên'!$M$1:$M$1500,0)),0))</f>
        <v>0</v>
      </c>
      <c r="I106">
        <f>IF(OR($B$59="",$B$9=""),0,IFERROR(INDEX('Dán TĐ nhân viên'!$N$1:$N$1500,MATCH("*"&amp;$C$9&amp;"|"&amp;$B$59,'Dán TĐ nhân viên'!$M$1:$M$1500,0)),0))</f>
        <v>0</v>
      </c>
      <c r="J106">
        <f>IF(OR($B$59="",$B$10=""),0,IFERROR(INDEX('Dán TĐ nhân viên'!$N$1:$N$1500,MATCH("*"&amp;$C$10&amp;"|"&amp;$B$59,'Dán TĐ nhân viên'!$M$1:$M$1500,0)),0))</f>
        <v>0</v>
      </c>
      <c r="K106">
        <f>IF(OR($B$59="",$B$11=""),0,IFERROR(INDEX('Dán TĐ nhân viên'!$N$1:$N$1500,MATCH("*"&amp;$C$11&amp;"|"&amp;$B$59,'Dán TĐ nhân viên'!$M$1:$M$1500,0)),0))</f>
        <v>0</v>
      </c>
      <c r="L106">
        <f>IF(OR($B$59="",$B$12=""),0,IFERROR(INDEX('Dán TĐ nhân viên'!$N$1:$N$1500,MATCH("*"&amp;$C$12&amp;"|"&amp;$B$59,'Dán TĐ nhân viên'!$M$1:$M$1500,0)),0))</f>
        <v>0</v>
      </c>
      <c r="M106">
        <f>IF(OR($B$59="",$B$13=""),0,IFERROR(INDEX('Dán TĐ nhân viên'!$N$1:$N$1500,MATCH("*"&amp;$C$13&amp;"|"&amp;$B$59,'Dán TĐ nhân viên'!$M$1:$M$1500,0)),0))</f>
        <v>0</v>
      </c>
      <c r="N106">
        <f>IF(OR($B$59="",$B$14=""),0,IFERROR(INDEX('Dán TĐ nhân viên'!$N$1:$N$1500,MATCH("*"&amp;$C$14&amp;"|"&amp;$B$59,'Dán TĐ nhân viên'!$M$1:$M$1500,0)),0))</f>
        <v>0</v>
      </c>
      <c r="O106">
        <f>IF(OR($B$59="",$B$15=""),0,IFERROR(INDEX('Dán TĐ nhân viên'!$N$1:$N$1500,MATCH("*"&amp;$C$15&amp;"|"&amp;$B$59,'Dán TĐ nhân viên'!$M$1:$M$1500,0)),0))</f>
        <v>0</v>
      </c>
      <c r="P106">
        <f>IF(OR($B$59="",$B$16=""),0,IFERROR(INDEX('Dán TĐ nhân viên'!$N$1:$N$1500,MATCH("*"&amp;$C$16&amp;"|"&amp;$B$59,'Dán TĐ nhân viên'!$M$1:$M$1500,0)),0))</f>
        <v>0</v>
      </c>
      <c r="Q106">
        <f>IF(OR($B$59="",$B$17=""),0,IFERROR(INDEX('Dán TĐ nhân viên'!$N$1:$N$1500,MATCH("*"&amp;$C$17&amp;"|"&amp;$B$59,'Dán TĐ nhân viên'!$M$1:$M$1500,0)),0))</f>
        <v>0</v>
      </c>
      <c r="R106">
        <f>IF(OR($B$59="",$B$18=""),0,IFERROR(INDEX('Dán TĐ nhân viên'!$N$1:$N$1500,MATCH("*"&amp;$C$18&amp;"|"&amp;$B$59,'Dán TĐ nhân viên'!$M$1:$M$1500,0)),0))</f>
        <v>0</v>
      </c>
      <c r="S106">
        <f>IF(OR($B$59="",$B$19=""),0,IFERROR(INDEX('Dán TĐ nhân viên'!$N$1:$N$1500,MATCH("*"&amp;$C$19&amp;"|"&amp;$B$59,'Dán TĐ nhân viên'!$M$1:$M$1500,0)),0))</f>
        <v>0</v>
      </c>
      <c r="T106">
        <f>IF(OR($B$59="",$B$20=""),0,IFERROR(INDEX('Dán TĐ nhân viên'!$N$1:$N$1500,MATCH("*"&amp;$C$20&amp;"|"&amp;$B$59,'Dán TĐ nhân viên'!$M$1:$M$1500,0)),0))</f>
        <v>0</v>
      </c>
      <c r="U106">
        <f>IF(OR($B$59="",$B$21=""),0,IFERROR(INDEX('Dán TĐ nhân viên'!$N$1:$N$1500,MATCH("*"&amp;$C$21&amp;"|"&amp;$B$59,'Dán TĐ nhân viên'!$M$1:$M$1500,0)),0))</f>
        <v>0</v>
      </c>
      <c r="V106">
        <f>IF(OR($B$59="",$B$22=""),0,IFERROR(INDEX('Dán TĐ nhân viên'!$N$1:$N$1500,MATCH("*"&amp;$C$22&amp;"|"&amp;$B$59,'Dán TĐ nhân viên'!$M$1:$M$1500,0)),0))</f>
        <v>0</v>
      </c>
    </row>
    <row r="107" spans="1:22" x14ac:dyDescent="0.3">
      <c r="A107">
        <v>22</v>
      </c>
      <c r="B107" t="str">
        <f t="shared" si="12"/>
        <v/>
      </c>
      <c r="C107">
        <f>IF(OR($B$60="",$B$3=""),0,IFERROR(INDEX('Dán TĐ nhân viên'!$N$1:$N$1500,MATCH("*"&amp;$C$3&amp;"|"&amp;$B$60,'Dán TĐ nhân viên'!$M$1:$M$1500,0)),0))</f>
        <v>0</v>
      </c>
      <c r="D107">
        <f>IF(OR($B$60="",$B$4=""),0,IFERROR(INDEX('Dán TĐ nhân viên'!$N$1:$N$1500,MATCH("*"&amp;$C$4&amp;"|"&amp;$B$60,'Dán TĐ nhân viên'!$M$1:$M$1500,0)),0))</f>
        <v>0</v>
      </c>
      <c r="E107">
        <f>IF(OR($B$60="",$B$5=""),0,IFERROR(INDEX('Dán TĐ nhân viên'!$N$1:$N$1500,MATCH("*"&amp;$C$5&amp;"|"&amp;$B$60,'Dán TĐ nhân viên'!$M$1:$M$1500,0)),0))</f>
        <v>0</v>
      </c>
      <c r="F107">
        <f>IF(OR($B$60="",$B$6=""),0,IFERROR(INDEX('Dán TĐ nhân viên'!$N$1:$N$1500,MATCH("*"&amp;$C$6&amp;"|"&amp;$B$60,'Dán TĐ nhân viên'!$M$1:$M$1500,0)),0))</f>
        <v>0</v>
      </c>
      <c r="G107">
        <f>IF(OR($B$60="",$B$7=""),0,IFERROR(INDEX('Dán TĐ nhân viên'!$N$1:$N$1500,MATCH("*"&amp;$C$7&amp;"|"&amp;$B$60,'Dán TĐ nhân viên'!$M$1:$M$1500,0)),0))</f>
        <v>0</v>
      </c>
      <c r="H107">
        <f>IF(OR($B$60="",$B$8=""),0,IFERROR(INDEX('Dán TĐ nhân viên'!$N$1:$N$1500,MATCH("*"&amp;$C$8&amp;"|"&amp;$B$60,'Dán TĐ nhân viên'!$M$1:$M$1500,0)),0))</f>
        <v>0</v>
      </c>
      <c r="I107">
        <f>IF(OR($B$60="",$B$9=""),0,IFERROR(INDEX('Dán TĐ nhân viên'!$N$1:$N$1500,MATCH("*"&amp;$C$9&amp;"|"&amp;$B$60,'Dán TĐ nhân viên'!$M$1:$M$1500,0)),0))</f>
        <v>0</v>
      </c>
      <c r="J107">
        <f>IF(OR($B$60="",$B$10=""),0,IFERROR(INDEX('Dán TĐ nhân viên'!$N$1:$N$1500,MATCH("*"&amp;$C$10&amp;"|"&amp;$B$60,'Dán TĐ nhân viên'!$M$1:$M$1500,0)),0))</f>
        <v>0</v>
      </c>
      <c r="K107">
        <f>IF(OR($B$60="",$B$11=""),0,IFERROR(INDEX('Dán TĐ nhân viên'!$N$1:$N$1500,MATCH("*"&amp;$C$11&amp;"|"&amp;$B$60,'Dán TĐ nhân viên'!$M$1:$M$1500,0)),0))</f>
        <v>0</v>
      </c>
      <c r="L107">
        <f>IF(OR($B$60="",$B$12=""),0,IFERROR(INDEX('Dán TĐ nhân viên'!$N$1:$N$1500,MATCH("*"&amp;$C$12&amp;"|"&amp;$B$60,'Dán TĐ nhân viên'!$M$1:$M$1500,0)),0))</f>
        <v>0</v>
      </c>
      <c r="M107">
        <f>IF(OR($B$60="",$B$13=""),0,IFERROR(INDEX('Dán TĐ nhân viên'!$N$1:$N$1500,MATCH("*"&amp;$C$13&amp;"|"&amp;$B$60,'Dán TĐ nhân viên'!$M$1:$M$1500,0)),0))</f>
        <v>0</v>
      </c>
      <c r="N107">
        <f>IF(OR($B$60="",$B$14=""),0,IFERROR(INDEX('Dán TĐ nhân viên'!$N$1:$N$1500,MATCH("*"&amp;$C$14&amp;"|"&amp;$B$60,'Dán TĐ nhân viên'!$M$1:$M$1500,0)),0))</f>
        <v>0</v>
      </c>
      <c r="O107">
        <f>IF(OR($B$60="",$B$15=""),0,IFERROR(INDEX('Dán TĐ nhân viên'!$N$1:$N$1500,MATCH("*"&amp;$C$15&amp;"|"&amp;$B$60,'Dán TĐ nhân viên'!$M$1:$M$1500,0)),0))</f>
        <v>0</v>
      </c>
      <c r="P107">
        <f>IF(OR($B$60="",$B$16=""),0,IFERROR(INDEX('Dán TĐ nhân viên'!$N$1:$N$1500,MATCH("*"&amp;$C$16&amp;"|"&amp;$B$60,'Dán TĐ nhân viên'!$M$1:$M$1500,0)),0))</f>
        <v>0</v>
      </c>
      <c r="Q107">
        <f>IF(OR($B$60="",$B$17=""),0,IFERROR(INDEX('Dán TĐ nhân viên'!$N$1:$N$1500,MATCH("*"&amp;$C$17&amp;"|"&amp;$B$60,'Dán TĐ nhân viên'!$M$1:$M$1500,0)),0))</f>
        <v>0</v>
      </c>
      <c r="R107">
        <f>IF(OR($B$60="",$B$18=""),0,IFERROR(INDEX('Dán TĐ nhân viên'!$N$1:$N$1500,MATCH("*"&amp;$C$18&amp;"|"&amp;$B$60,'Dán TĐ nhân viên'!$M$1:$M$1500,0)),0))</f>
        <v>0</v>
      </c>
      <c r="S107">
        <f>IF(OR($B$60="",$B$19=""),0,IFERROR(INDEX('Dán TĐ nhân viên'!$N$1:$N$1500,MATCH("*"&amp;$C$19&amp;"|"&amp;$B$60,'Dán TĐ nhân viên'!$M$1:$M$1500,0)),0))</f>
        <v>0</v>
      </c>
      <c r="T107">
        <f>IF(OR($B$60="",$B$20=""),0,IFERROR(INDEX('Dán TĐ nhân viên'!$N$1:$N$1500,MATCH("*"&amp;$C$20&amp;"|"&amp;$B$60,'Dán TĐ nhân viên'!$M$1:$M$1500,0)),0))</f>
        <v>0</v>
      </c>
      <c r="U107">
        <f>IF(OR($B$60="",$B$21=""),0,IFERROR(INDEX('Dán TĐ nhân viên'!$N$1:$N$1500,MATCH("*"&amp;$C$21&amp;"|"&amp;$B$60,'Dán TĐ nhân viên'!$M$1:$M$1500,0)),0))</f>
        <v>0</v>
      </c>
      <c r="V107">
        <f>IF(OR($B$60="",$B$22=""),0,IFERROR(INDEX('Dán TĐ nhân viên'!$N$1:$N$1500,MATCH("*"&amp;$C$22&amp;"|"&amp;$B$60,'Dán TĐ nhân viên'!$M$1:$M$1500,0)),0))</f>
        <v>0</v>
      </c>
    </row>
    <row r="108" spans="1:22" x14ac:dyDescent="0.3">
      <c r="A108">
        <v>23</v>
      </c>
      <c r="B108" t="str">
        <f t="shared" si="12"/>
        <v/>
      </c>
      <c r="C108">
        <f>IF(OR($B$61="",$B$3=""),0,IFERROR(INDEX('Dán TĐ nhân viên'!$N$1:$N$1500,MATCH("*"&amp;$C$3&amp;"|"&amp;$B$61,'Dán TĐ nhân viên'!$M$1:$M$1500,0)),0))</f>
        <v>0</v>
      </c>
      <c r="D108">
        <f>IF(OR($B$61="",$B$4=""),0,IFERROR(INDEX('Dán TĐ nhân viên'!$N$1:$N$1500,MATCH("*"&amp;$C$4&amp;"|"&amp;$B$61,'Dán TĐ nhân viên'!$M$1:$M$1500,0)),0))</f>
        <v>0</v>
      </c>
      <c r="E108">
        <f>IF(OR($B$61="",$B$5=""),0,IFERROR(INDEX('Dán TĐ nhân viên'!$N$1:$N$1500,MATCH("*"&amp;$C$5&amp;"|"&amp;$B$61,'Dán TĐ nhân viên'!$M$1:$M$1500,0)),0))</f>
        <v>0</v>
      </c>
      <c r="F108">
        <f>IF(OR($B$61="",$B$6=""),0,IFERROR(INDEX('Dán TĐ nhân viên'!$N$1:$N$1500,MATCH("*"&amp;$C$6&amp;"|"&amp;$B$61,'Dán TĐ nhân viên'!$M$1:$M$1500,0)),0))</f>
        <v>0</v>
      </c>
      <c r="G108">
        <f>IF(OR($B$61="",$B$7=""),0,IFERROR(INDEX('Dán TĐ nhân viên'!$N$1:$N$1500,MATCH("*"&amp;$C$7&amp;"|"&amp;$B$61,'Dán TĐ nhân viên'!$M$1:$M$1500,0)),0))</f>
        <v>0</v>
      </c>
      <c r="H108">
        <f>IF(OR($B$61="",$B$8=""),0,IFERROR(INDEX('Dán TĐ nhân viên'!$N$1:$N$1500,MATCH("*"&amp;$C$8&amp;"|"&amp;$B$61,'Dán TĐ nhân viên'!$M$1:$M$1500,0)),0))</f>
        <v>0</v>
      </c>
      <c r="I108">
        <f>IF(OR($B$61="",$B$9=""),0,IFERROR(INDEX('Dán TĐ nhân viên'!$N$1:$N$1500,MATCH("*"&amp;$C$9&amp;"|"&amp;$B$61,'Dán TĐ nhân viên'!$M$1:$M$1500,0)),0))</f>
        <v>0</v>
      </c>
      <c r="J108">
        <f>IF(OR($B$61="",$B$10=""),0,IFERROR(INDEX('Dán TĐ nhân viên'!$N$1:$N$1500,MATCH("*"&amp;$C$10&amp;"|"&amp;$B$61,'Dán TĐ nhân viên'!$M$1:$M$1500,0)),0))</f>
        <v>0</v>
      </c>
      <c r="K108">
        <f>IF(OR($B$61="",$B$11=""),0,IFERROR(INDEX('Dán TĐ nhân viên'!$N$1:$N$1500,MATCH("*"&amp;$C$11&amp;"|"&amp;$B$61,'Dán TĐ nhân viên'!$M$1:$M$1500,0)),0))</f>
        <v>0</v>
      </c>
      <c r="L108">
        <f>IF(OR($B$61="",$B$12=""),0,IFERROR(INDEX('Dán TĐ nhân viên'!$N$1:$N$1500,MATCH("*"&amp;$C$12&amp;"|"&amp;$B$61,'Dán TĐ nhân viên'!$M$1:$M$1500,0)),0))</f>
        <v>0</v>
      </c>
      <c r="M108">
        <f>IF(OR($B$61="",$B$13=""),0,IFERROR(INDEX('Dán TĐ nhân viên'!$N$1:$N$1500,MATCH("*"&amp;$C$13&amp;"|"&amp;$B$61,'Dán TĐ nhân viên'!$M$1:$M$1500,0)),0))</f>
        <v>0</v>
      </c>
      <c r="N108">
        <f>IF(OR($B$61="",$B$14=""),0,IFERROR(INDEX('Dán TĐ nhân viên'!$N$1:$N$1500,MATCH("*"&amp;$C$14&amp;"|"&amp;$B$61,'Dán TĐ nhân viên'!$M$1:$M$1500,0)),0))</f>
        <v>0</v>
      </c>
      <c r="O108">
        <f>IF(OR($B$61="",$B$15=""),0,IFERROR(INDEX('Dán TĐ nhân viên'!$N$1:$N$1500,MATCH("*"&amp;$C$15&amp;"|"&amp;$B$61,'Dán TĐ nhân viên'!$M$1:$M$1500,0)),0))</f>
        <v>0</v>
      </c>
      <c r="P108">
        <f>IF(OR($B$61="",$B$16=""),0,IFERROR(INDEX('Dán TĐ nhân viên'!$N$1:$N$1500,MATCH("*"&amp;$C$16&amp;"|"&amp;$B$61,'Dán TĐ nhân viên'!$M$1:$M$1500,0)),0))</f>
        <v>0</v>
      </c>
      <c r="Q108">
        <f>IF(OR($B$61="",$B$17=""),0,IFERROR(INDEX('Dán TĐ nhân viên'!$N$1:$N$1500,MATCH("*"&amp;$C$17&amp;"|"&amp;$B$61,'Dán TĐ nhân viên'!$M$1:$M$1500,0)),0))</f>
        <v>0</v>
      </c>
      <c r="R108">
        <f>IF(OR($B$61="",$B$18=""),0,IFERROR(INDEX('Dán TĐ nhân viên'!$N$1:$N$1500,MATCH("*"&amp;$C$18&amp;"|"&amp;$B$61,'Dán TĐ nhân viên'!$M$1:$M$1500,0)),0))</f>
        <v>0</v>
      </c>
      <c r="S108">
        <f>IF(OR($B$61="",$B$19=""),0,IFERROR(INDEX('Dán TĐ nhân viên'!$N$1:$N$1500,MATCH("*"&amp;$C$19&amp;"|"&amp;$B$61,'Dán TĐ nhân viên'!$M$1:$M$1500,0)),0))</f>
        <v>0</v>
      </c>
      <c r="T108">
        <f>IF(OR($B$61="",$B$20=""),0,IFERROR(INDEX('Dán TĐ nhân viên'!$N$1:$N$1500,MATCH("*"&amp;$C$20&amp;"|"&amp;$B$61,'Dán TĐ nhân viên'!$M$1:$M$1500,0)),0))</f>
        <v>0</v>
      </c>
      <c r="U108">
        <f>IF(OR($B$61="",$B$21=""),0,IFERROR(INDEX('Dán TĐ nhân viên'!$N$1:$N$1500,MATCH("*"&amp;$C$21&amp;"|"&amp;$B$61,'Dán TĐ nhân viên'!$M$1:$M$1500,0)),0))</f>
        <v>0</v>
      </c>
      <c r="V108">
        <f>IF(OR($B$61="",$B$22=""),0,IFERROR(INDEX('Dán TĐ nhân viên'!$N$1:$N$1500,MATCH("*"&amp;$C$22&amp;"|"&amp;$B$61,'Dán TĐ nhân viên'!$M$1:$M$1500,0)),0))</f>
        <v>0</v>
      </c>
    </row>
    <row r="109" spans="1:22" x14ac:dyDescent="0.3">
      <c r="A109">
        <v>24</v>
      </c>
      <c r="B109" t="str">
        <f t="shared" si="12"/>
        <v/>
      </c>
      <c r="C109">
        <f>IF(OR($B$62="",$B$3=""),0,IFERROR(INDEX('Dán TĐ nhân viên'!$N$1:$N$1500,MATCH("*"&amp;$C$3&amp;"|"&amp;$B$62,'Dán TĐ nhân viên'!$M$1:$M$1500,0)),0))</f>
        <v>0</v>
      </c>
      <c r="D109">
        <f>IF(OR($B$62="",$B$4=""),0,IFERROR(INDEX('Dán TĐ nhân viên'!$N$1:$N$1500,MATCH("*"&amp;$C$4&amp;"|"&amp;$B$62,'Dán TĐ nhân viên'!$M$1:$M$1500,0)),0))</f>
        <v>0</v>
      </c>
      <c r="E109">
        <f>IF(OR($B$62="",$B$5=""),0,IFERROR(INDEX('Dán TĐ nhân viên'!$N$1:$N$1500,MATCH("*"&amp;$C$5&amp;"|"&amp;$B$62,'Dán TĐ nhân viên'!$M$1:$M$1500,0)),0))</f>
        <v>0</v>
      </c>
      <c r="F109">
        <f>IF(OR($B$62="",$B$6=""),0,IFERROR(INDEX('Dán TĐ nhân viên'!$N$1:$N$1500,MATCH("*"&amp;$C$6&amp;"|"&amp;$B$62,'Dán TĐ nhân viên'!$M$1:$M$1500,0)),0))</f>
        <v>0</v>
      </c>
      <c r="G109">
        <f>IF(OR($B$62="",$B$7=""),0,IFERROR(INDEX('Dán TĐ nhân viên'!$N$1:$N$1500,MATCH("*"&amp;$C$7&amp;"|"&amp;$B$62,'Dán TĐ nhân viên'!$M$1:$M$1500,0)),0))</f>
        <v>0</v>
      </c>
      <c r="H109">
        <f>IF(OR($B$62="",$B$8=""),0,IFERROR(INDEX('Dán TĐ nhân viên'!$N$1:$N$1500,MATCH("*"&amp;$C$8&amp;"|"&amp;$B$62,'Dán TĐ nhân viên'!$M$1:$M$1500,0)),0))</f>
        <v>0</v>
      </c>
      <c r="I109">
        <f>IF(OR($B$62="",$B$9=""),0,IFERROR(INDEX('Dán TĐ nhân viên'!$N$1:$N$1500,MATCH("*"&amp;$C$9&amp;"|"&amp;$B$62,'Dán TĐ nhân viên'!$M$1:$M$1500,0)),0))</f>
        <v>0</v>
      </c>
      <c r="J109">
        <f>IF(OR($B$62="",$B$10=""),0,IFERROR(INDEX('Dán TĐ nhân viên'!$N$1:$N$1500,MATCH("*"&amp;$C$10&amp;"|"&amp;$B$62,'Dán TĐ nhân viên'!$M$1:$M$1500,0)),0))</f>
        <v>0</v>
      </c>
      <c r="K109">
        <f>IF(OR($B$62="",$B$11=""),0,IFERROR(INDEX('Dán TĐ nhân viên'!$N$1:$N$1500,MATCH("*"&amp;$C$11&amp;"|"&amp;$B$62,'Dán TĐ nhân viên'!$M$1:$M$1500,0)),0))</f>
        <v>0</v>
      </c>
      <c r="L109">
        <f>IF(OR($B$62="",$B$12=""),0,IFERROR(INDEX('Dán TĐ nhân viên'!$N$1:$N$1500,MATCH("*"&amp;$C$12&amp;"|"&amp;$B$62,'Dán TĐ nhân viên'!$M$1:$M$1500,0)),0))</f>
        <v>0</v>
      </c>
      <c r="M109">
        <f>IF(OR($B$62="",$B$13=""),0,IFERROR(INDEX('Dán TĐ nhân viên'!$N$1:$N$1500,MATCH("*"&amp;$C$13&amp;"|"&amp;$B$62,'Dán TĐ nhân viên'!$M$1:$M$1500,0)),0))</f>
        <v>0</v>
      </c>
      <c r="N109">
        <f>IF(OR($B$62="",$B$14=""),0,IFERROR(INDEX('Dán TĐ nhân viên'!$N$1:$N$1500,MATCH("*"&amp;$C$14&amp;"|"&amp;$B$62,'Dán TĐ nhân viên'!$M$1:$M$1500,0)),0))</f>
        <v>0</v>
      </c>
      <c r="O109">
        <f>IF(OR($B$62="",$B$15=""),0,IFERROR(INDEX('Dán TĐ nhân viên'!$N$1:$N$1500,MATCH("*"&amp;$C$15&amp;"|"&amp;$B$62,'Dán TĐ nhân viên'!$M$1:$M$1500,0)),0))</f>
        <v>0</v>
      </c>
      <c r="P109">
        <f>IF(OR($B$62="",$B$16=""),0,IFERROR(INDEX('Dán TĐ nhân viên'!$N$1:$N$1500,MATCH("*"&amp;$C$16&amp;"|"&amp;$B$62,'Dán TĐ nhân viên'!$M$1:$M$1500,0)),0))</f>
        <v>0</v>
      </c>
      <c r="Q109">
        <f>IF(OR($B$62="",$B$17=""),0,IFERROR(INDEX('Dán TĐ nhân viên'!$N$1:$N$1500,MATCH("*"&amp;$C$17&amp;"|"&amp;$B$62,'Dán TĐ nhân viên'!$M$1:$M$1500,0)),0))</f>
        <v>0</v>
      </c>
      <c r="R109">
        <f>IF(OR($B$62="",$B$18=""),0,IFERROR(INDEX('Dán TĐ nhân viên'!$N$1:$N$1500,MATCH("*"&amp;$C$18&amp;"|"&amp;$B$62,'Dán TĐ nhân viên'!$M$1:$M$1500,0)),0))</f>
        <v>0</v>
      </c>
      <c r="S109">
        <f>IF(OR($B$62="",$B$19=""),0,IFERROR(INDEX('Dán TĐ nhân viên'!$N$1:$N$1500,MATCH("*"&amp;$C$19&amp;"|"&amp;$B$62,'Dán TĐ nhân viên'!$M$1:$M$1500,0)),0))</f>
        <v>0</v>
      </c>
      <c r="T109">
        <f>IF(OR($B$62="",$B$20=""),0,IFERROR(INDEX('Dán TĐ nhân viên'!$N$1:$N$1500,MATCH("*"&amp;$C$20&amp;"|"&amp;$B$62,'Dán TĐ nhân viên'!$M$1:$M$1500,0)),0))</f>
        <v>0</v>
      </c>
      <c r="U109">
        <f>IF(OR($B$62="",$B$21=""),0,IFERROR(INDEX('Dán TĐ nhân viên'!$N$1:$N$1500,MATCH("*"&amp;$C$21&amp;"|"&amp;$B$62,'Dán TĐ nhân viên'!$M$1:$M$1500,0)),0))</f>
        <v>0</v>
      </c>
      <c r="V109">
        <f>IF(OR($B$62="",$B$22=""),0,IFERROR(INDEX('Dán TĐ nhân viên'!$N$1:$N$1500,MATCH("*"&amp;$C$22&amp;"|"&amp;$B$62,'Dán TĐ nhân viên'!$M$1:$M$1500,0)),0))</f>
        <v>0</v>
      </c>
    </row>
    <row r="110" spans="1:22" x14ac:dyDescent="0.3">
      <c r="A110">
        <v>25</v>
      </c>
      <c r="B110" t="str">
        <f t="shared" si="12"/>
        <v/>
      </c>
      <c r="C110">
        <f>IF(OR($B$63="",$B$3=""),0,IFERROR(INDEX('Dán TĐ nhân viên'!$N$1:$N$1500,MATCH("*"&amp;$C$3&amp;"|"&amp;$B$63,'Dán TĐ nhân viên'!$M$1:$M$1500,0)),0))</f>
        <v>0</v>
      </c>
      <c r="D110">
        <f>IF(OR($B$63="",$B$4=""),0,IFERROR(INDEX('Dán TĐ nhân viên'!$N$1:$N$1500,MATCH("*"&amp;$C$4&amp;"|"&amp;$B$63,'Dán TĐ nhân viên'!$M$1:$M$1500,0)),0))</f>
        <v>0</v>
      </c>
      <c r="E110">
        <f>IF(OR($B$63="",$B$5=""),0,IFERROR(INDEX('Dán TĐ nhân viên'!$N$1:$N$1500,MATCH("*"&amp;$C$5&amp;"|"&amp;$B$63,'Dán TĐ nhân viên'!$M$1:$M$1500,0)),0))</f>
        <v>0</v>
      </c>
      <c r="F110">
        <f>IF(OR($B$63="",$B$6=""),0,IFERROR(INDEX('Dán TĐ nhân viên'!$N$1:$N$1500,MATCH("*"&amp;$C$6&amp;"|"&amp;$B$63,'Dán TĐ nhân viên'!$M$1:$M$1500,0)),0))</f>
        <v>0</v>
      </c>
      <c r="G110">
        <f>IF(OR($B$63="",$B$7=""),0,IFERROR(INDEX('Dán TĐ nhân viên'!$N$1:$N$1500,MATCH("*"&amp;$C$7&amp;"|"&amp;$B$63,'Dán TĐ nhân viên'!$M$1:$M$1500,0)),0))</f>
        <v>0</v>
      </c>
      <c r="H110">
        <f>IF(OR($B$63="",$B$8=""),0,IFERROR(INDEX('Dán TĐ nhân viên'!$N$1:$N$1500,MATCH("*"&amp;$C$8&amp;"|"&amp;$B$63,'Dán TĐ nhân viên'!$M$1:$M$1500,0)),0))</f>
        <v>0</v>
      </c>
      <c r="I110">
        <f>IF(OR($B$63="",$B$9=""),0,IFERROR(INDEX('Dán TĐ nhân viên'!$N$1:$N$1500,MATCH("*"&amp;$C$9&amp;"|"&amp;$B$63,'Dán TĐ nhân viên'!$M$1:$M$1500,0)),0))</f>
        <v>0</v>
      </c>
      <c r="J110">
        <f>IF(OR($B$63="",$B$10=""),0,IFERROR(INDEX('Dán TĐ nhân viên'!$N$1:$N$1500,MATCH("*"&amp;$C$10&amp;"|"&amp;$B$63,'Dán TĐ nhân viên'!$M$1:$M$1500,0)),0))</f>
        <v>0</v>
      </c>
      <c r="K110">
        <f>IF(OR($B$63="",$B$11=""),0,IFERROR(INDEX('Dán TĐ nhân viên'!$N$1:$N$1500,MATCH("*"&amp;$C$11&amp;"|"&amp;$B$63,'Dán TĐ nhân viên'!$M$1:$M$1500,0)),0))</f>
        <v>0</v>
      </c>
      <c r="L110">
        <f>IF(OR($B$63="",$B$12=""),0,IFERROR(INDEX('Dán TĐ nhân viên'!$N$1:$N$1500,MATCH("*"&amp;$C$12&amp;"|"&amp;$B$63,'Dán TĐ nhân viên'!$M$1:$M$1500,0)),0))</f>
        <v>0</v>
      </c>
      <c r="M110">
        <f>IF(OR($B$63="",$B$13=""),0,IFERROR(INDEX('Dán TĐ nhân viên'!$N$1:$N$1500,MATCH("*"&amp;$C$13&amp;"|"&amp;$B$63,'Dán TĐ nhân viên'!$M$1:$M$1500,0)),0))</f>
        <v>0</v>
      </c>
      <c r="N110">
        <f>IF(OR($B$63="",$B$14=""),0,IFERROR(INDEX('Dán TĐ nhân viên'!$N$1:$N$1500,MATCH("*"&amp;$C$14&amp;"|"&amp;$B$63,'Dán TĐ nhân viên'!$M$1:$M$1500,0)),0))</f>
        <v>0</v>
      </c>
      <c r="O110">
        <f>IF(OR($B$63="",$B$15=""),0,IFERROR(INDEX('Dán TĐ nhân viên'!$N$1:$N$1500,MATCH("*"&amp;$C$15&amp;"|"&amp;$B$63,'Dán TĐ nhân viên'!$M$1:$M$1500,0)),0))</f>
        <v>0</v>
      </c>
      <c r="P110">
        <f>IF(OR($B$63="",$B$16=""),0,IFERROR(INDEX('Dán TĐ nhân viên'!$N$1:$N$1500,MATCH("*"&amp;$C$16&amp;"|"&amp;$B$63,'Dán TĐ nhân viên'!$M$1:$M$1500,0)),0))</f>
        <v>0</v>
      </c>
      <c r="Q110">
        <f>IF(OR($B$63="",$B$17=""),0,IFERROR(INDEX('Dán TĐ nhân viên'!$N$1:$N$1500,MATCH("*"&amp;$C$17&amp;"|"&amp;$B$63,'Dán TĐ nhân viên'!$M$1:$M$1500,0)),0))</f>
        <v>0</v>
      </c>
      <c r="R110">
        <f>IF(OR($B$63="",$B$18=""),0,IFERROR(INDEX('Dán TĐ nhân viên'!$N$1:$N$1500,MATCH("*"&amp;$C$18&amp;"|"&amp;$B$63,'Dán TĐ nhân viên'!$M$1:$M$1500,0)),0))</f>
        <v>0</v>
      </c>
      <c r="S110">
        <f>IF(OR($B$63="",$B$19=""),0,IFERROR(INDEX('Dán TĐ nhân viên'!$N$1:$N$1500,MATCH("*"&amp;$C$19&amp;"|"&amp;$B$63,'Dán TĐ nhân viên'!$M$1:$M$1500,0)),0))</f>
        <v>0</v>
      </c>
      <c r="T110">
        <f>IF(OR($B$63="",$B$20=""),0,IFERROR(INDEX('Dán TĐ nhân viên'!$N$1:$N$1500,MATCH("*"&amp;$C$20&amp;"|"&amp;$B$63,'Dán TĐ nhân viên'!$M$1:$M$1500,0)),0))</f>
        <v>0</v>
      </c>
      <c r="U110">
        <f>IF(OR($B$63="",$B$21=""),0,IFERROR(INDEX('Dán TĐ nhân viên'!$N$1:$N$1500,MATCH("*"&amp;$C$21&amp;"|"&amp;$B$63,'Dán TĐ nhân viên'!$M$1:$M$1500,0)),0))</f>
        <v>0</v>
      </c>
      <c r="V110">
        <f>IF(OR($B$63="",$B$22=""),0,IFERROR(INDEX('Dán TĐ nhân viên'!$N$1:$N$1500,MATCH("*"&amp;$C$22&amp;"|"&amp;$B$63,'Dán TĐ nhân viên'!$M$1:$M$1500,0)),0))</f>
        <v>0</v>
      </c>
    </row>
    <row r="111" spans="1:22" x14ac:dyDescent="0.3">
      <c r="A111">
        <v>26</v>
      </c>
      <c r="B111" t="str">
        <f t="shared" si="12"/>
        <v/>
      </c>
      <c r="C111">
        <f>IF(OR($B$64="",$B$3=""),0,IFERROR(INDEX('Dán TĐ nhân viên'!$N$1:$N$1500,MATCH("*"&amp;$C$3&amp;"|"&amp;$B$64,'Dán TĐ nhân viên'!$M$1:$M$1500,0)),0))</f>
        <v>0</v>
      </c>
      <c r="D111">
        <f>IF(OR($B$64="",$B$4=""),0,IFERROR(INDEX('Dán TĐ nhân viên'!$N$1:$N$1500,MATCH("*"&amp;$C$4&amp;"|"&amp;$B$64,'Dán TĐ nhân viên'!$M$1:$M$1500,0)),0))</f>
        <v>0</v>
      </c>
      <c r="E111">
        <f>IF(OR($B$64="",$B$5=""),0,IFERROR(INDEX('Dán TĐ nhân viên'!$N$1:$N$1500,MATCH("*"&amp;$C$5&amp;"|"&amp;$B$64,'Dán TĐ nhân viên'!$M$1:$M$1500,0)),0))</f>
        <v>0</v>
      </c>
      <c r="F111">
        <f>IF(OR($B$64="",$B$6=""),0,IFERROR(INDEX('Dán TĐ nhân viên'!$N$1:$N$1500,MATCH("*"&amp;$C$6&amp;"|"&amp;$B$64,'Dán TĐ nhân viên'!$M$1:$M$1500,0)),0))</f>
        <v>0</v>
      </c>
      <c r="G111">
        <f>IF(OR($B$64="",$B$7=""),0,IFERROR(INDEX('Dán TĐ nhân viên'!$N$1:$N$1500,MATCH("*"&amp;$C$7&amp;"|"&amp;$B$64,'Dán TĐ nhân viên'!$M$1:$M$1500,0)),0))</f>
        <v>0</v>
      </c>
      <c r="H111">
        <f>IF(OR($B$64="",$B$8=""),0,IFERROR(INDEX('Dán TĐ nhân viên'!$N$1:$N$1500,MATCH("*"&amp;$C$8&amp;"|"&amp;$B$64,'Dán TĐ nhân viên'!$M$1:$M$1500,0)),0))</f>
        <v>0</v>
      </c>
      <c r="I111">
        <f>IF(OR($B$64="",$B$9=""),0,IFERROR(INDEX('Dán TĐ nhân viên'!$N$1:$N$1500,MATCH("*"&amp;$C$9&amp;"|"&amp;$B$64,'Dán TĐ nhân viên'!$M$1:$M$1500,0)),0))</f>
        <v>0</v>
      </c>
      <c r="J111">
        <f>IF(OR($B$64="",$B$10=""),0,IFERROR(INDEX('Dán TĐ nhân viên'!$N$1:$N$1500,MATCH("*"&amp;$C$10&amp;"|"&amp;$B$64,'Dán TĐ nhân viên'!$M$1:$M$1500,0)),0))</f>
        <v>0</v>
      </c>
      <c r="K111">
        <f>IF(OR($B$64="",$B$11=""),0,IFERROR(INDEX('Dán TĐ nhân viên'!$N$1:$N$1500,MATCH("*"&amp;$C$11&amp;"|"&amp;$B$64,'Dán TĐ nhân viên'!$M$1:$M$1500,0)),0))</f>
        <v>0</v>
      </c>
      <c r="L111">
        <f>IF(OR($B$64="",$B$12=""),0,IFERROR(INDEX('Dán TĐ nhân viên'!$N$1:$N$1500,MATCH("*"&amp;$C$12&amp;"|"&amp;$B$64,'Dán TĐ nhân viên'!$M$1:$M$1500,0)),0))</f>
        <v>0</v>
      </c>
      <c r="M111">
        <f>IF(OR($B$64="",$B$13=""),0,IFERROR(INDEX('Dán TĐ nhân viên'!$N$1:$N$1500,MATCH("*"&amp;$C$13&amp;"|"&amp;$B$64,'Dán TĐ nhân viên'!$M$1:$M$1500,0)),0))</f>
        <v>0</v>
      </c>
      <c r="N111">
        <f>IF(OR($B$64="",$B$14=""),0,IFERROR(INDEX('Dán TĐ nhân viên'!$N$1:$N$1500,MATCH("*"&amp;$C$14&amp;"|"&amp;$B$64,'Dán TĐ nhân viên'!$M$1:$M$1500,0)),0))</f>
        <v>0</v>
      </c>
      <c r="O111">
        <f>IF(OR($B$64="",$B$15=""),0,IFERROR(INDEX('Dán TĐ nhân viên'!$N$1:$N$1500,MATCH("*"&amp;$C$15&amp;"|"&amp;$B$64,'Dán TĐ nhân viên'!$M$1:$M$1500,0)),0))</f>
        <v>0</v>
      </c>
      <c r="P111">
        <f>IF(OR($B$64="",$B$16=""),0,IFERROR(INDEX('Dán TĐ nhân viên'!$N$1:$N$1500,MATCH("*"&amp;$C$16&amp;"|"&amp;$B$64,'Dán TĐ nhân viên'!$M$1:$M$1500,0)),0))</f>
        <v>0</v>
      </c>
      <c r="Q111">
        <f>IF(OR($B$64="",$B$17=""),0,IFERROR(INDEX('Dán TĐ nhân viên'!$N$1:$N$1500,MATCH("*"&amp;$C$17&amp;"|"&amp;$B$64,'Dán TĐ nhân viên'!$M$1:$M$1500,0)),0))</f>
        <v>0</v>
      </c>
      <c r="R111">
        <f>IF(OR($B$64="",$B$18=""),0,IFERROR(INDEX('Dán TĐ nhân viên'!$N$1:$N$1500,MATCH("*"&amp;$C$18&amp;"|"&amp;$B$64,'Dán TĐ nhân viên'!$M$1:$M$1500,0)),0))</f>
        <v>0</v>
      </c>
      <c r="S111">
        <f>IF(OR($B$64="",$B$19=""),0,IFERROR(INDEX('Dán TĐ nhân viên'!$N$1:$N$1500,MATCH("*"&amp;$C$19&amp;"|"&amp;$B$64,'Dán TĐ nhân viên'!$M$1:$M$1500,0)),0))</f>
        <v>0</v>
      </c>
      <c r="T111">
        <f>IF(OR($B$64="",$B$20=""),0,IFERROR(INDEX('Dán TĐ nhân viên'!$N$1:$N$1500,MATCH("*"&amp;$C$20&amp;"|"&amp;$B$64,'Dán TĐ nhân viên'!$M$1:$M$1500,0)),0))</f>
        <v>0</v>
      </c>
      <c r="U111">
        <f>IF(OR($B$64="",$B$21=""),0,IFERROR(INDEX('Dán TĐ nhân viên'!$N$1:$N$1500,MATCH("*"&amp;$C$21&amp;"|"&amp;$B$64,'Dán TĐ nhân viên'!$M$1:$M$1500,0)),0))</f>
        <v>0</v>
      </c>
      <c r="V111">
        <f>IF(OR($B$64="",$B$22=""),0,IFERROR(INDEX('Dán TĐ nhân viên'!$N$1:$N$1500,MATCH("*"&amp;$C$22&amp;"|"&amp;$B$64,'Dán TĐ nhân viên'!$M$1:$M$1500,0)),0))</f>
        <v>0</v>
      </c>
    </row>
    <row r="112" spans="1:22" x14ac:dyDescent="0.3">
      <c r="A112">
        <v>27</v>
      </c>
      <c r="B112" t="str">
        <f t="shared" si="12"/>
        <v/>
      </c>
      <c r="C112">
        <f>IF(OR($B$65="",$B$3=""),0,IFERROR(INDEX('Dán TĐ nhân viên'!$N$1:$N$1500,MATCH("*"&amp;$C$3&amp;"|"&amp;$B$65,'Dán TĐ nhân viên'!$M$1:$M$1500,0)),0))</f>
        <v>0</v>
      </c>
      <c r="D112">
        <f>IF(OR($B$65="",$B$4=""),0,IFERROR(INDEX('Dán TĐ nhân viên'!$N$1:$N$1500,MATCH("*"&amp;$C$4&amp;"|"&amp;$B$65,'Dán TĐ nhân viên'!$M$1:$M$1500,0)),0))</f>
        <v>0</v>
      </c>
      <c r="E112">
        <f>IF(OR($B$65="",$B$5=""),0,IFERROR(INDEX('Dán TĐ nhân viên'!$N$1:$N$1500,MATCH("*"&amp;$C$5&amp;"|"&amp;$B$65,'Dán TĐ nhân viên'!$M$1:$M$1500,0)),0))</f>
        <v>0</v>
      </c>
      <c r="F112">
        <f>IF(OR($B$65="",$B$6=""),0,IFERROR(INDEX('Dán TĐ nhân viên'!$N$1:$N$1500,MATCH("*"&amp;$C$6&amp;"|"&amp;$B$65,'Dán TĐ nhân viên'!$M$1:$M$1500,0)),0))</f>
        <v>0</v>
      </c>
      <c r="G112">
        <f>IF(OR($B$65="",$B$7=""),0,IFERROR(INDEX('Dán TĐ nhân viên'!$N$1:$N$1500,MATCH("*"&amp;$C$7&amp;"|"&amp;$B$65,'Dán TĐ nhân viên'!$M$1:$M$1500,0)),0))</f>
        <v>0</v>
      </c>
      <c r="H112">
        <f>IF(OR($B$65="",$B$8=""),0,IFERROR(INDEX('Dán TĐ nhân viên'!$N$1:$N$1500,MATCH("*"&amp;$C$8&amp;"|"&amp;$B$65,'Dán TĐ nhân viên'!$M$1:$M$1500,0)),0))</f>
        <v>0</v>
      </c>
      <c r="I112">
        <f>IF(OR($B$65="",$B$9=""),0,IFERROR(INDEX('Dán TĐ nhân viên'!$N$1:$N$1500,MATCH("*"&amp;$C$9&amp;"|"&amp;$B$65,'Dán TĐ nhân viên'!$M$1:$M$1500,0)),0))</f>
        <v>0</v>
      </c>
      <c r="J112">
        <f>IF(OR($B$65="",$B$10=""),0,IFERROR(INDEX('Dán TĐ nhân viên'!$N$1:$N$1500,MATCH("*"&amp;$C$10&amp;"|"&amp;$B$65,'Dán TĐ nhân viên'!$M$1:$M$1500,0)),0))</f>
        <v>0</v>
      </c>
      <c r="K112">
        <f>IF(OR($B$65="",$B$11=""),0,IFERROR(INDEX('Dán TĐ nhân viên'!$N$1:$N$1500,MATCH("*"&amp;$C$11&amp;"|"&amp;$B$65,'Dán TĐ nhân viên'!$M$1:$M$1500,0)),0))</f>
        <v>0</v>
      </c>
      <c r="L112">
        <f>IF(OR($B$65="",$B$12=""),0,IFERROR(INDEX('Dán TĐ nhân viên'!$N$1:$N$1500,MATCH("*"&amp;$C$12&amp;"|"&amp;$B$65,'Dán TĐ nhân viên'!$M$1:$M$1500,0)),0))</f>
        <v>0</v>
      </c>
      <c r="M112">
        <f>IF(OR($B$65="",$B$13=""),0,IFERROR(INDEX('Dán TĐ nhân viên'!$N$1:$N$1500,MATCH("*"&amp;$C$13&amp;"|"&amp;$B$65,'Dán TĐ nhân viên'!$M$1:$M$1500,0)),0))</f>
        <v>0</v>
      </c>
      <c r="N112">
        <f>IF(OR($B$65="",$B$14=""),0,IFERROR(INDEX('Dán TĐ nhân viên'!$N$1:$N$1500,MATCH("*"&amp;$C$14&amp;"|"&amp;$B$65,'Dán TĐ nhân viên'!$M$1:$M$1500,0)),0))</f>
        <v>0</v>
      </c>
      <c r="O112">
        <f>IF(OR($B$65="",$B$15=""),0,IFERROR(INDEX('Dán TĐ nhân viên'!$N$1:$N$1500,MATCH("*"&amp;$C$15&amp;"|"&amp;$B$65,'Dán TĐ nhân viên'!$M$1:$M$1500,0)),0))</f>
        <v>0</v>
      </c>
      <c r="P112">
        <f>IF(OR($B$65="",$B$16=""),0,IFERROR(INDEX('Dán TĐ nhân viên'!$N$1:$N$1500,MATCH("*"&amp;$C$16&amp;"|"&amp;$B$65,'Dán TĐ nhân viên'!$M$1:$M$1500,0)),0))</f>
        <v>0</v>
      </c>
      <c r="Q112">
        <f>IF(OR($B$65="",$B$17=""),0,IFERROR(INDEX('Dán TĐ nhân viên'!$N$1:$N$1500,MATCH("*"&amp;$C$17&amp;"|"&amp;$B$65,'Dán TĐ nhân viên'!$M$1:$M$1500,0)),0))</f>
        <v>0</v>
      </c>
      <c r="R112">
        <f>IF(OR($B$65="",$B$18=""),0,IFERROR(INDEX('Dán TĐ nhân viên'!$N$1:$N$1500,MATCH("*"&amp;$C$18&amp;"|"&amp;$B$65,'Dán TĐ nhân viên'!$M$1:$M$1500,0)),0))</f>
        <v>0</v>
      </c>
      <c r="S112">
        <f>IF(OR($B$65="",$B$19=""),0,IFERROR(INDEX('Dán TĐ nhân viên'!$N$1:$N$1500,MATCH("*"&amp;$C$19&amp;"|"&amp;$B$65,'Dán TĐ nhân viên'!$M$1:$M$1500,0)),0))</f>
        <v>0</v>
      </c>
      <c r="T112">
        <f>IF(OR($B$65="",$B$20=""),0,IFERROR(INDEX('Dán TĐ nhân viên'!$N$1:$N$1500,MATCH("*"&amp;$C$20&amp;"|"&amp;$B$65,'Dán TĐ nhân viên'!$M$1:$M$1500,0)),0))</f>
        <v>0</v>
      </c>
      <c r="U112">
        <f>IF(OR($B$65="",$B$21=""),0,IFERROR(INDEX('Dán TĐ nhân viên'!$N$1:$N$1500,MATCH("*"&amp;$C$21&amp;"|"&amp;$B$65,'Dán TĐ nhân viên'!$M$1:$M$1500,0)),0))</f>
        <v>0</v>
      </c>
      <c r="V112">
        <f>IF(OR($B$65="",$B$22=""),0,IFERROR(INDEX('Dán TĐ nhân viên'!$N$1:$N$1500,MATCH("*"&amp;$C$22&amp;"|"&amp;$B$65,'Dán TĐ nhân viên'!$M$1:$M$1500,0)),0))</f>
        <v>0</v>
      </c>
    </row>
    <row r="113" spans="1:22" x14ac:dyDescent="0.3">
      <c r="A113">
        <v>28</v>
      </c>
      <c r="B113" t="str">
        <f t="shared" si="12"/>
        <v/>
      </c>
      <c r="C113">
        <f>IF(OR($B$66="",$B$3=""),0,IFERROR(INDEX('Dán TĐ nhân viên'!$N$1:$N$1500,MATCH("*"&amp;$C$3&amp;"|"&amp;$B$66,'Dán TĐ nhân viên'!$M$1:$M$1500,0)),0))</f>
        <v>0</v>
      </c>
      <c r="D113">
        <f>IF(OR($B$66="",$B$4=""),0,IFERROR(INDEX('Dán TĐ nhân viên'!$N$1:$N$1500,MATCH("*"&amp;$C$4&amp;"|"&amp;$B$66,'Dán TĐ nhân viên'!$M$1:$M$1500,0)),0))</f>
        <v>0</v>
      </c>
      <c r="E113">
        <f>IF(OR($B$66="",$B$5=""),0,IFERROR(INDEX('Dán TĐ nhân viên'!$N$1:$N$1500,MATCH("*"&amp;$C$5&amp;"|"&amp;$B$66,'Dán TĐ nhân viên'!$M$1:$M$1500,0)),0))</f>
        <v>0</v>
      </c>
      <c r="F113">
        <f>IF(OR($B$66="",$B$6=""),0,IFERROR(INDEX('Dán TĐ nhân viên'!$N$1:$N$1500,MATCH("*"&amp;$C$6&amp;"|"&amp;$B$66,'Dán TĐ nhân viên'!$M$1:$M$1500,0)),0))</f>
        <v>0</v>
      </c>
      <c r="G113">
        <f>IF(OR($B$66="",$B$7=""),0,IFERROR(INDEX('Dán TĐ nhân viên'!$N$1:$N$1500,MATCH("*"&amp;$C$7&amp;"|"&amp;$B$66,'Dán TĐ nhân viên'!$M$1:$M$1500,0)),0))</f>
        <v>0</v>
      </c>
      <c r="H113">
        <f>IF(OR($B$66="",$B$8=""),0,IFERROR(INDEX('Dán TĐ nhân viên'!$N$1:$N$1500,MATCH("*"&amp;$C$8&amp;"|"&amp;$B$66,'Dán TĐ nhân viên'!$M$1:$M$1500,0)),0))</f>
        <v>0</v>
      </c>
      <c r="I113">
        <f>IF(OR($B$66="",$B$9=""),0,IFERROR(INDEX('Dán TĐ nhân viên'!$N$1:$N$1500,MATCH("*"&amp;$C$9&amp;"|"&amp;$B$66,'Dán TĐ nhân viên'!$M$1:$M$1500,0)),0))</f>
        <v>0</v>
      </c>
      <c r="J113">
        <f>IF(OR($B$66="",$B$10=""),0,IFERROR(INDEX('Dán TĐ nhân viên'!$N$1:$N$1500,MATCH("*"&amp;$C$10&amp;"|"&amp;$B$66,'Dán TĐ nhân viên'!$M$1:$M$1500,0)),0))</f>
        <v>0</v>
      </c>
      <c r="K113">
        <f>IF(OR($B$66="",$B$11=""),0,IFERROR(INDEX('Dán TĐ nhân viên'!$N$1:$N$1500,MATCH("*"&amp;$C$11&amp;"|"&amp;$B$66,'Dán TĐ nhân viên'!$M$1:$M$1500,0)),0))</f>
        <v>0</v>
      </c>
      <c r="L113">
        <f>IF(OR($B$66="",$B$12=""),0,IFERROR(INDEX('Dán TĐ nhân viên'!$N$1:$N$1500,MATCH("*"&amp;$C$12&amp;"|"&amp;$B$66,'Dán TĐ nhân viên'!$M$1:$M$1500,0)),0))</f>
        <v>0</v>
      </c>
      <c r="M113">
        <f>IF(OR($B$66="",$B$13=""),0,IFERROR(INDEX('Dán TĐ nhân viên'!$N$1:$N$1500,MATCH("*"&amp;$C$13&amp;"|"&amp;$B$66,'Dán TĐ nhân viên'!$M$1:$M$1500,0)),0))</f>
        <v>0</v>
      </c>
      <c r="N113">
        <f>IF(OR($B$66="",$B$14=""),0,IFERROR(INDEX('Dán TĐ nhân viên'!$N$1:$N$1500,MATCH("*"&amp;$C$14&amp;"|"&amp;$B$66,'Dán TĐ nhân viên'!$M$1:$M$1500,0)),0))</f>
        <v>0</v>
      </c>
      <c r="O113">
        <f>IF(OR($B$66="",$B$15=""),0,IFERROR(INDEX('Dán TĐ nhân viên'!$N$1:$N$1500,MATCH("*"&amp;$C$15&amp;"|"&amp;$B$66,'Dán TĐ nhân viên'!$M$1:$M$1500,0)),0))</f>
        <v>0</v>
      </c>
      <c r="P113">
        <f>IF(OR($B$66="",$B$16=""),0,IFERROR(INDEX('Dán TĐ nhân viên'!$N$1:$N$1500,MATCH("*"&amp;$C$16&amp;"|"&amp;$B$66,'Dán TĐ nhân viên'!$M$1:$M$1500,0)),0))</f>
        <v>0</v>
      </c>
      <c r="Q113">
        <f>IF(OR($B$66="",$B$17=""),0,IFERROR(INDEX('Dán TĐ nhân viên'!$N$1:$N$1500,MATCH("*"&amp;$C$17&amp;"|"&amp;$B$66,'Dán TĐ nhân viên'!$M$1:$M$1500,0)),0))</f>
        <v>0</v>
      </c>
      <c r="R113">
        <f>IF(OR($B$66="",$B$18=""),0,IFERROR(INDEX('Dán TĐ nhân viên'!$N$1:$N$1500,MATCH("*"&amp;$C$18&amp;"|"&amp;$B$66,'Dán TĐ nhân viên'!$M$1:$M$1500,0)),0))</f>
        <v>0</v>
      </c>
      <c r="S113">
        <f>IF(OR($B$66="",$B$19=""),0,IFERROR(INDEX('Dán TĐ nhân viên'!$N$1:$N$1500,MATCH("*"&amp;$C$19&amp;"|"&amp;$B$66,'Dán TĐ nhân viên'!$M$1:$M$1500,0)),0))</f>
        <v>0</v>
      </c>
      <c r="T113">
        <f>IF(OR($B$66="",$B$20=""),0,IFERROR(INDEX('Dán TĐ nhân viên'!$N$1:$N$1500,MATCH("*"&amp;$C$20&amp;"|"&amp;$B$66,'Dán TĐ nhân viên'!$M$1:$M$1500,0)),0))</f>
        <v>0</v>
      </c>
      <c r="U113">
        <f>IF(OR($B$66="",$B$21=""),0,IFERROR(INDEX('Dán TĐ nhân viên'!$N$1:$N$1500,MATCH("*"&amp;$C$21&amp;"|"&amp;$B$66,'Dán TĐ nhân viên'!$M$1:$M$1500,0)),0))</f>
        <v>0</v>
      </c>
      <c r="V113">
        <f>IF(OR($B$66="",$B$22=""),0,IFERROR(INDEX('Dán TĐ nhân viên'!$N$1:$N$1500,MATCH("*"&amp;$C$22&amp;"|"&amp;$B$66,'Dán TĐ nhân viên'!$M$1:$M$1500,0)),0))</f>
        <v>0</v>
      </c>
    </row>
    <row r="114" spans="1:22" x14ac:dyDescent="0.3">
      <c r="A114">
        <v>29</v>
      </c>
      <c r="B114" t="str">
        <f t="shared" si="12"/>
        <v/>
      </c>
      <c r="C114">
        <f>IF(OR($B$67="",$B$3=""),0,IFERROR(INDEX('Dán TĐ nhân viên'!$N$1:$N$1500,MATCH("*"&amp;$C$3&amp;"|"&amp;$B$67,'Dán TĐ nhân viên'!$M$1:$M$1500,0)),0))</f>
        <v>0</v>
      </c>
      <c r="D114">
        <f>IF(OR($B$67="",$B$4=""),0,IFERROR(INDEX('Dán TĐ nhân viên'!$N$1:$N$1500,MATCH("*"&amp;$C$4&amp;"|"&amp;$B$67,'Dán TĐ nhân viên'!$M$1:$M$1500,0)),0))</f>
        <v>0</v>
      </c>
      <c r="E114">
        <f>IF(OR($B$67="",$B$5=""),0,IFERROR(INDEX('Dán TĐ nhân viên'!$N$1:$N$1500,MATCH("*"&amp;$C$5&amp;"|"&amp;$B$67,'Dán TĐ nhân viên'!$M$1:$M$1500,0)),0))</f>
        <v>0</v>
      </c>
      <c r="F114">
        <f>IF(OR($B$67="",$B$6=""),0,IFERROR(INDEX('Dán TĐ nhân viên'!$N$1:$N$1500,MATCH("*"&amp;$C$6&amp;"|"&amp;$B$67,'Dán TĐ nhân viên'!$M$1:$M$1500,0)),0))</f>
        <v>0</v>
      </c>
      <c r="G114">
        <f>IF(OR($B$67="",$B$7=""),0,IFERROR(INDEX('Dán TĐ nhân viên'!$N$1:$N$1500,MATCH("*"&amp;$C$7&amp;"|"&amp;$B$67,'Dán TĐ nhân viên'!$M$1:$M$1500,0)),0))</f>
        <v>0</v>
      </c>
      <c r="H114">
        <f>IF(OR($B$67="",$B$8=""),0,IFERROR(INDEX('Dán TĐ nhân viên'!$N$1:$N$1500,MATCH("*"&amp;$C$8&amp;"|"&amp;$B$67,'Dán TĐ nhân viên'!$M$1:$M$1500,0)),0))</f>
        <v>0</v>
      </c>
      <c r="I114">
        <f>IF(OR($B$67="",$B$9=""),0,IFERROR(INDEX('Dán TĐ nhân viên'!$N$1:$N$1500,MATCH("*"&amp;$C$9&amp;"|"&amp;$B$67,'Dán TĐ nhân viên'!$M$1:$M$1500,0)),0))</f>
        <v>0</v>
      </c>
      <c r="J114">
        <f>IF(OR($B$67="",$B$10=""),0,IFERROR(INDEX('Dán TĐ nhân viên'!$N$1:$N$1500,MATCH("*"&amp;$C$10&amp;"|"&amp;$B$67,'Dán TĐ nhân viên'!$M$1:$M$1500,0)),0))</f>
        <v>0</v>
      </c>
      <c r="K114">
        <f>IF(OR($B$67="",$B$11=""),0,IFERROR(INDEX('Dán TĐ nhân viên'!$N$1:$N$1500,MATCH("*"&amp;$C$11&amp;"|"&amp;$B$67,'Dán TĐ nhân viên'!$M$1:$M$1500,0)),0))</f>
        <v>0</v>
      </c>
      <c r="L114">
        <f>IF(OR($B$67="",$B$12=""),0,IFERROR(INDEX('Dán TĐ nhân viên'!$N$1:$N$1500,MATCH("*"&amp;$C$12&amp;"|"&amp;$B$67,'Dán TĐ nhân viên'!$M$1:$M$1500,0)),0))</f>
        <v>0</v>
      </c>
      <c r="M114">
        <f>IF(OR($B$67="",$B$13=""),0,IFERROR(INDEX('Dán TĐ nhân viên'!$N$1:$N$1500,MATCH("*"&amp;$C$13&amp;"|"&amp;$B$67,'Dán TĐ nhân viên'!$M$1:$M$1500,0)),0))</f>
        <v>0</v>
      </c>
      <c r="N114">
        <f>IF(OR($B$67="",$B$14=""),0,IFERROR(INDEX('Dán TĐ nhân viên'!$N$1:$N$1500,MATCH("*"&amp;$C$14&amp;"|"&amp;$B$67,'Dán TĐ nhân viên'!$M$1:$M$1500,0)),0))</f>
        <v>0</v>
      </c>
      <c r="O114">
        <f>IF(OR($B$67="",$B$15=""),0,IFERROR(INDEX('Dán TĐ nhân viên'!$N$1:$N$1500,MATCH("*"&amp;$C$15&amp;"|"&amp;$B$67,'Dán TĐ nhân viên'!$M$1:$M$1500,0)),0))</f>
        <v>0</v>
      </c>
      <c r="P114">
        <f>IF(OR($B$67="",$B$16=""),0,IFERROR(INDEX('Dán TĐ nhân viên'!$N$1:$N$1500,MATCH("*"&amp;$C$16&amp;"|"&amp;$B$67,'Dán TĐ nhân viên'!$M$1:$M$1500,0)),0))</f>
        <v>0</v>
      </c>
      <c r="Q114">
        <f>IF(OR($B$67="",$B$17=""),0,IFERROR(INDEX('Dán TĐ nhân viên'!$N$1:$N$1500,MATCH("*"&amp;$C$17&amp;"|"&amp;$B$67,'Dán TĐ nhân viên'!$M$1:$M$1500,0)),0))</f>
        <v>0</v>
      </c>
      <c r="R114">
        <f>IF(OR($B$67="",$B$18=""),0,IFERROR(INDEX('Dán TĐ nhân viên'!$N$1:$N$1500,MATCH("*"&amp;$C$18&amp;"|"&amp;$B$67,'Dán TĐ nhân viên'!$M$1:$M$1500,0)),0))</f>
        <v>0</v>
      </c>
      <c r="S114">
        <f>IF(OR($B$67="",$B$19=""),0,IFERROR(INDEX('Dán TĐ nhân viên'!$N$1:$N$1500,MATCH("*"&amp;$C$19&amp;"|"&amp;$B$67,'Dán TĐ nhân viên'!$M$1:$M$1500,0)),0))</f>
        <v>0</v>
      </c>
      <c r="T114">
        <f>IF(OR($B$67="",$B$20=""),0,IFERROR(INDEX('Dán TĐ nhân viên'!$N$1:$N$1500,MATCH("*"&amp;$C$20&amp;"|"&amp;$B$67,'Dán TĐ nhân viên'!$M$1:$M$1500,0)),0))</f>
        <v>0</v>
      </c>
      <c r="U114">
        <f>IF(OR($B$67="",$B$21=""),0,IFERROR(INDEX('Dán TĐ nhân viên'!$N$1:$N$1500,MATCH("*"&amp;$C$21&amp;"|"&amp;$B$67,'Dán TĐ nhân viên'!$M$1:$M$1500,0)),0))</f>
        <v>0</v>
      </c>
      <c r="V114">
        <f>IF(OR($B$67="",$B$22=""),0,IFERROR(INDEX('Dán TĐ nhân viên'!$N$1:$N$1500,MATCH("*"&amp;$C$22&amp;"|"&amp;$B$67,'Dán TĐ nhân viên'!$M$1:$M$1500,0)),0))</f>
        <v>0</v>
      </c>
    </row>
    <row r="115" spans="1:22" x14ac:dyDescent="0.3">
      <c r="A115">
        <v>30</v>
      </c>
      <c r="B115" t="str">
        <f t="shared" si="12"/>
        <v/>
      </c>
      <c r="C115">
        <f>IF(OR($B$68="",$B$3=""),0,IFERROR(INDEX('Dán TĐ nhân viên'!$N$1:$N$1500,MATCH("*"&amp;$C$3&amp;"|"&amp;$B$68,'Dán TĐ nhân viên'!$M$1:$M$1500,0)),0))</f>
        <v>0</v>
      </c>
      <c r="D115">
        <f>IF(OR($B$68="",$B$4=""),0,IFERROR(INDEX('Dán TĐ nhân viên'!$N$1:$N$1500,MATCH("*"&amp;$C$4&amp;"|"&amp;$B$68,'Dán TĐ nhân viên'!$M$1:$M$1500,0)),0))</f>
        <v>0</v>
      </c>
      <c r="E115">
        <f>IF(OR($B$68="",$B$5=""),0,IFERROR(INDEX('Dán TĐ nhân viên'!$N$1:$N$1500,MATCH("*"&amp;$C$5&amp;"|"&amp;$B$68,'Dán TĐ nhân viên'!$M$1:$M$1500,0)),0))</f>
        <v>0</v>
      </c>
      <c r="F115">
        <f>IF(OR($B$68="",$B$6=""),0,IFERROR(INDEX('Dán TĐ nhân viên'!$N$1:$N$1500,MATCH("*"&amp;$C$6&amp;"|"&amp;$B$68,'Dán TĐ nhân viên'!$M$1:$M$1500,0)),0))</f>
        <v>0</v>
      </c>
      <c r="G115">
        <f>IF(OR($B$68="",$B$7=""),0,IFERROR(INDEX('Dán TĐ nhân viên'!$N$1:$N$1500,MATCH("*"&amp;$C$7&amp;"|"&amp;$B$68,'Dán TĐ nhân viên'!$M$1:$M$1500,0)),0))</f>
        <v>0</v>
      </c>
      <c r="H115">
        <f>IF(OR($B$68="",$B$8=""),0,IFERROR(INDEX('Dán TĐ nhân viên'!$N$1:$N$1500,MATCH("*"&amp;$C$8&amp;"|"&amp;$B$68,'Dán TĐ nhân viên'!$M$1:$M$1500,0)),0))</f>
        <v>0</v>
      </c>
      <c r="I115">
        <f>IF(OR($B$68="",$B$9=""),0,IFERROR(INDEX('Dán TĐ nhân viên'!$N$1:$N$1500,MATCH("*"&amp;$C$9&amp;"|"&amp;$B$68,'Dán TĐ nhân viên'!$M$1:$M$1500,0)),0))</f>
        <v>0</v>
      </c>
      <c r="J115">
        <f>IF(OR($B$68="",$B$10=""),0,IFERROR(INDEX('Dán TĐ nhân viên'!$N$1:$N$1500,MATCH("*"&amp;$C$10&amp;"|"&amp;$B$68,'Dán TĐ nhân viên'!$M$1:$M$1500,0)),0))</f>
        <v>0</v>
      </c>
      <c r="K115">
        <f>IF(OR($B$68="",$B$11=""),0,IFERROR(INDEX('Dán TĐ nhân viên'!$N$1:$N$1500,MATCH("*"&amp;$C$11&amp;"|"&amp;$B$68,'Dán TĐ nhân viên'!$M$1:$M$1500,0)),0))</f>
        <v>0</v>
      </c>
      <c r="L115">
        <f>IF(OR($B$68="",$B$12=""),0,IFERROR(INDEX('Dán TĐ nhân viên'!$N$1:$N$1500,MATCH("*"&amp;$C$12&amp;"|"&amp;$B$68,'Dán TĐ nhân viên'!$M$1:$M$1500,0)),0))</f>
        <v>0</v>
      </c>
      <c r="M115">
        <f>IF(OR($B$68="",$B$13=""),0,IFERROR(INDEX('Dán TĐ nhân viên'!$N$1:$N$1500,MATCH("*"&amp;$C$13&amp;"|"&amp;$B$68,'Dán TĐ nhân viên'!$M$1:$M$1500,0)),0))</f>
        <v>0</v>
      </c>
      <c r="N115">
        <f>IF(OR($B$68="",$B$14=""),0,IFERROR(INDEX('Dán TĐ nhân viên'!$N$1:$N$1500,MATCH("*"&amp;$C$14&amp;"|"&amp;$B$68,'Dán TĐ nhân viên'!$M$1:$M$1500,0)),0))</f>
        <v>0</v>
      </c>
      <c r="O115">
        <f>IF(OR($B$68="",$B$15=""),0,IFERROR(INDEX('Dán TĐ nhân viên'!$N$1:$N$1500,MATCH("*"&amp;$C$15&amp;"|"&amp;$B$68,'Dán TĐ nhân viên'!$M$1:$M$1500,0)),0))</f>
        <v>0</v>
      </c>
      <c r="P115">
        <f>IF(OR($B$68="",$B$16=""),0,IFERROR(INDEX('Dán TĐ nhân viên'!$N$1:$N$1500,MATCH("*"&amp;$C$16&amp;"|"&amp;$B$68,'Dán TĐ nhân viên'!$M$1:$M$1500,0)),0))</f>
        <v>0</v>
      </c>
      <c r="Q115">
        <f>IF(OR($B$68="",$B$17=""),0,IFERROR(INDEX('Dán TĐ nhân viên'!$N$1:$N$1500,MATCH("*"&amp;$C$17&amp;"|"&amp;$B$68,'Dán TĐ nhân viên'!$M$1:$M$1500,0)),0))</f>
        <v>0</v>
      </c>
      <c r="R115">
        <f>IF(OR($B$68="",$B$18=""),0,IFERROR(INDEX('Dán TĐ nhân viên'!$N$1:$N$1500,MATCH("*"&amp;$C$18&amp;"|"&amp;$B$68,'Dán TĐ nhân viên'!$M$1:$M$1500,0)),0))</f>
        <v>0</v>
      </c>
      <c r="S115">
        <f>IF(OR($B$68="",$B$19=""),0,IFERROR(INDEX('Dán TĐ nhân viên'!$N$1:$N$1500,MATCH("*"&amp;$C$19&amp;"|"&amp;$B$68,'Dán TĐ nhân viên'!$M$1:$M$1500,0)),0))</f>
        <v>0</v>
      </c>
      <c r="T115">
        <f>IF(OR($B$68="",$B$20=""),0,IFERROR(INDEX('Dán TĐ nhân viên'!$N$1:$N$1500,MATCH("*"&amp;$C$20&amp;"|"&amp;$B$68,'Dán TĐ nhân viên'!$M$1:$M$1500,0)),0))</f>
        <v>0</v>
      </c>
      <c r="U115">
        <f>IF(OR($B$68="",$B$21=""),0,IFERROR(INDEX('Dán TĐ nhân viên'!$N$1:$N$1500,MATCH("*"&amp;$C$21&amp;"|"&amp;$B$68,'Dán TĐ nhân viên'!$M$1:$M$1500,0)),0))</f>
        <v>0</v>
      </c>
      <c r="V115">
        <f>IF(OR($B$68="",$B$22=""),0,IFERROR(INDEX('Dán TĐ nhân viên'!$N$1:$N$1500,MATCH("*"&amp;$C$22&amp;"|"&amp;$B$68,'Dán TĐ nhân viên'!$M$1:$M$1500,0)),0))</f>
        <v>0</v>
      </c>
    </row>
    <row r="116" spans="1:22" x14ac:dyDescent="0.3">
      <c r="A116">
        <v>31</v>
      </c>
      <c r="B116" t="str">
        <f t="shared" si="12"/>
        <v/>
      </c>
      <c r="C116">
        <f>IF(OR($B$69="",$B$3=""),0,IFERROR(INDEX('Dán TĐ nhân viên'!$N$1:$N$1500,MATCH("*"&amp;$C$3&amp;"|"&amp;$B$69,'Dán TĐ nhân viên'!$M$1:$M$1500,0)),0))</f>
        <v>0</v>
      </c>
      <c r="D116">
        <f>IF(OR($B$69="",$B$4=""),0,IFERROR(INDEX('Dán TĐ nhân viên'!$N$1:$N$1500,MATCH("*"&amp;$C$4&amp;"|"&amp;$B$69,'Dán TĐ nhân viên'!$M$1:$M$1500,0)),0))</f>
        <v>0</v>
      </c>
      <c r="E116">
        <f>IF(OR($B$69="",$B$5=""),0,IFERROR(INDEX('Dán TĐ nhân viên'!$N$1:$N$1500,MATCH("*"&amp;$C$5&amp;"|"&amp;$B$69,'Dán TĐ nhân viên'!$M$1:$M$1500,0)),0))</f>
        <v>0</v>
      </c>
      <c r="F116">
        <f>IF(OR($B$69="",$B$6=""),0,IFERROR(INDEX('Dán TĐ nhân viên'!$N$1:$N$1500,MATCH("*"&amp;$C$6&amp;"|"&amp;$B$69,'Dán TĐ nhân viên'!$M$1:$M$1500,0)),0))</f>
        <v>0</v>
      </c>
      <c r="G116">
        <f>IF(OR($B$69="",$B$7=""),0,IFERROR(INDEX('Dán TĐ nhân viên'!$N$1:$N$1500,MATCH("*"&amp;$C$7&amp;"|"&amp;$B$69,'Dán TĐ nhân viên'!$M$1:$M$1500,0)),0))</f>
        <v>0</v>
      </c>
      <c r="H116">
        <f>IF(OR($B$69="",$B$8=""),0,IFERROR(INDEX('Dán TĐ nhân viên'!$N$1:$N$1500,MATCH("*"&amp;$C$8&amp;"|"&amp;$B$69,'Dán TĐ nhân viên'!$M$1:$M$1500,0)),0))</f>
        <v>0</v>
      </c>
      <c r="I116">
        <f>IF(OR($B$69="",$B$9=""),0,IFERROR(INDEX('Dán TĐ nhân viên'!$N$1:$N$1500,MATCH("*"&amp;$C$9&amp;"|"&amp;$B$69,'Dán TĐ nhân viên'!$M$1:$M$1500,0)),0))</f>
        <v>0</v>
      </c>
      <c r="J116">
        <f>IF(OR($B$69="",$B$10=""),0,IFERROR(INDEX('Dán TĐ nhân viên'!$N$1:$N$1500,MATCH("*"&amp;$C$10&amp;"|"&amp;$B$69,'Dán TĐ nhân viên'!$M$1:$M$1500,0)),0))</f>
        <v>0</v>
      </c>
      <c r="K116">
        <f>IF(OR($B$69="",$B$11=""),0,IFERROR(INDEX('Dán TĐ nhân viên'!$N$1:$N$1500,MATCH("*"&amp;$C$11&amp;"|"&amp;$B$69,'Dán TĐ nhân viên'!$M$1:$M$1500,0)),0))</f>
        <v>0</v>
      </c>
      <c r="L116">
        <f>IF(OR($B$69="",$B$12=""),0,IFERROR(INDEX('Dán TĐ nhân viên'!$N$1:$N$1500,MATCH("*"&amp;$C$12&amp;"|"&amp;$B$69,'Dán TĐ nhân viên'!$M$1:$M$1500,0)),0))</f>
        <v>0</v>
      </c>
      <c r="M116">
        <f>IF(OR($B$69="",$B$13=""),0,IFERROR(INDEX('Dán TĐ nhân viên'!$N$1:$N$1500,MATCH("*"&amp;$C$13&amp;"|"&amp;$B$69,'Dán TĐ nhân viên'!$M$1:$M$1500,0)),0))</f>
        <v>0</v>
      </c>
      <c r="N116">
        <f>IF(OR($B$69="",$B$14=""),0,IFERROR(INDEX('Dán TĐ nhân viên'!$N$1:$N$1500,MATCH("*"&amp;$C$14&amp;"|"&amp;$B$69,'Dán TĐ nhân viên'!$M$1:$M$1500,0)),0))</f>
        <v>0</v>
      </c>
      <c r="O116">
        <f>IF(OR($B$69="",$B$15=""),0,IFERROR(INDEX('Dán TĐ nhân viên'!$N$1:$N$1500,MATCH("*"&amp;$C$15&amp;"|"&amp;$B$69,'Dán TĐ nhân viên'!$M$1:$M$1500,0)),0))</f>
        <v>0</v>
      </c>
      <c r="P116">
        <f>IF(OR($B$69="",$B$16=""),0,IFERROR(INDEX('Dán TĐ nhân viên'!$N$1:$N$1500,MATCH("*"&amp;$C$16&amp;"|"&amp;$B$69,'Dán TĐ nhân viên'!$M$1:$M$1500,0)),0))</f>
        <v>0</v>
      </c>
      <c r="Q116">
        <f>IF(OR($B$69="",$B$17=""),0,IFERROR(INDEX('Dán TĐ nhân viên'!$N$1:$N$1500,MATCH("*"&amp;$C$17&amp;"|"&amp;$B$69,'Dán TĐ nhân viên'!$M$1:$M$1500,0)),0))</f>
        <v>0</v>
      </c>
      <c r="R116">
        <f>IF(OR($B$69="",$B$18=""),0,IFERROR(INDEX('Dán TĐ nhân viên'!$N$1:$N$1500,MATCH("*"&amp;$C$18&amp;"|"&amp;$B$69,'Dán TĐ nhân viên'!$M$1:$M$1500,0)),0))</f>
        <v>0</v>
      </c>
      <c r="S116">
        <f>IF(OR($B$69="",$B$19=""),0,IFERROR(INDEX('Dán TĐ nhân viên'!$N$1:$N$1500,MATCH("*"&amp;$C$19&amp;"|"&amp;$B$69,'Dán TĐ nhân viên'!$M$1:$M$1500,0)),0))</f>
        <v>0</v>
      </c>
      <c r="T116">
        <f>IF(OR($B$69="",$B$20=""),0,IFERROR(INDEX('Dán TĐ nhân viên'!$N$1:$N$1500,MATCH("*"&amp;$C$20&amp;"|"&amp;$B$69,'Dán TĐ nhân viên'!$M$1:$M$1500,0)),0))</f>
        <v>0</v>
      </c>
      <c r="U116">
        <f>IF(OR($B$69="",$B$21=""),0,IFERROR(INDEX('Dán TĐ nhân viên'!$N$1:$N$1500,MATCH("*"&amp;$C$21&amp;"|"&amp;$B$69,'Dán TĐ nhân viên'!$M$1:$M$1500,0)),0))</f>
        <v>0</v>
      </c>
      <c r="V116">
        <f>IF(OR($B$69="",$B$22=""),0,IFERROR(INDEX('Dán TĐ nhân viên'!$N$1:$N$1500,MATCH("*"&amp;$C$22&amp;"|"&amp;$B$69,'Dán TĐ nhân viên'!$M$1:$M$1500,0)),0))</f>
        <v>0</v>
      </c>
    </row>
    <row r="117" spans="1:22" x14ac:dyDescent="0.3">
      <c r="A117">
        <v>32</v>
      </c>
      <c r="B117" t="str">
        <f t="shared" si="12"/>
        <v/>
      </c>
      <c r="C117">
        <f>IF(OR($B$70="",$B$3=""),0,IFERROR(INDEX('Dán TĐ nhân viên'!$N$1:$N$1500,MATCH("*"&amp;$C$3&amp;"|"&amp;$B$70,'Dán TĐ nhân viên'!$M$1:$M$1500,0)),0))</f>
        <v>0</v>
      </c>
      <c r="D117">
        <f>IF(OR($B$70="",$B$4=""),0,IFERROR(INDEX('Dán TĐ nhân viên'!$N$1:$N$1500,MATCH("*"&amp;$C$4&amp;"|"&amp;$B$70,'Dán TĐ nhân viên'!$M$1:$M$1500,0)),0))</f>
        <v>0</v>
      </c>
      <c r="E117">
        <f>IF(OR($B$70="",$B$5=""),0,IFERROR(INDEX('Dán TĐ nhân viên'!$N$1:$N$1500,MATCH("*"&amp;$C$5&amp;"|"&amp;$B$70,'Dán TĐ nhân viên'!$M$1:$M$1500,0)),0))</f>
        <v>0</v>
      </c>
      <c r="F117">
        <f>IF(OR($B$70="",$B$6=""),0,IFERROR(INDEX('Dán TĐ nhân viên'!$N$1:$N$1500,MATCH("*"&amp;$C$6&amp;"|"&amp;$B$70,'Dán TĐ nhân viên'!$M$1:$M$1500,0)),0))</f>
        <v>0</v>
      </c>
      <c r="G117">
        <f>IF(OR($B$70="",$B$7=""),0,IFERROR(INDEX('Dán TĐ nhân viên'!$N$1:$N$1500,MATCH("*"&amp;$C$7&amp;"|"&amp;$B$70,'Dán TĐ nhân viên'!$M$1:$M$1500,0)),0))</f>
        <v>0</v>
      </c>
      <c r="H117">
        <f>IF(OR($B$70="",$B$8=""),0,IFERROR(INDEX('Dán TĐ nhân viên'!$N$1:$N$1500,MATCH("*"&amp;$C$8&amp;"|"&amp;$B$70,'Dán TĐ nhân viên'!$M$1:$M$1500,0)),0))</f>
        <v>0</v>
      </c>
      <c r="I117">
        <f>IF(OR($B$70="",$B$9=""),0,IFERROR(INDEX('Dán TĐ nhân viên'!$N$1:$N$1500,MATCH("*"&amp;$C$9&amp;"|"&amp;$B$70,'Dán TĐ nhân viên'!$M$1:$M$1500,0)),0))</f>
        <v>0</v>
      </c>
      <c r="J117">
        <f>IF(OR($B$70="",$B$10=""),0,IFERROR(INDEX('Dán TĐ nhân viên'!$N$1:$N$1500,MATCH("*"&amp;$C$10&amp;"|"&amp;$B$70,'Dán TĐ nhân viên'!$M$1:$M$1500,0)),0))</f>
        <v>0</v>
      </c>
      <c r="K117">
        <f>IF(OR($B$70="",$B$11=""),0,IFERROR(INDEX('Dán TĐ nhân viên'!$N$1:$N$1500,MATCH("*"&amp;$C$11&amp;"|"&amp;$B$70,'Dán TĐ nhân viên'!$M$1:$M$1500,0)),0))</f>
        <v>0</v>
      </c>
      <c r="L117">
        <f>IF(OR($B$70="",$B$12=""),0,IFERROR(INDEX('Dán TĐ nhân viên'!$N$1:$N$1500,MATCH("*"&amp;$C$12&amp;"|"&amp;$B$70,'Dán TĐ nhân viên'!$M$1:$M$1500,0)),0))</f>
        <v>0</v>
      </c>
      <c r="M117">
        <f>IF(OR($B$70="",$B$13=""),0,IFERROR(INDEX('Dán TĐ nhân viên'!$N$1:$N$1500,MATCH("*"&amp;$C$13&amp;"|"&amp;$B$70,'Dán TĐ nhân viên'!$M$1:$M$1500,0)),0))</f>
        <v>0</v>
      </c>
      <c r="N117">
        <f>IF(OR($B$70="",$B$14=""),0,IFERROR(INDEX('Dán TĐ nhân viên'!$N$1:$N$1500,MATCH("*"&amp;$C$14&amp;"|"&amp;$B$70,'Dán TĐ nhân viên'!$M$1:$M$1500,0)),0))</f>
        <v>0</v>
      </c>
      <c r="O117">
        <f>IF(OR($B$70="",$B$15=""),0,IFERROR(INDEX('Dán TĐ nhân viên'!$N$1:$N$1500,MATCH("*"&amp;$C$15&amp;"|"&amp;$B$70,'Dán TĐ nhân viên'!$M$1:$M$1500,0)),0))</f>
        <v>0</v>
      </c>
      <c r="P117">
        <f>IF(OR($B$70="",$B$16=""),0,IFERROR(INDEX('Dán TĐ nhân viên'!$N$1:$N$1500,MATCH("*"&amp;$C$16&amp;"|"&amp;$B$70,'Dán TĐ nhân viên'!$M$1:$M$1500,0)),0))</f>
        <v>0</v>
      </c>
      <c r="Q117">
        <f>IF(OR($B$70="",$B$17=""),0,IFERROR(INDEX('Dán TĐ nhân viên'!$N$1:$N$1500,MATCH("*"&amp;$C$17&amp;"|"&amp;$B$70,'Dán TĐ nhân viên'!$M$1:$M$1500,0)),0))</f>
        <v>0</v>
      </c>
      <c r="R117">
        <f>IF(OR($B$70="",$B$18=""),0,IFERROR(INDEX('Dán TĐ nhân viên'!$N$1:$N$1500,MATCH("*"&amp;$C$18&amp;"|"&amp;$B$70,'Dán TĐ nhân viên'!$M$1:$M$1500,0)),0))</f>
        <v>0</v>
      </c>
      <c r="S117">
        <f>IF(OR($B$70="",$B$19=""),0,IFERROR(INDEX('Dán TĐ nhân viên'!$N$1:$N$1500,MATCH("*"&amp;$C$19&amp;"|"&amp;$B$70,'Dán TĐ nhân viên'!$M$1:$M$1500,0)),0))</f>
        <v>0</v>
      </c>
      <c r="T117">
        <f>IF(OR($B$70="",$B$20=""),0,IFERROR(INDEX('Dán TĐ nhân viên'!$N$1:$N$1500,MATCH("*"&amp;$C$20&amp;"|"&amp;$B$70,'Dán TĐ nhân viên'!$M$1:$M$1500,0)),0))</f>
        <v>0</v>
      </c>
      <c r="U117">
        <f>IF(OR($B$70="",$B$21=""),0,IFERROR(INDEX('Dán TĐ nhân viên'!$N$1:$N$1500,MATCH("*"&amp;$C$21&amp;"|"&amp;$B$70,'Dán TĐ nhân viên'!$M$1:$M$1500,0)),0))</f>
        <v>0</v>
      </c>
      <c r="V117">
        <f>IF(OR($B$70="",$B$22=""),0,IFERROR(INDEX('Dán TĐ nhân viên'!$N$1:$N$1500,MATCH("*"&amp;$C$22&amp;"|"&amp;$B$70,'Dán TĐ nhân viên'!$M$1:$M$1500,0)),0))</f>
        <v>0</v>
      </c>
    </row>
    <row r="118" spans="1:22" x14ac:dyDescent="0.3">
      <c r="A118">
        <v>33</v>
      </c>
      <c r="B118" t="str">
        <f t="shared" si="12"/>
        <v/>
      </c>
      <c r="C118">
        <f>IF(OR($B$71="",$B$3=""),0,IFERROR(INDEX('Dán TĐ nhân viên'!$N$1:$N$1500,MATCH("*"&amp;$C$3&amp;"|"&amp;$B$71,'Dán TĐ nhân viên'!$M$1:$M$1500,0)),0))</f>
        <v>0</v>
      </c>
      <c r="D118">
        <f>IF(OR($B$71="",$B$4=""),0,IFERROR(INDEX('Dán TĐ nhân viên'!$N$1:$N$1500,MATCH("*"&amp;$C$4&amp;"|"&amp;$B$71,'Dán TĐ nhân viên'!$M$1:$M$1500,0)),0))</f>
        <v>0</v>
      </c>
      <c r="E118">
        <f>IF(OR($B$71="",$B$5=""),0,IFERROR(INDEX('Dán TĐ nhân viên'!$N$1:$N$1500,MATCH("*"&amp;$C$5&amp;"|"&amp;$B$71,'Dán TĐ nhân viên'!$M$1:$M$1500,0)),0))</f>
        <v>0</v>
      </c>
      <c r="F118">
        <f>IF(OR($B$71="",$B$6=""),0,IFERROR(INDEX('Dán TĐ nhân viên'!$N$1:$N$1500,MATCH("*"&amp;$C$6&amp;"|"&amp;$B$71,'Dán TĐ nhân viên'!$M$1:$M$1500,0)),0))</f>
        <v>0</v>
      </c>
      <c r="G118">
        <f>IF(OR($B$71="",$B$7=""),0,IFERROR(INDEX('Dán TĐ nhân viên'!$N$1:$N$1500,MATCH("*"&amp;$C$7&amp;"|"&amp;$B$71,'Dán TĐ nhân viên'!$M$1:$M$1500,0)),0))</f>
        <v>0</v>
      </c>
      <c r="H118">
        <f>IF(OR($B$71="",$B$8=""),0,IFERROR(INDEX('Dán TĐ nhân viên'!$N$1:$N$1500,MATCH("*"&amp;$C$8&amp;"|"&amp;$B$71,'Dán TĐ nhân viên'!$M$1:$M$1500,0)),0))</f>
        <v>0</v>
      </c>
      <c r="I118">
        <f>IF(OR($B$71="",$B$9=""),0,IFERROR(INDEX('Dán TĐ nhân viên'!$N$1:$N$1500,MATCH("*"&amp;$C$9&amp;"|"&amp;$B$71,'Dán TĐ nhân viên'!$M$1:$M$1500,0)),0))</f>
        <v>0</v>
      </c>
      <c r="J118">
        <f>IF(OR($B$71="",$B$10=""),0,IFERROR(INDEX('Dán TĐ nhân viên'!$N$1:$N$1500,MATCH("*"&amp;$C$10&amp;"|"&amp;$B$71,'Dán TĐ nhân viên'!$M$1:$M$1500,0)),0))</f>
        <v>0</v>
      </c>
      <c r="K118">
        <f>IF(OR($B$71="",$B$11=""),0,IFERROR(INDEX('Dán TĐ nhân viên'!$N$1:$N$1500,MATCH("*"&amp;$C$11&amp;"|"&amp;$B$71,'Dán TĐ nhân viên'!$M$1:$M$1500,0)),0))</f>
        <v>0</v>
      </c>
      <c r="L118">
        <f>IF(OR($B$71="",$B$12=""),0,IFERROR(INDEX('Dán TĐ nhân viên'!$N$1:$N$1500,MATCH("*"&amp;$C$12&amp;"|"&amp;$B$71,'Dán TĐ nhân viên'!$M$1:$M$1500,0)),0))</f>
        <v>0</v>
      </c>
      <c r="M118">
        <f>IF(OR($B$71="",$B$13=""),0,IFERROR(INDEX('Dán TĐ nhân viên'!$N$1:$N$1500,MATCH("*"&amp;$C$13&amp;"|"&amp;$B$71,'Dán TĐ nhân viên'!$M$1:$M$1500,0)),0))</f>
        <v>0</v>
      </c>
      <c r="N118">
        <f>IF(OR($B$71="",$B$14=""),0,IFERROR(INDEX('Dán TĐ nhân viên'!$N$1:$N$1500,MATCH("*"&amp;$C$14&amp;"|"&amp;$B$71,'Dán TĐ nhân viên'!$M$1:$M$1500,0)),0))</f>
        <v>0</v>
      </c>
      <c r="O118">
        <f>IF(OR($B$71="",$B$15=""),0,IFERROR(INDEX('Dán TĐ nhân viên'!$N$1:$N$1500,MATCH("*"&amp;$C$15&amp;"|"&amp;$B$71,'Dán TĐ nhân viên'!$M$1:$M$1500,0)),0))</f>
        <v>0</v>
      </c>
      <c r="P118">
        <f>IF(OR($B$71="",$B$16=""),0,IFERROR(INDEX('Dán TĐ nhân viên'!$N$1:$N$1500,MATCH("*"&amp;$C$16&amp;"|"&amp;$B$71,'Dán TĐ nhân viên'!$M$1:$M$1500,0)),0))</f>
        <v>0</v>
      </c>
      <c r="Q118">
        <f>IF(OR($B$71="",$B$17=""),0,IFERROR(INDEX('Dán TĐ nhân viên'!$N$1:$N$1500,MATCH("*"&amp;$C$17&amp;"|"&amp;$B$71,'Dán TĐ nhân viên'!$M$1:$M$1500,0)),0))</f>
        <v>0</v>
      </c>
      <c r="R118">
        <f>IF(OR($B$71="",$B$18=""),0,IFERROR(INDEX('Dán TĐ nhân viên'!$N$1:$N$1500,MATCH("*"&amp;$C$18&amp;"|"&amp;$B$71,'Dán TĐ nhân viên'!$M$1:$M$1500,0)),0))</f>
        <v>0</v>
      </c>
      <c r="S118">
        <f>IF(OR($B$71="",$B$19=""),0,IFERROR(INDEX('Dán TĐ nhân viên'!$N$1:$N$1500,MATCH("*"&amp;$C$19&amp;"|"&amp;$B$71,'Dán TĐ nhân viên'!$M$1:$M$1500,0)),0))</f>
        <v>0</v>
      </c>
      <c r="T118">
        <f>IF(OR($B$71="",$B$20=""),0,IFERROR(INDEX('Dán TĐ nhân viên'!$N$1:$N$1500,MATCH("*"&amp;$C$20&amp;"|"&amp;$B$71,'Dán TĐ nhân viên'!$M$1:$M$1500,0)),0))</f>
        <v>0</v>
      </c>
      <c r="U118">
        <f>IF(OR($B$71="",$B$21=""),0,IFERROR(INDEX('Dán TĐ nhân viên'!$N$1:$N$1500,MATCH("*"&amp;$C$21&amp;"|"&amp;$B$71,'Dán TĐ nhân viên'!$M$1:$M$1500,0)),0))</f>
        <v>0</v>
      </c>
      <c r="V118">
        <f>IF(OR($B$71="",$B$22=""),0,IFERROR(INDEX('Dán TĐ nhân viên'!$N$1:$N$1500,MATCH("*"&amp;$C$22&amp;"|"&amp;$B$71,'Dán TĐ nhân viên'!$M$1:$M$1500,0)),0))</f>
        <v>0</v>
      </c>
    </row>
    <row r="119" spans="1:22" x14ac:dyDescent="0.3">
      <c r="A119">
        <v>34</v>
      </c>
      <c r="B119" t="str">
        <f t="shared" si="12"/>
        <v/>
      </c>
      <c r="C119">
        <f>IF(OR($B$72="",$B$3=""),0,IFERROR(INDEX('Dán TĐ nhân viên'!$N$1:$N$1500,MATCH("*"&amp;$C$3&amp;"|"&amp;$B$72,'Dán TĐ nhân viên'!$M$1:$M$1500,0)),0))</f>
        <v>0</v>
      </c>
      <c r="D119">
        <f>IF(OR($B$72="",$B$4=""),0,IFERROR(INDEX('Dán TĐ nhân viên'!$N$1:$N$1500,MATCH("*"&amp;$C$4&amp;"|"&amp;$B$72,'Dán TĐ nhân viên'!$M$1:$M$1500,0)),0))</f>
        <v>0</v>
      </c>
      <c r="E119">
        <f>IF(OR($B$72="",$B$5=""),0,IFERROR(INDEX('Dán TĐ nhân viên'!$N$1:$N$1500,MATCH("*"&amp;$C$5&amp;"|"&amp;$B$72,'Dán TĐ nhân viên'!$M$1:$M$1500,0)),0))</f>
        <v>0</v>
      </c>
      <c r="F119">
        <f>IF(OR($B$72="",$B$6=""),0,IFERROR(INDEX('Dán TĐ nhân viên'!$N$1:$N$1500,MATCH("*"&amp;$C$6&amp;"|"&amp;$B$72,'Dán TĐ nhân viên'!$M$1:$M$1500,0)),0))</f>
        <v>0</v>
      </c>
      <c r="G119">
        <f>IF(OR($B$72="",$B$7=""),0,IFERROR(INDEX('Dán TĐ nhân viên'!$N$1:$N$1500,MATCH("*"&amp;$C$7&amp;"|"&amp;$B$72,'Dán TĐ nhân viên'!$M$1:$M$1500,0)),0))</f>
        <v>0</v>
      </c>
      <c r="H119">
        <f>IF(OR($B$72="",$B$8=""),0,IFERROR(INDEX('Dán TĐ nhân viên'!$N$1:$N$1500,MATCH("*"&amp;$C$8&amp;"|"&amp;$B$72,'Dán TĐ nhân viên'!$M$1:$M$1500,0)),0))</f>
        <v>0</v>
      </c>
      <c r="I119">
        <f>IF(OR($B$72="",$B$9=""),0,IFERROR(INDEX('Dán TĐ nhân viên'!$N$1:$N$1500,MATCH("*"&amp;$C$9&amp;"|"&amp;$B$72,'Dán TĐ nhân viên'!$M$1:$M$1500,0)),0))</f>
        <v>0</v>
      </c>
      <c r="J119">
        <f>IF(OR($B$72="",$B$10=""),0,IFERROR(INDEX('Dán TĐ nhân viên'!$N$1:$N$1500,MATCH("*"&amp;$C$10&amp;"|"&amp;$B$72,'Dán TĐ nhân viên'!$M$1:$M$1500,0)),0))</f>
        <v>0</v>
      </c>
      <c r="K119">
        <f>IF(OR($B$72="",$B$11=""),0,IFERROR(INDEX('Dán TĐ nhân viên'!$N$1:$N$1500,MATCH("*"&amp;$C$11&amp;"|"&amp;$B$72,'Dán TĐ nhân viên'!$M$1:$M$1500,0)),0))</f>
        <v>0</v>
      </c>
      <c r="L119">
        <f>IF(OR($B$72="",$B$12=""),0,IFERROR(INDEX('Dán TĐ nhân viên'!$N$1:$N$1500,MATCH("*"&amp;$C$12&amp;"|"&amp;$B$72,'Dán TĐ nhân viên'!$M$1:$M$1500,0)),0))</f>
        <v>0</v>
      </c>
      <c r="M119">
        <f>IF(OR($B$72="",$B$13=""),0,IFERROR(INDEX('Dán TĐ nhân viên'!$N$1:$N$1500,MATCH("*"&amp;$C$13&amp;"|"&amp;$B$72,'Dán TĐ nhân viên'!$M$1:$M$1500,0)),0))</f>
        <v>0</v>
      </c>
      <c r="N119">
        <f>IF(OR($B$72="",$B$14=""),0,IFERROR(INDEX('Dán TĐ nhân viên'!$N$1:$N$1500,MATCH("*"&amp;$C$14&amp;"|"&amp;$B$72,'Dán TĐ nhân viên'!$M$1:$M$1500,0)),0))</f>
        <v>0</v>
      </c>
      <c r="O119">
        <f>IF(OR($B$72="",$B$15=""),0,IFERROR(INDEX('Dán TĐ nhân viên'!$N$1:$N$1500,MATCH("*"&amp;$C$15&amp;"|"&amp;$B$72,'Dán TĐ nhân viên'!$M$1:$M$1500,0)),0))</f>
        <v>0</v>
      </c>
      <c r="P119">
        <f>IF(OR($B$72="",$B$16=""),0,IFERROR(INDEX('Dán TĐ nhân viên'!$N$1:$N$1500,MATCH("*"&amp;$C$16&amp;"|"&amp;$B$72,'Dán TĐ nhân viên'!$M$1:$M$1500,0)),0))</f>
        <v>0</v>
      </c>
      <c r="Q119">
        <f>IF(OR($B$72="",$B$17=""),0,IFERROR(INDEX('Dán TĐ nhân viên'!$N$1:$N$1500,MATCH("*"&amp;$C$17&amp;"|"&amp;$B$72,'Dán TĐ nhân viên'!$M$1:$M$1500,0)),0))</f>
        <v>0</v>
      </c>
      <c r="R119">
        <f>IF(OR($B$72="",$B$18=""),0,IFERROR(INDEX('Dán TĐ nhân viên'!$N$1:$N$1500,MATCH("*"&amp;$C$18&amp;"|"&amp;$B$72,'Dán TĐ nhân viên'!$M$1:$M$1500,0)),0))</f>
        <v>0</v>
      </c>
      <c r="S119">
        <f>IF(OR($B$72="",$B$19=""),0,IFERROR(INDEX('Dán TĐ nhân viên'!$N$1:$N$1500,MATCH("*"&amp;$C$19&amp;"|"&amp;$B$72,'Dán TĐ nhân viên'!$M$1:$M$1500,0)),0))</f>
        <v>0</v>
      </c>
      <c r="T119">
        <f>IF(OR($B$72="",$B$20=""),0,IFERROR(INDEX('Dán TĐ nhân viên'!$N$1:$N$1500,MATCH("*"&amp;$C$20&amp;"|"&amp;$B$72,'Dán TĐ nhân viên'!$M$1:$M$1500,0)),0))</f>
        <v>0</v>
      </c>
      <c r="U119">
        <f>IF(OR($B$72="",$B$21=""),0,IFERROR(INDEX('Dán TĐ nhân viên'!$N$1:$N$1500,MATCH("*"&amp;$C$21&amp;"|"&amp;$B$72,'Dán TĐ nhân viên'!$M$1:$M$1500,0)),0))</f>
        <v>0</v>
      </c>
      <c r="V119">
        <f>IF(OR($B$72="",$B$22=""),0,IFERROR(INDEX('Dán TĐ nhân viên'!$N$1:$N$1500,MATCH("*"&amp;$C$22&amp;"|"&amp;$B$72,'Dán TĐ nhân viên'!$M$1:$M$1500,0)),0))</f>
        <v>0</v>
      </c>
    </row>
    <row r="120" spans="1:22" x14ac:dyDescent="0.3">
      <c r="A120">
        <v>35</v>
      </c>
      <c r="B120" t="str">
        <f t="shared" si="12"/>
        <v/>
      </c>
      <c r="C120">
        <f>IF(OR($B$73="",$B$3=""),0,IFERROR(INDEX('Dán TĐ nhân viên'!$N$1:$N$1500,MATCH("*"&amp;$C$3&amp;"|"&amp;$B$73,'Dán TĐ nhân viên'!$M$1:$M$1500,0)),0))</f>
        <v>0</v>
      </c>
      <c r="D120">
        <f>IF(OR($B$73="",$B$4=""),0,IFERROR(INDEX('Dán TĐ nhân viên'!$N$1:$N$1500,MATCH("*"&amp;$C$4&amp;"|"&amp;$B$73,'Dán TĐ nhân viên'!$M$1:$M$1500,0)),0))</f>
        <v>0</v>
      </c>
      <c r="E120">
        <f>IF(OR($B$73="",$B$5=""),0,IFERROR(INDEX('Dán TĐ nhân viên'!$N$1:$N$1500,MATCH("*"&amp;$C$5&amp;"|"&amp;$B$73,'Dán TĐ nhân viên'!$M$1:$M$1500,0)),0))</f>
        <v>0</v>
      </c>
      <c r="F120">
        <f>IF(OR($B$73="",$B$6=""),0,IFERROR(INDEX('Dán TĐ nhân viên'!$N$1:$N$1500,MATCH("*"&amp;$C$6&amp;"|"&amp;$B$73,'Dán TĐ nhân viên'!$M$1:$M$1500,0)),0))</f>
        <v>0</v>
      </c>
      <c r="G120">
        <f>IF(OR($B$73="",$B$7=""),0,IFERROR(INDEX('Dán TĐ nhân viên'!$N$1:$N$1500,MATCH("*"&amp;$C$7&amp;"|"&amp;$B$73,'Dán TĐ nhân viên'!$M$1:$M$1500,0)),0))</f>
        <v>0</v>
      </c>
      <c r="H120">
        <f>IF(OR($B$73="",$B$8=""),0,IFERROR(INDEX('Dán TĐ nhân viên'!$N$1:$N$1500,MATCH("*"&amp;$C$8&amp;"|"&amp;$B$73,'Dán TĐ nhân viên'!$M$1:$M$1500,0)),0))</f>
        <v>0</v>
      </c>
      <c r="I120">
        <f>IF(OR($B$73="",$B$9=""),0,IFERROR(INDEX('Dán TĐ nhân viên'!$N$1:$N$1500,MATCH("*"&amp;$C$9&amp;"|"&amp;$B$73,'Dán TĐ nhân viên'!$M$1:$M$1500,0)),0))</f>
        <v>0</v>
      </c>
      <c r="J120">
        <f>IF(OR($B$73="",$B$10=""),0,IFERROR(INDEX('Dán TĐ nhân viên'!$N$1:$N$1500,MATCH("*"&amp;$C$10&amp;"|"&amp;$B$73,'Dán TĐ nhân viên'!$M$1:$M$1500,0)),0))</f>
        <v>0</v>
      </c>
      <c r="K120">
        <f>IF(OR($B$73="",$B$11=""),0,IFERROR(INDEX('Dán TĐ nhân viên'!$N$1:$N$1500,MATCH("*"&amp;$C$11&amp;"|"&amp;$B$73,'Dán TĐ nhân viên'!$M$1:$M$1500,0)),0))</f>
        <v>0</v>
      </c>
      <c r="L120">
        <f>IF(OR($B$73="",$B$12=""),0,IFERROR(INDEX('Dán TĐ nhân viên'!$N$1:$N$1500,MATCH("*"&amp;$C$12&amp;"|"&amp;$B$73,'Dán TĐ nhân viên'!$M$1:$M$1500,0)),0))</f>
        <v>0</v>
      </c>
      <c r="M120">
        <f>IF(OR($B$73="",$B$13=""),0,IFERROR(INDEX('Dán TĐ nhân viên'!$N$1:$N$1500,MATCH("*"&amp;$C$13&amp;"|"&amp;$B$73,'Dán TĐ nhân viên'!$M$1:$M$1500,0)),0))</f>
        <v>0</v>
      </c>
      <c r="N120">
        <f>IF(OR($B$73="",$B$14=""),0,IFERROR(INDEX('Dán TĐ nhân viên'!$N$1:$N$1500,MATCH("*"&amp;$C$14&amp;"|"&amp;$B$73,'Dán TĐ nhân viên'!$M$1:$M$1500,0)),0))</f>
        <v>0</v>
      </c>
      <c r="O120">
        <f>IF(OR($B$73="",$B$15=""),0,IFERROR(INDEX('Dán TĐ nhân viên'!$N$1:$N$1500,MATCH("*"&amp;$C$15&amp;"|"&amp;$B$73,'Dán TĐ nhân viên'!$M$1:$M$1500,0)),0))</f>
        <v>0</v>
      </c>
      <c r="P120">
        <f>IF(OR($B$73="",$B$16=""),0,IFERROR(INDEX('Dán TĐ nhân viên'!$N$1:$N$1500,MATCH("*"&amp;$C$16&amp;"|"&amp;$B$73,'Dán TĐ nhân viên'!$M$1:$M$1500,0)),0))</f>
        <v>0</v>
      </c>
      <c r="Q120">
        <f>IF(OR($B$73="",$B$17=""),0,IFERROR(INDEX('Dán TĐ nhân viên'!$N$1:$N$1500,MATCH("*"&amp;$C$17&amp;"|"&amp;$B$73,'Dán TĐ nhân viên'!$M$1:$M$1500,0)),0))</f>
        <v>0</v>
      </c>
      <c r="R120">
        <f>IF(OR($B$73="",$B$18=""),0,IFERROR(INDEX('Dán TĐ nhân viên'!$N$1:$N$1500,MATCH("*"&amp;$C$18&amp;"|"&amp;$B$73,'Dán TĐ nhân viên'!$M$1:$M$1500,0)),0))</f>
        <v>0</v>
      </c>
      <c r="S120">
        <f>IF(OR($B$73="",$B$19=""),0,IFERROR(INDEX('Dán TĐ nhân viên'!$N$1:$N$1500,MATCH("*"&amp;$C$19&amp;"|"&amp;$B$73,'Dán TĐ nhân viên'!$M$1:$M$1500,0)),0))</f>
        <v>0</v>
      </c>
      <c r="T120">
        <f>IF(OR($B$73="",$B$20=""),0,IFERROR(INDEX('Dán TĐ nhân viên'!$N$1:$N$1500,MATCH("*"&amp;$C$20&amp;"|"&amp;$B$73,'Dán TĐ nhân viên'!$M$1:$M$1500,0)),0))</f>
        <v>0</v>
      </c>
      <c r="U120">
        <f>IF(OR($B$73="",$B$21=""),0,IFERROR(INDEX('Dán TĐ nhân viên'!$N$1:$N$1500,MATCH("*"&amp;$C$21&amp;"|"&amp;$B$73,'Dán TĐ nhân viên'!$M$1:$M$1500,0)),0))</f>
        <v>0</v>
      </c>
      <c r="V120">
        <f>IF(OR($B$73="",$B$22=""),0,IFERROR(INDEX('Dán TĐ nhân viên'!$N$1:$N$1500,MATCH("*"&amp;$C$22&amp;"|"&amp;$B$73,'Dán TĐ nhân viên'!$M$1:$M$1500,0)),0))</f>
        <v>0</v>
      </c>
    </row>
    <row r="121" spans="1:22" x14ac:dyDescent="0.3">
      <c r="A121">
        <v>36</v>
      </c>
      <c r="B121" t="str">
        <f t="shared" si="12"/>
        <v/>
      </c>
      <c r="C121">
        <f>IF(OR($B$74="",$B$3=""),0,IFERROR(INDEX('Dán TĐ nhân viên'!$N$1:$N$1500,MATCH("*"&amp;$C$3&amp;"|"&amp;$B$74,'Dán TĐ nhân viên'!$M$1:$M$1500,0)),0))</f>
        <v>0</v>
      </c>
      <c r="D121">
        <f>IF(OR($B$74="",$B$4=""),0,IFERROR(INDEX('Dán TĐ nhân viên'!$N$1:$N$1500,MATCH("*"&amp;$C$4&amp;"|"&amp;$B$74,'Dán TĐ nhân viên'!$M$1:$M$1500,0)),0))</f>
        <v>0</v>
      </c>
      <c r="E121">
        <f>IF(OR($B$74="",$B$5=""),0,IFERROR(INDEX('Dán TĐ nhân viên'!$N$1:$N$1500,MATCH("*"&amp;$C$5&amp;"|"&amp;$B$74,'Dán TĐ nhân viên'!$M$1:$M$1500,0)),0))</f>
        <v>0</v>
      </c>
      <c r="F121">
        <f>IF(OR($B$74="",$B$6=""),0,IFERROR(INDEX('Dán TĐ nhân viên'!$N$1:$N$1500,MATCH("*"&amp;$C$6&amp;"|"&amp;$B$74,'Dán TĐ nhân viên'!$M$1:$M$1500,0)),0))</f>
        <v>0</v>
      </c>
      <c r="G121">
        <f>IF(OR($B$74="",$B$7=""),0,IFERROR(INDEX('Dán TĐ nhân viên'!$N$1:$N$1500,MATCH("*"&amp;$C$7&amp;"|"&amp;$B$74,'Dán TĐ nhân viên'!$M$1:$M$1500,0)),0))</f>
        <v>0</v>
      </c>
      <c r="H121">
        <f>IF(OR($B$74="",$B$8=""),0,IFERROR(INDEX('Dán TĐ nhân viên'!$N$1:$N$1500,MATCH("*"&amp;$C$8&amp;"|"&amp;$B$74,'Dán TĐ nhân viên'!$M$1:$M$1500,0)),0))</f>
        <v>0</v>
      </c>
      <c r="I121">
        <f>IF(OR($B$74="",$B$9=""),0,IFERROR(INDEX('Dán TĐ nhân viên'!$N$1:$N$1500,MATCH("*"&amp;$C$9&amp;"|"&amp;$B$74,'Dán TĐ nhân viên'!$M$1:$M$1500,0)),0))</f>
        <v>0</v>
      </c>
      <c r="J121">
        <f>IF(OR($B$74="",$B$10=""),0,IFERROR(INDEX('Dán TĐ nhân viên'!$N$1:$N$1500,MATCH("*"&amp;$C$10&amp;"|"&amp;$B$74,'Dán TĐ nhân viên'!$M$1:$M$1500,0)),0))</f>
        <v>0</v>
      </c>
      <c r="K121">
        <f>IF(OR($B$74="",$B$11=""),0,IFERROR(INDEX('Dán TĐ nhân viên'!$N$1:$N$1500,MATCH("*"&amp;$C$11&amp;"|"&amp;$B$74,'Dán TĐ nhân viên'!$M$1:$M$1500,0)),0))</f>
        <v>0</v>
      </c>
      <c r="L121">
        <f>IF(OR($B$74="",$B$12=""),0,IFERROR(INDEX('Dán TĐ nhân viên'!$N$1:$N$1500,MATCH("*"&amp;$C$12&amp;"|"&amp;$B$74,'Dán TĐ nhân viên'!$M$1:$M$1500,0)),0))</f>
        <v>0</v>
      </c>
      <c r="M121">
        <f>IF(OR($B$74="",$B$13=""),0,IFERROR(INDEX('Dán TĐ nhân viên'!$N$1:$N$1500,MATCH("*"&amp;$C$13&amp;"|"&amp;$B$74,'Dán TĐ nhân viên'!$M$1:$M$1500,0)),0))</f>
        <v>0</v>
      </c>
      <c r="N121">
        <f>IF(OR($B$74="",$B$14=""),0,IFERROR(INDEX('Dán TĐ nhân viên'!$N$1:$N$1500,MATCH("*"&amp;$C$14&amp;"|"&amp;$B$74,'Dán TĐ nhân viên'!$M$1:$M$1500,0)),0))</f>
        <v>0</v>
      </c>
      <c r="O121">
        <f>IF(OR($B$74="",$B$15=""),0,IFERROR(INDEX('Dán TĐ nhân viên'!$N$1:$N$1500,MATCH("*"&amp;$C$15&amp;"|"&amp;$B$74,'Dán TĐ nhân viên'!$M$1:$M$1500,0)),0))</f>
        <v>0</v>
      </c>
      <c r="P121">
        <f>IF(OR($B$74="",$B$16=""),0,IFERROR(INDEX('Dán TĐ nhân viên'!$N$1:$N$1500,MATCH("*"&amp;$C$16&amp;"|"&amp;$B$74,'Dán TĐ nhân viên'!$M$1:$M$1500,0)),0))</f>
        <v>0</v>
      </c>
      <c r="Q121">
        <f>IF(OR($B$74="",$B$17=""),0,IFERROR(INDEX('Dán TĐ nhân viên'!$N$1:$N$1500,MATCH("*"&amp;$C$17&amp;"|"&amp;$B$74,'Dán TĐ nhân viên'!$M$1:$M$1500,0)),0))</f>
        <v>0</v>
      </c>
      <c r="R121">
        <f>IF(OR($B$74="",$B$18=""),0,IFERROR(INDEX('Dán TĐ nhân viên'!$N$1:$N$1500,MATCH("*"&amp;$C$18&amp;"|"&amp;$B$74,'Dán TĐ nhân viên'!$M$1:$M$1500,0)),0))</f>
        <v>0</v>
      </c>
      <c r="S121">
        <f>IF(OR($B$74="",$B$19=""),0,IFERROR(INDEX('Dán TĐ nhân viên'!$N$1:$N$1500,MATCH("*"&amp;$C$19&amp;"|"&amp;$B$74,'Dán TĐ nhân viên'!$M$1:$M$1500,0)),0))</f>
        <v>0</v>
      </c>
      <c r="T121">
        <f>IF(OR($B$74="",$B$20=""),0,IFERROR(INDEX('Dán TĐ nhân viên'!$N$1:$N$1500,MATCH("*"&amp;$C$20&amp;"|"&amp;$B$74,'Dán TĐ nhân viên'!$M$1:$M$1500,0)),0))</f>
        <v>0</v>
      </c>
      <c r="U121">
        <f>IF(OR($B$74="",$B$21=""),0,IFERROR(INDEX('Dán TĐ nhân viên'!$N$1:$N$1500,MATCH("*"&amp;$C$21&amp;"|"&amp;$B$74,'Dán TĐ nhân viên'!$M$1:$M$1500,0)),0))</f>
        <v>0</v>
      </c>
      <c r="V121">
        <f>IF(OR($B$74="",$B$22=""),0,IFERROR(INDEX('Dán TĐ nhân viên'!$N$1:$N$1500,MATCH("*"&amp;$C$22&amp;"|"&amp;$B$74,'Dán TĐ nhân viên'!$M$1:$M$1500,0)),0))</f>
        <v>0</v>
      </c>
    </row>
    <row r="122" spans="1:22" x14ac:dyDescent="0.3">
      <c r="A122">
        <v>37</v>
      </c>
      <c r="B122" t="str">
        <f t="shared" si="12"/>
        <v/>
      </c>
      <c r="C122">
        <f>IF(OR($B$75="",$B$3=""),0,IFERROR(INDEX('Dán TĐ nhân viên'!$N$1:$N$1500,MATCH("*"&amp;$C$3&amp;"|"&amp;$B$75,'Dán TĐ nhân viên'!$M$1:$M$1500,0)),0))</f>
        <v>0</v>
      </c>
      <c r="D122">
        <f>IF(OR($B$75="",$B$4=""),0,IFERROR(INDEX('Dán TĐ nhân viên'!$N$1:$N$1500,MATCH("*"&amp;$C$4&amp;"|"&amp;$B$75,'Dán TĐ nhân viên'!$M$1:$M$1500,0)),0))</f>
        <v>0</v>
      </c>
      <c r="E122">
        <f>IF(OR($B$75="",$B$5=""),0,IFERROR(INDEX('Dán TĐ nhân viên'!$N$1:$N$1500,MATCH("*"&amp;$C$5&amp;"|"&amp;$B$75,'Dán TĐ nhân viên'!$M$1:$M$1500,0)),0))</f>
        <v>0</v>
      </c>
      <c r="F122">
        <f>IF(OR($B$75="",$B$6=""),0,IFERROR(INDEX('Dán TĐ nhân viên'!$N$1:$N$1500,MATCH("*"&amp;$C$6&amp;"|"&amp;$B$75,'Dán TĐ nhân viên'!$M$1:$M$1500,0)),0))</f>
        <v>0</v>
      </c>
      <c r="G122">
        <f>IF(OR($B$75="",$B$7=""),0,IFERROR(INDEX('Dán TĐ nhân viên'!$N$1:$N$1500,MATCH("*"&amp;$C$7&amp;"|"&amp;$B$75,'Dán TĐ nhân viên'!$M$1:$M$1500,0)),0))</f>
        <v>0</v>
      </c>
      <c r="H122">
        <f>IF(OR($B$75="",$B$8=""),0,IFERROR(INDEX('Dán TĐ nhân viên'!$N$1:$N$1500,MATCH("*"&amp;$C$8&amp;"|"&amp;$B$75,'Dán TĐ nhân viên'!$M$1:$M$1500,0)),0))</f>
        <v>0</v>
      </c>
      <c r="I122">
        <f>IF(OR($B$75="",$B$9=""),0,IFERROR(INDEX('Dán TĐ nhân viên'!$N$1:$N$1500,MATCH("*"&amp;$C$9&amp;"|"&amp;$B$75,'Dán TĐ nhân viên'!$M$1:$M$1500,0)),0))</f>
        <v>0</v>
      </c>
      <c r="J122">
        <f>IF(OR($B$75="",$B$10=""),0,IFERROR(INDEX('Dán TĐ nhân viên'!$N$1:$N$1500,MATCH("*"&amp;$C$10&amp;"|"&amp;$B$75,'Dán TĐ nhân viên'!$M$1:$M$1500,0)),0))</f>
        <v>0</v>
      </c>
      <c r="K122">
        <f>IF(OR($B$75="",$B$11=""),0,IFERROR(INDEX('Dán TĐ nhân viên'!$N$1:$N$1500,MATCH("*"&amp;$C$11&amp;"|"&amp;$B$75,'Dán TĐ nhân viên'!$M$1:$M$1500,0)),0))</f>
        <v>0</v>
      </c>
      <c r="L122">
        <f>IF(OR($B$75="",$B$12=""),0,IFERROR(INDEX('Dán TĐ nhân viên'!$N$1:$N$1500,MATCH("*"&amp;$C$12&amp;"|"&amp;$B$75,'Dán TĐ nhân viên'!$M$1:$M$1500,0)),0))</f>
        <v>0</v>
      </c>
      <c r="M122">
        <f>IF(OR($B$75="",$B$13=""),0,IFERROR(INDEX('Dán TĐ nhân viên'!$N$1:$N$1500,MATCH("*"&amp;$C$13&amp;"|"&amp;$B$75,'Dán TĐ nhân viên'!$M$1:$M$1500,0)),0))</f>
        <v>0</v>
      </c>
      <c r="N122">
        <f>IF(OR($B$75="",$B$14=""),0,IFERROR(INDEX('Dán TĐ nhân viên'!$N$1:$N$1500,MATCH("*"&amp;$C$14&amp;"|"&amp;$B$75,'Dán TĐ nhân viên'!$M$1:$M$1500,0)),0))</f>
        <v>0</v>
      </c>
      <c r="O122">
        <f>IF(OR($B$75="",$B$15=""),0,IFERROR(INDEX('Dán TĐ nhân viên'!$N$1:$N$1500,MATCH("*"&amp;$C$15&amp;"|"&amp;$B$75,'Dán TĐ nhân viên'!$M$1:$M$1500,0)),0))</f>
        <v>0</v>
      </c>
      <c r="P122">
        <f>IF(OR($B$75="",$B$16=""),0,IFERROR(INDEX('Dán TĐ nhân viên'!$N$1:$N$1500,MATCH("*"&amp;$C$16&amp;"|"&amp;$B$75,'Dán TĐ nhân viên'!$M$1:$M$1500,0)),0))</f>
        <v>0</v>
      </c>
      <c r="Q122">
        <f>IF(OR($B$75="",$B$17=""),0,IFERROR(INDEX('Dán TĐ nhân viên'!$N$1:$N$1500,MATCH("*"&amp;$C$17&amp;"|"&amp;$B$75,'Dán TĐ nhân viên'!$M$1:$M$1500,0)),0))</f>
        <v>0</v>
      </c>
      <c r="R122">
        <f>IF(OR($B$75="",$B$18=""),0,IFERROR(INDEX('Dán TĐ nhân viên'!$N$1:$N$1500,MATCH("*"&amp;$C$18&amp;"|"&amp;$B$75,'Dán TĐ nhân viên'!$M$1:$M$1500,0)),0))</f>
        <v>0</v>
      </c>
      <c r="S122">
        <f>IF(OR($B$75="",$B$19=""),0,IFERROR(INDEX('Dán TĐ nhân viên'!$N$1:$N$1500,MATCH("*"&amp;$C$19&amp;"|"&amp;$B$75,'Dán TĐ nhân viên'!$M$1:$M$1500,0)),0))</f>
        <v>0</v>
      </c>
      <c r="T122">
        <f>IF(OR($B$75="",$B$20=""),0,IFERROR(INDEX('Dán TĐ nhân viên'!$N$1:$N$1500,MATCH("*"&amp;$C$20&amp;"|"&amp;$B$75,'Dán TĐ nhân viên'!$M$1:$M$1500,0)),0))</f>
        <v>0</v>
      </c>
      <c r="U122">
        <f>IF(OR($B$75="",$B$21=""),0,IFERROR(INDEX('Dán TĐ nhân viên'!$N$1:$N$1500,MATCH("*"&amp;$C$21&amp;"|"&amp;$B$75,'Dán TĐ nhân viên'!$M$1:$M$1500,0)),0))</f>
        <v>0</v>
      </c>
      <c r="V122">
        <f>IF(OR($B$75="",$B$22=""),0,IFERROR(INDEX('Dán TĐ nhân viên'!$N$1:$N$1500,MATCH("*"&amp;$C$22&amp;"|"&amp;$B$75,'Dán TĐ nhân viên'!$M$1:$M$1500,0)),0))</f>
        <v>0</v>
      </c>
    </row>
    <row r="123" spans="1:22" x14ac:dyDescent="0.3">
      <c r="A123">
        <v>38</v>
      </c>
      <c r="B123" t="str">
        <f t="shared" si="12"/>
        <v/>
      </c>
      <c r="C123">
        <f>IF(OR($B$76="",$B$3=""),0,IFERROR(INDEX('Dán TĐ nhân viên'!$N$1:$N$1500,MATCH("*"&amp;$C$3&amp;"|"&amp;$B$76,'Dán TĐ nhân viên'!$M$1:$M$1500,0)),0))</f>
        <v>0</v>
      </c>
      <c r="D123">
        <f>IF(OR($B$76="",$B$4=""),0,IFERROR(INDEX('Dán TĐ nhân viên'!$N$1:$N$1500,MATCH("*"&amp;$C$4&amp;"|"&amp;$B$76,'Dán TĐ nhân viên'!$M$1:$M$1500,0)),0))</f>
        <v>0</v>
      </c>
      <c r="E123">
        <f>IF(OR($B$76="",$B$5=""),0,IFERROR(INDEX('Dán TĐ nhân viên'!$N$1:$N$1500,MATCH("*"&amp;$C$5&amp;"|"&amp;$B$76,'Dán TĐ nhân viên'!$M$1:$M$1500,0)),0))</f>
        <v>0</v>
      </c>
      <c r="F123">
        <f>IF(OR($B$76="",$B$6=""),0,IFERROR(INDEX('Dán TĐ nhân viên'!$N$1:$N$1500,MATCH("*"&amp;$C$6&amp;"|"&amp;$B$76,'Dán TĐ nhân viên'!$M$1:$M$1500,0)),0))</f>
        <v>0</v>
      </c>
      <c r="G123">
        <f>IF(OR($B$76="",$B$7=""),0,IFERROR(INDEX('Dán TĐ nhân viên'!$N$1:$N$1500,MATCH("*"&amp;$C$7&amp;"|"&amp;$B$76,'Dán TĐ nhân viên'!$M$1:$M$1500,0)),0))</f>
        <v>0</v>
      </c>
      <c r="H123">
        <f>IF(OR($B$76="",$B$8=""),0,IFERROR(INDEX('Dán TĐ nhân viên'!$N$1:$N$1500,MATCH("*"&amp;$C$8&amp;"|"&amp;$B$76,'Dán TĐ nhân viên'!$M$1:$M$1500,0)),0))</f>
        <v>0</v>
      </c>
      <c r="I123">
        <f>IF(OR($B$76="",$B$9=""),0,IFERROR(INDEX('Dán TĐ nhân viên'!$N$1:$N$1500,MATCH("*"&amp;$C$9&amp;"|"&amp;$B$76,'Dán TĐ nhân viên'!$M$1:$M$1500,0)),0))</f>
        <v>0</v>
      </c>
      <c r="J123">
        <f>IF(OR($B$76="",$B$10=""),0,IFERROR(INDEX('Dán TĐ nhân viên'!$N$1:$N$1500,MATCH("*"&amp;$C$10&amp;"|"&amp;$B$76,'Dán TĐ nhân viên'!$M$1:$M$1500,0)),0))</f>
        <v>0</v>
      </c>
      <c r="K123">
        <f>IF(OR($B$76="",$B$11=""),0,IFERROR(INDEX('Dán TĐ nhân viên'!$N$1:$N$1500,MATCH("*"&amp;$C$11&amp;"|"&amp;$B$76,'Dán TĐ nhân viên'!$M$1:$M$1500,0)),0))</f>
        <v>0</v>
      </c>
      <c r="L123">
        <f>IF(OR($B$76="",$B$12=""),0,IFERROR(INDEX('Dán TĐ nhân viên'!$N$1:$N$1500,MATCH("*"&amp;$C$12&amp;"|"&amp;$B$76,'Dán TĐ nhân viên'!$M$1:$M$1500,0)),0))</f>
        <v>0</v>
      </c>
      <c r="M123">
        <f>IF(OR($B$76="",$B$13=""),0,IFERROR(INDEX('Dán TĐ nhân viên'!$N$1:$N$1500,MATCH("*"&amp;$C$13&amp;"|"&amp;$B$76,'Dán TĐ nhân viên'!$M$1:$M$1500,0)),0))</f>
        <v>0</v>
      </c>
      <c r="N123">
        <f>IF(OR($B$76="",$B$14=""),0,IFERROR(INDEX('Dán TĐ nhân viên'!$N$1:$N$1500,MATCH("*"&amp;$C$14&amp;"|"&amp;$B$76,'Dán TĐ nhân viên'!$M$1:$M$1500,0)),0))</f>
        <v>0</v>
      </c>
      <c r="O123">
        <f>IF(OR($B$76="",$B$15=""),0,IFERROR(INDEX('Dán TĐ nhân viên'!$N$1:$N$1500,MATCH("*"&amp;$C$15&amp;"|"&amp;$B$76,'Dán TĐ nhân viên'!$M$1:$M$1500,0)),0))</f>
        <v>0</v>
      </c>
      <c r="P123">
        <f>IF(OR($B$76="",$B$16=""),0,IFERROR(INDEX('Dán TĐ nhân viên'!$N$1:$N$1500,MATCH("*"&amp;$C$16&amp;"|"&amp;$B$76,'Dán TĐ nhân viên'!$M$1:$M$1500,0)),0))</f>
        <v>0</v>
      </c>
      <c r="Q123">
        <f>IF(OR($B$76="",$B$17=""),0,IFERROR(INDEX('Dán TĐ nhân viên'!$N$1:$N$1500,MATCH("*"&amp;$C$17&amp;"|"&amp;$B$76,'Dán TĐ nhân viên'!$M$1:$M$1500,0)),0))</f>
        <v>0</v>
      </c>
      <c r="R123">
        <f>IF(OR($B$76="",$B$18=""),0,IFERROR(INDEX('Dán TĐ nhân viên'!$N$1:$N$1500,MATCH("*"&amp;$C$18&amp;"|"&amp;$B$76,'Dán TĐ nhân viên'!$M$1:$M$1500,0)),0))</f>
        <v>0</v>
      </c>
      <c r="S123">
        <f>IF(OR($B$76="",$B$19=""),0,IFERROR(INDEX('Dán TĐ nhân viên'!$N$1:$N$1500,MATCH("*"&amp;$C$19&amp;"|"&amp;$B$76,'Dán TĐ nhân viên'!$M$1:$M$1500,0)),0))</f>
        <v>0</v>
      </c>
      <c r="T123">
        <f>IF(OR($B$76="",$B$20=""),0,IFERROR(INDEX('Dán TĐ nhân viên'!$N$1:$N$1500,MATCH("*"&amp;$C$20&amp;"|"&amp;$B$76,'Dán TĐ nhân viên'!$M$1:$M$1500,0)),0))</f>
        <v>0</v>
      </c>
      <c r="U123">
        <f>IF(OR($B$76="",$B$21=""),0,IFERROR(INDEX('Dán TĐ nhân viên'!$N$1:$N$1500,MATCH("*"&amp;$C$21&amp;"|"&amp;$B$76,'Dán TĐ nhân viên'!$M$1:$M$1500,0)),0))</f>
        <v>0</v>
      </c>
      <c r="V123">
        <f>IF(OR($B$76="",$B$22=""),0,IFERROR(INDEX('Dán TĐ nhân viên'!$N$1:$N$1500,MATCH("*"&amp;$C$22&amp;"|"&amp;$B$76,'Dán TĐ nhân viên'!$M$1:$M$1500,0)),0))</f>
        <v>0</v>
      </c>
    </row>
    <row r="124" spans="1:22" x14ac:dyDescent="0.3">
      <c r="A124">
        <v>39</v>
      </c>
      <c r="B124" t="str">
        <f t="shared" si="12"/>
        <v/>
      </c>
      <c r="C124">
        <f>IF(OR($B$77="",$B$3=""),0,IFERROR(INDEX('Dán TĐ nhân viên'!$N$1:$N$1500,MATCH("*"&amp;$C$3&amp;"|"&amp;$B$77,'Dán TĐ nhân viên'!$M$1:$M$1500,0)),0))</f>
        <v>0</v>
      </c>
      <c r="D124">
        <f>IF(OR($B$77="",$B$4=""),0,IFERROR(INDEX('Dán TĐ nhân viên'!$N$1:$N$1500,MATCH("*"&amp;$C$4&amp;"|"&amp;$B$77,'Dán TĐ nhân viên'!$M$1:$M$1500,0)),0))</f>
        <v>0</v>
      </c>
      <c r="E124">
        <f>IF(OR($B$77="",$B$5=""),0,IFERROR(INDEX('Dán TĐ nhân viên'!$N$1:$N$1500,MATCH("*"&amp;$C$5&amp;"|"&amp;$B$77,'Dán TĐ nhân viên'!$M$1:$M$1500,0)),0))</f>
        <v>0</v>
      </c>
      <c r="F124">
        <f>IF(OR($B$77="",$B$6=""),0,IFERROR(INDEX('Dán TĐ nhân viên'!$N$1:$N$1500,MATCH("*"&amp;$C$6&amp;"|"&amp;$B$77,'Dán TĐ nhân viên'!$M$1:$M$1500,0)),0))</f>
        <v>0</v>
      </c>
      <c r="G124">
        <f>IF(OR($B$77="",$B$7=""),0,IFERROR(INDEX('Dán TĐ nhân viên'!$N$1:$N$1500,MATCH("*"&amp;$C$7&amp;"|"&amp;$B$77,'Dán TĐ nhân viên'!$M$1:$M$1500,0)),0))</f>
        <v>0</v>
      </c>
      <c r="H124">
        <f>IF(OR($B$77="",$B$8=""),0,IFERROR(INDEX('Dán TĐ nhân viên'!$N$1:$N$1500,MATCH("*"&amp;$C$8&amp;"|"&amp;$B$77,'Dán TĐ nhân viên'!$M$1:$M$1500,0)),0))</f>
        <v>0</v>
      </c>
      <c r="I124">
        <f>IF(OR($B$77="",$B$9=""),0,IFERROR(INDEX('Dán TĐ nhân viên'!$N$1:$N$1500,MATCH("*"&amp;$C$9&amp;"|"&amp;$B$77,'Dán TĐ nhân viên'!$M$1:$M$1500,0)),0))</f>
        <v>0</v>
      </c>
      <c r="J124">
        <f>IF(OR($B$77="",$B$10=""),0,IFERROR(INDEX('Dán TĐ nhân viên'!$N$1:$N$1500,MATCH("*"&amp;$C$10&amp;"|"&amp;$B$77,'Dán TĐ nhân viên'!$M$1:$M$1500,0)),0))</f>
        <v>0</v>
      </c>
      <c r="K124">
        <f>IF(OR($B$77="",$B$11=""),0,IFERROR(INDEX('Dán TĐ nhân viên'!$N$1:$N$1500,MATCH("*"&amp;$C$11&amp;"|"&amp;$B$77,'Dán TĐ nhân viên'!$M$1:$M$1500,0)),0))</f>
        <v>0</v>
      </c>
      <c r="L124">
        <f>IF(OR($B$77="",$B$12=""),0,IFERROR(INDEX('Dán TĐ nhân viên'!$N$1:$N$1500,MATCH("*"&amp;$C$12&amp;"|"&amp;$B$77,'Dán TĐ nhân viên'!$M$1:$M$1500,0)),0))</f>
        <v>0</v>
      </c>
      <c r="M124">
        <f>IF(OR($B$77="",$B$13=""),0,IFERROR(INDEX('Dán TĐ nhân viên'!$N$1:$N$1500,MATCH("*"&amp;$C$13&amp;"|"&amp;$B$77,'Dán TĐ nhân viên'!$M$1:$M$1500,0)),0))</f>
        <v>0</v>
      </c>
      <c r="N124">
        <f>IF(OR($B$77="",$B$14=""),0,IFERROR(INDEX('Dán TĐ nhân viên'!$N$1:$N$1500,MATCH("*"&amp;$C$14&amp;"|"&amp;$B$77,'Dán TĐ nhân viên'!$M$1:$M$1500,0)),0))</f>
        <v>0</v>
      </c>
      <c r="O124">
        <f>IF(OR($B$77="",$B$15=""),0,IFERROR(INDEX('Dán TĐ nhân viên'!$N$1:$N$1500,MATCH("*"&amp;$C$15&amp;"|"&amp;$B$77,'Dán TĐ nhân viên'!$M$1:$M$1500,0)),0))</f>
        <v>0</v>
      </c>
      <c r="P124">
        <f>IF(OR($B$77="",$B$16=""),0,IFERROR(INDEX('Dán TĐ nhân viên'!$N$1:$N$1500,MATCH("*"&amp;$C$16&amp;"|"&amp;$B$77,'Dán TĐ nhân viên'!$M$1:$M$1500,0)),0))</f>
        <v>0</v>
      </c>
      <c r="Q124">
        <f>IF(OR($B$77="",$B$17=""),0,IFERROR(INDEX('Dán TĐ nhân viên'!$N$1:$N$1500,MATCH("*"&amp;$C$17&amp;"|"&amp;$B$77,'Dán TĐ nhân viên'!$M$1:$M$1500,0)),0))</f>
        <v>0</v>
      </c>
      <c r="R124">
        <f>IF(OR($B$77="",$B$18=""),0,IFERROR(INDEX('Dán TĐ nhân viên'!$N$1:$N$1500,MATCH("*"&amp;$C$18&amp;"|"&amp;$B$77,'Dán TĐ nhân viên'!$M$1:$M$1500,0)),0))</f>
        <v>0</v>
      </c>
      <c r="S124">
        <f>IF(OR($B$77="",$B$19=""),0,IFERROR(INDEX('Dán TĐ nhân viên'!$N$1:$N$1500,MATCH("*"&amp;$C$19&amp;"|"&amp;$B$77,'Dán TĐ nhân viên'!$M$1:$M$1500,0)),0))</f>
        <v>0</v>
      </c>
      <c r="T124">
        <f>IF(OR($B$77="",$B$20=""),0,IFERROR(INDEX('Dán TĐ nhân viên'!$N$1:$N$1500,MATCH("*"&amp;$C$20&amp;"|"&amp;$B$77,'Dán TĐ nhân viên'!$M$1:$M$1500,0)),0))</f>
        <v>0</v>
      </c>
      <c r="U124">
        <f>IF(OR($B$77="",$B$21=""),0,IFERROR(INDEX('Dán TĐ nhân viên'!$N$1:$N$1500,MATCH("*"&amp;$C$21&amp;"|"&amp;$B$77,'Dán TĐ nhân viên'!$M$1:$M$1500,0)),0))</f>
        <v>0</v>
      </c>
      <c r="V124">
        <f>IF(OR($B$77="",$B$22=""),0,IFERROR(INDEX('Dán TĐ nhân viên'!$N$1:$N$1500,MATCH("*"&amp;$C$22&amp;"|"&amp;$B$77,'Dán TĐ nhân viên'!$M$1:$M$1500,0)),0))</f>
        <v>0</v>
      </c>
    </row>
    <row r="125" spans="1:22" x14ac:dyDescent="0.3">
      <c r="A125">
        <v>40</v>
      </c>
      <c r="B125" t="str">
        <f t="shared" si="12"/>
        <v/>
      </c>
      <c r="C125">
        <f>IF(OR($B$78="",$B$3=""),0,IFERROR(INDEX('Dán TĐ nhân viên'!$N$1:$N$1500,MATCH("*"&amp;$C$3&amp;"|"&amp;$B$78,'Dán TĐ nhân viên'!$M$1:$M$1500,0)),0))</f>
        <v>0</v>
      </c>
      <c r="D125">
        <f>IF(OR($B$78="",$B$4=""),0,IFERROR(INDEX('Dán TĐ nhân viên'!$N$1:$N$1500,MATCH("*"&amp;$C$4&amp;"|"&amp;$B$78,'Dán TĐ nhân viên'!$M$1:$M$1500,0)),0))</f>
        <v>0</v>
      </c>
      <c r="E125">
        <f>IF(OR($B$78="",$B$5=""),0,IFERROR(INDEX('Dán TĐ nhân viên'!$N$1:$N$1500,MATCH("*"&amp;$C$5&amp;"|"&amp;$B$78,'Dán TĐ nhân viên'!$M$1:$M$1500,0)),0))</f>
        <v>0</v>
      </c>
      <c r="F125">
        <f>IF(OR($B$78="",$B$6=""),0,IFERROR(INDEX('Dán TĐ nhân viên'!$N$1:$N$1500,MATCH("*"&amp;$C$6&amp;"|"&amp;$B$78,'Dán TĐ nhân viên'!$M$1:$M$1500,0)),0))</f>
        <v>0</v>
      </c>
      <c r="G125">
        <f>IF(OR($B$78="",$B$7=""),0,IFERROR(INDEX('Dán TĐ nhân viên'!$N$1:$N$1500,MATCH("*"&amp;$C$7&amp;"|"&amp;$B$78,'Dán TĐ nhân viên'!$M$1:$M$1500,0)),0))</f>
        <v>0</v>
      </c>
      <c r="H125">
        <f>IF(OR($B$78="",$B$8=""),0,IFERROR(INDEX('Dán TĐ nhân viên'!$N$1:$N$1500,MATCH("*"&amp;$C$8&amp;"|"&amp;$B$78,'Dán TĐ nhân viên'!$M$1:$M$1500,0)),0))</f>
        <v>0</v>
      </c>
      <c r="I125">
        <f>IF(OR($B$78="",$B$9=""),0,IFERROR(INDEX('Dán TĐ nhân viên'!$N$1:$N$1500,MATCH("*"&amp;$C$9&amp;"|"&amp;$B$78,'Dán TĐ nhân viên'!$M$1:$M$1500,0)),0))</f>
        <v>0</v>
      </c>
      <c r="J125">
        <f>IF(OR($B$78="",$B$10=""),0,IFERROR(INDEX('Dán TĐ nhân viên'!$N$1:$N$1500,MATCH("*"&amp;$C$10&amp;"|"&amp;$B$78,'Dán TĐ nhân viên'!$M$1:$M$1500,0)),0))</f>
        <v>0</v>
      </c>
      <c r="K125">
        <f>IF(OR($B$78="",$B$11=""),0,IFERROR(INDEX('Dán TĐ nhân viên'!$N$1:$N$1500,MATCH("*"&amp;$C$11&amp;"|"&amp;$B$78,'Dán TĐ nhân viên'!$M$1:$M$1500,0)),0))</f>
        <v>0</v>
      </c>
      <c r="L125">
        <f>IF(OR($B$78="",$B$12=""),0,IFERROR(INDEX('Dán TĐ nhân viên'!$N$1:$N$1500,MATCH("*"&amp;$C$12&amp;"|"&amp;$B$78,'Dán TĐ nhân viên'!$M$1:$M$1500,0)),0))</f>
        <v>0</v>
      </c>
      <c r="M125">
        <f>IF(OR($B$78="",$B$13=""),0,IFERROR(INDEX('Dán TĐ nhân viên'!$N$1:$N$1500,MATCH("*"&amp;$C$13&amp;"|"&amp;$B$78,'Dán TĐ nhân viên'!$M$1:$M$1500,0)),0))</f>
        <v>0</v>
      </c>
      <c r="N125">
        <f>IF(OR($B$78="",$B$14=""),0,IFERROR(INDEX('Dán TĐ nhân viên'!$N$1:$N$1500,MATCH("*"&amp;$C$14&amp;"|"&amp;$B$78,'Dán TĐ nhân viên'!$M$1:$M$1500,0)),0))</f>
        <v>0</v>
      </c>
      <c r="O125">
        <f>IF(OR($B$78="",$B$15=""),0,IFERROR(INDEX('Dán TĐ nhân viên'!$N$1:$N$1500,MATCH("*"&amp;$C$15&amp;"|"&amp;$B$78,'Dán TĐ nhân viên'!$M$1:$M$1500,0)),0))</f>
        <v>0</v>
      </c>
      <c r="P125">
        <f>IF(OR($B$78="",$B$16=""),0,IFERROR(INDEX('Dán TĐ nhân viên'!$N$1:$N$1500,MATCH("*"&amp;$C$16&amp;"|"&amp;$B$78,'Dán TĐ nhân viên'!$M$1:$M$1500,0)),0))</f>
        <v>0</v>
      </c>
      <c r="Q125">
        <f>IF(OR($B$78="",$B$17=""),0,IFERROR(INDEX('Dán TĐ nhân viên'!$N$1:$N$1500,MATCH("*"&amp;$C$17&amp;"|"&amp;$B$78,'Dán TĐ nhân viên'!$M$1:$M$1500,0)),0))</f>
        <v>0</v>
      </c>
      <c r="R125">
        <f>IF(OR($B$78="",$B$18=""),0,IFERROR(INDEX('Dán TĐ nhân viên'!$N$1:$N$1500,MATCH("*"&amp;$C$18&amp;"|"&amp;$B$78,'Dán TĐ nhân viên'!$M$1:$M$1500,0)),0))</f>
        <v>0</v>
      </c>
      <c r="S125">
        <f>IF(OR($B$78="",$B$19=""),0,IFERROR(INDEX('Dán TĐ nhân viên'!$N$1:$N$1500,MATCH("*"&amp;$C$19&amp;"|"&amp;$B$78,'Dán TĐ nhân viên'!$M$1:$M$1500,0)),0))</f>
        <v>0</v>
      </c>
      <c r="T125">
        <f>IF(OR($B$78="",$B$20=""),0,IFERROR(INDEX('Dán TĐ nhân viên'!$N$1:$N$1500,MATCH("*"&amp;$C$20&amp;"|"&amp;$B$78,'Dán TĐ nhân viên'!$M$1:$M$1500,0)),0))</f>
        <v>0</v>
      </c>
      <c r="U125">
        <f>IF(OR($B$78="",$B$21=""),0,IFERROR(INDEX('Dán TĐ nhân viên'!$N$1:$N$1500,MATCH("*"&amp;$C$21&amp;"|"&amp;$B$78,'Dán TĐ nhân viên'!$M$1:$M$1500,0)),0))</f>
        <v>0</v>
      </c>
      <c r="V125">
        <f>IF(OR($B$78="",$B$22=""),0,IFERROR(INDEX('Dán TĐ nhân viên'!$N$1:$N$1500,MATCH("*"&amp;$C$22&amp;"|"&amp;$B$78,'Dán TĐ nhân viên'!$M$1:$M$1500,0)),0))</f>
        <v>0</v>
      </c>
    </row>
    <row r="126" spans="1:22" x14ac:dyDescent="0.3">
      <c r="A126">
        <v>41</v>
      </c>
      <c r="B126" t="str">
        <f t="shared" si="12"/>
        <v/>
      </c>
      <c r="C126">
        <f>IF(OR($B$79="",$B$3=""),0,IFERROR(INDEX('Dán TĐ nhân viên'!$N$1:$N$1500,MATCH("*"&amp;$C$3&amp;"|"&amp;$B$79,'Dán TĐ nhân viên'!$M$1:$M$1500,0)),0))</f>
        <v>0</v>
      </c>
      <c r="D126">
        <f>IF(OR($B$79="",$B$4=""),0,IFERROR(INDEX('Dán TĐ nhân viên'!$N$1:$N$1500,MATCH("*"&amp;$C$4&amp;"|"&amp;$B$79,'Dán TĐ nhân viên'!$M$1:$M$1500,0)),0))</f>
        <v>0</v>
      </c>
      <c r="E126">
        <f>IF(OR($B$79="",$B$5=""),0,IFERROR(INDEX('Dán TĐ nhân viên'!$N$1:$N$1500,MATCH("*"&amp;$C$5&amp;"|"&amp;$B$79,'Dán TĐ nhân viên'!$M$1:$M$1500,0)),0))</f>
        <v>0</v>
      </c>
      <c r="F126">
        <f>IF(OR($B$79="",$B$6=""),0,IFERROR(INDEX('Dán TĐ nhân viên'!$N$1:$N$1500,MATCH("*"&amp;$C$6&amp;"|"&amp;$B$79,'Dán TĐ nhân viên'!$M$1:$M$1500,0)),0))</f>
        <v>0</v>
      </c>
      <c r="G126">
        <f>IF(OR($B$79="",$B$7=""),0,IFERROR(INDEX('Dán TĐ nhân viên'!$N$1:$N$1500,MATCH("*"&amp;$C$7&amp;"|"&amp;$B$79,'Dán TĐ nhân viên'!$M$1:$M$1500,0)),0))</f>
        <v>0</v>
      </c>
      <c r="H126">
        <f>IF(OR($B$79="",$B$8=""),0,IFERROR(INDEX('Dán TĐ nhân viên'!$N$1:$N$1500,MATCH("*"&amp;$C$8&amp;"|"&amp;$B$79,'Dán TĐ nhân viên'!$M$1:$M$1500,0)),0))</f>
        <v>0</v>
      </c>
      <c r="I126">
        <f>IF(OR($B$79="",$B$9=""),0,IFERROR(INDEX('Dán TĐ nhân viên'!$N$1:$N$1500,MATCH("*"&amp;$C$9&amp;"|"&amp;$B$79,'Dán TĐ nhân viên'!$M$1:$M$1500,0)),0))</f>
        <v>0</v>
      </c>
      <c r="J126">
        <f>IF(OR($B$79="",$B$10=""),0,IFERROR(INDEX('Dán TĐ nhân viên'!$N$1:$N$1500,MATCH("*"&amp;$C$10&amp;"|"&amp;$B$79,'Dán TĐ nhân viên'!$M$1:$M$1500,0)),0))</f>
        <v>0</v>
      </c>
      <c r="K126">
        <f>IF(OR($B$79="",$B$11=""),0,IFERROR(INDEX('Dán TĐ nhân viên'!$N$1:$N$1500,MATCH("*"&amp;$C$11&amp;"|"&amp;$B$79,'Dán TĐ nhân viên'!$M$1:$M$1500,0)),0))</f>
        <v>0</v>
      </c>
      <c r="L126">
        <f>IF(OR($B$79="",$B$12=""),0,IFERROR(INDEX('Dán TĐ nhân viên'!$N$1:$N$1500,MATCH("*"&amp;$C$12&amp;"|"&amp;$B$79,'Dán TĐ nhân viên'!$M$1:$M$1500,0)),0))</f>
        <v>0</v>
      </c>
      <c r="M126">
        <f>IF(OR($B$79="",$B$13=""),0,IFERROR(INDEX('Dán TĐ nhân viên'!$N$1:$N$1500,MATCH("*"&amp;$C$13&amp;"|"&amp;$B$79,'Dán TĐ nhân viên'!$M$1:$M$1500,0)),0))</f>
        <v>0</v>
      </c>
      <c r="N126">
        <f>IF(OR($B$79="",$B$14=""),0,IFERROR(INDEX('Dán TĐ nhân viên'!$N$1:$N$1500,MATCH("*"&amp;$C$14&amp;"|"&amp;$B$79,'Dán TĐ nhân viên'!$M$1:$M$1500,0)),0))</f>
        <v>0</v>
      </c>
      <c r="O126">
        <f>IF(OR($B$79="",$B$15=""),0,IFERROR(INDEX('Dán TĐ nhân viên'!$N$1:$N$1500,MATCH("*"&amp;$C$15&amp;"|"&amp;$B$79,'Dán TĐ nhân viên'!$M$1:$M$1500,0)),0))</f>
        <v>0</v>
      </c>
      <c r="P126">
        <f>IF(OR($B$79="",$B$16=""),0,IFERROR(INDEX('Dán TĐ nhân viên'!$N$1:$N$1500,MATCH("*"&amp;$C$16&amp;"|"&amp;$B$79,'Dán TĐ nhân viên'!$M$1:$M$1500,0)),0))</f>
        <v>0</v>
      </c>
      <c r="Q126">
        <f>IF(OR($B$79="",$B$17=""),0,IFERROR(INDEX('Dán TĐ nhân viên'!$N$1:$N$1500,MATCH("*"&amp;$C$17&amp;"|"&amp;$B$79,'Dán TĐ nhân viên'!$M$1:$M$1500,0)),0))</f>
        <v>0</v>
      </c>
      <c r="R126">
        <f>IF(OR($B$79="",$B$18=""),0,IFERROR(INDEX('Dán TĐ nhân viên'!$N$1:$N$1500,MATCH("*"&amp;$C$18&amp;"|"&amp;$B$79,'Dán TĐ nhân viên'!$M$1:$M$1500,0)),0))</f>
        <v>0</v>
      </c>
      <c r="S126">
        <f>IF(OR($B$79="",$B$19=""),0,IFERROR(INDEX('Dán TĐ nhân viên'!$N$1:$N$1500,MATCH("*"&amp;$C$19&amp;"|"&amp;$B$79,'Dán TĐ nhân viên'!$M$1:$M$1500,0)),0))</f>
        <v>0</v>
      </c>
      <c r="T126">
        <f>IF(OR($B$79="",$B$20=""),0,IFERROR(INDEX('Dán TĐ nhân viên'!$N$1:$N$1500,MATCH("*"&amp;$C$20&amp;"|"&amp;$B$79,'Dán TĐ nhân viên'!$M$1:$M$1500,0)),0))</f>
        <v>0</v>
      </c>
      <c r="U126">
        <f>IF(OR($B$79="",$B$21=""),0,IFERROR(INDEX('Dán TĐ nhân viên'!$N$1:$N$1500,MATCH("*"&amp;$C$21&amp;"|"&amp;$B$79,'Dán TĐ nhân viên'!$M$1:$M$1500,0)),0))</f>
        <v>0</v>
      </c>
      <c r="V126">
        <f>IF(OR($B$79="",$B$22=""),0,IFERROR(INDEX('Dán TĐ nhân viên'!$N$1:$N$1500,MATCH("*"&amp;$C$22&amp;"|"&amp;$B$79,'Dán TĐ nhân viên'!$M$1:$M$1500,0)),0))</f>
        <v>0</v>
      </c>
    </row>
    <row r="127" spans="1:22" x14ac:dyDescent="0.3">
      <c r="A127">
        <v>42</v>
      </c>
      <c r="B127" t="str">
        <f t="shared" si="12"/>
        <v/>
      </c>
      <c r="C127">
        <f>IF(OR($B$80="",$B$3=""),0,IFERROR(INDEX('Dán TĐ nhân viên'!$N$1:$N$1500,MATCH("*"&amp;$C$3&amp;"|"&amp;$B$80,'Dán TĐ nhân viên'!$M$1:$M$1500,0)),0))</f>
        <v>0</v>
      </c>
      <c r="D127">
        <f>IF(OR($B$80="",$B$4=""),0,IFERROR(INDEX('Dán TĐ nhân viên'!$N$1:$N$1500,MATCH("*"&amp;$C$4&amp;"|"&amp;$B$80,'Dán TĐ nhân viên'!$M$1:$M$1500,0)),0))</f>
        <v>0</v>
      </c>
      <c r="E127">
        <f>IF(OR($B$80="",$B$5=""),0,IFERROR(INDEX('Dán TĐ nhân viên'!$N$1:$N$1500,MATCH("*"&amp;$C$5&amp;"|"&amp;$B$80,'Dán TĐ nhân viên'!$M$1:$M$1500,0)),0))</f>
        <v>0</v>
      </c>
      <c r="F127">
        <f>IF(OR($B$80="",$B$6=""),0,IFERROR(INDEX('Dán TĐ nhân viên'!$N$1:$N$1500,MATCH("*"&amp;$C$6&amp;"|"&amp;$B$80,'Dán TĐ nhân viên'!$M$1:$M$1500,0)),0))</f>
        <v>0</v>
      </c>
      <c r="G127">
        <f>IF(OR($B$80="",$B$7=""),0,IFERROR(INDEX('Dán TĐ nhân viên'!$N$1:$N$1500,MATCH("*"&amp;$C$7&amp;"|"&amp;$B$80,'Dán TĐ nhân viên'!$M$1:$M$1500,0)),0))</f>
        <v>0</v>
      </c>
      <c r="H127">
        <f>IF(OR($B$80="",$B$8=""),0,IFERROR(INDEX('Dán TĐ nhân viên'!$N$1:$N$1500,MATCH("*"&amp;$C$8&amp;"|"&amp;$B$80,'Dán TĐ nhân viên'!$M$1:$M$1500,0)),0))</f>
        <v>0</v>
      </c>
      <c r="I127">
        <f>IF(OR($B$80="",$B$9=""),0,IFERROR(INDEX('Dán TĐ nhân viên'!$N$1:$N$1500,MATCH("*"&amp;$C$9&amp;"|"&amp;$B$80,'Dán TĐ nhân viên'!$M$1:$M$1500,0)),0))</f>
        <v>0</v>
      </c>
      <c r="J127">
        <f>IF(OR($B$80="",$B$10=""),0,IFERROR(INDEX('Dán TĐ nhân viên'!$N$1:$N$1500,MATCH("*"&amp;$C$10&amp;"|"&amp;$B$80,'Dán TĐ nhân viên'!$M$1:$M$1500,0)),0))</f>
        <v>0</v>
      </c>
      <c r="K127">
        <f>IF(OR($B$80="",$B$11=""),0,IFERROR(INDEX('Dán TĐ nhân viên'!$N$1:$N$1500,MATCH("*"&amp;$C$11&amp;"|"&amp;$B$80,'Dán TĐ nhân viên'!$M$1:$M$1500,0)),0))</f>
        <v>0</v>
      </c>
      <c r="L127">
        <f>IF(OR($B$80="",$B$12=""),0,IFERROR(INDEX('Dán TĐ nhân viên'!$N$1:$N$1500,MATCH("*"&amp;$C$12&amp;"|"&amp;$B$80,'Dán TĐ nhân viên'!$M$1:$M$1500,0)),0))</f>
        <v>0</v>
      </c>
      <c r="M127">
        <f>IF(OR($B$80="",$B$13=""),0,IFERROR(INDEX('Dán TĐ nhân viên'!$N$1:$N$1500,MATCH("*"&amp;$C$13&amp;"|"&amp;$B$80,'Dán TĐ nhân viên'!$M$1:$M$1500,0)),0))</f>
        <v>0</v>
      </c>
      <c r="N127">
        <f>IF(OR($B$80="",$B$14=""),0,IFERROR(INDEX('Dán TĐ nhân viên'!$N$1:$N$1500,MATCH("*"&amp;$C$14&amp;"|"&amp;$B$80,'Dán TĐ nhân viên'!$M$1:$M$1500,0)),0))</f>
        <v>0</v>
      </c>
      <c r="O127">
        <f>IF(OR($B$80="",$B$15=""),0,IFERROR(INDEX('Dán TĐ nhân viên'!$N$1:$N$1500,MATCH("*"&amp;$C$15&amp;"|"&amp;$B$80,'Dán TĐ nhân viên'!$M$1:$M$1500,0)),0))</f>
        <v>0</v>
      </c>
      <c r="P127">
        <f>IF(OR($B$80="",$B$16=""),0,IFERROR(INDEX('Dán TĐ nhân viên'!$N$1:$N$1500,MATCH("*"&amp;$C$16&amp;"|"&amp;$B$80,'Dán TĐ nhân viên'!$M$1:$M$1500,0)),0))</f>
        <v>0</v>
      </c>
      <c r="Q127">
        <f>IF(OR($B$80="",$B$17=""),0,IFERROR(INDEX('Dán TĐ nhân viên'!$N$1:$N$1500,MATCH("*"&amp;$C$17&amp;"|"&amp;$B$80,'Dán TĐ nhân viên'!$M$1:$M$1500,0)),0))</f>
        <v>0</v>
      </c>
      <c r="R127">
        <f>IF(OR($B$80="",$B$18=""),0,IFERROR(INDEX('Dán TĐ nhân viên'!$N$1:$N$1500,MATCH("*"&amp;$C$18&amp;"|"&amp;$B$80,'Dán TĐ nhân viên'!$M$1:$M$1500,0)),0))</f>
        <v>0</v>
      </c>
      <c r="S127">
        <f>IF(OR($B$80="",$B$19=""),0,IFERROR(INDEX('Dán TĐ nhân viên'!$N$1:$N$1500,MATCH("*"&amp;$C$19&amp;"|"&amp;$B$80,'Dán TĐ nhân viên'!$M$1:$M$1500,0)),0))</f>
        <v>0</v>
      </c>
      <c r="T127">
        <f>IF(OR($B$80="",$B$20=""),0,IFERROR(INDEX('Dán TĐ nhân viên'!$N$1:$N$1500,MATCH("*"&amp;$C$20&amp;"|"&amp;$B$80,'Dán TĐ nhân viên'!$M$1:$M$1500,0)),0))</f>
        <v>0</v>
      </c>
      <c r="U127">
        <f>IF(OR($B$80="",$B$21=""),0,IFERROR(INDEX('Dán TĐ nhân viên'!$N$1:$N$1500,MATCH("*"&amp;$C$21&amp;"|"&amp;$B$80,'Dán TĐ nhân viên'!$M$1:$M$1500,0)),0))</f>
        <v>0</v>
      </c>
      <c r="V127">
        <f>IF(OR($B$80="",$B$22=""),0,IFERROR(INDEX('Dán TĐ nhân viên'!$N$1:$N$1500,MATCH("*"&amp;$C$22&amp;"|"&amp;$B$80,'Dán TĐ nhân viên'!$M$1:$M$1500,0)),0))</f>
        <v>0</v>
      </c>
    </row>
    <row r="128" spans="1:22" x14ac:dyDescent="0.3">
      <c r="A128">
        <v>43</v>
      </c>
      <c r="B128" t="str">
        <f t="shared" si="12"/>
        <v/>
      </c>
      <c r="C128">
        <f>IF(OR($B$81="",$B$3=""),0,IFERROR(INDEX('Dán TĐ nhân viên'!$N$1:$N$1500,MATCH("*"&amp;$C$3&amp;"|"&amp;$B$81,'Dán TĐ nhân viên'!$M$1:$M$1500,0)),0))</f>
        <v>0</v>
      </c>
      <c r="D128">
        <f>IF(OR($B$81="",$B$4=""),0,IFERROR(INDEX('Dán TĐ nhân viên'!$N$1:$N$1500,MATCH("*"&amp;$C$4&amp;"|"&amp;$B$81,'Dán TĐ nhân viên'!$M$1:$M$1500,0)),0))</f>
        <v>0</v>
      </c>
      <c r="E128">
        <f>IF(OR($B$81="",$B$5=""),0,IFERROR(INDEX('Dán TĐ nhân viên'!$N$1:$N$1500,MATCH("*"&amp;$C$5&amp;"|"&amp;$B$81,'Dán TĐ nhân viên'!$M$1:$M$1500,0)),0))</f>
        <v>0</v>
      </c>
      <c r="F128">
        <f>IF(OR($B$81="",$B$6=""),0,IFERROR(INDEX('Dán TĐ nhân viên'!$N$1:$N$1500,MATCH("*"&amp;$C$6&amp;"|"&amp;$B$81,'Dán TĐ nhân viên'!$M$1:$M$1500,0)),0))</f>
        <v>0</v>
      </c>
      <c r="G128">
        <f>IF(OR($B$81="",$B$7=""),0,IFERROR(INDEX('Dán TĐ nhân viên'!$N$1:$N$1500,MATCH("*"&amp;$C$7&amp;"|"&amp;$B$81,'Dán TĐ nhân viên'!$M$1:$M$1500,0)),0))</f>
        <v>0</v>
      </c>
      <c r="H128">
        <f>IF(OR($B$81="",$B$8=""),0,IFERROR(INDEX('Dán TĐ nhân viên'!$N$1:$N$1500,MATCH("*"&amp;$C$8&amp;"|"&amp;$B$81,'Dán TĐ nhân viên'!$M$1:$M$1500,0)),0))</f>
        <v>0</v>
      </c>
      <c r="I128">
        <f>IF(OR($B$81="",$B$9=""),0,IFERROR(INDEX('Dán TĐ nhân viên'!$N$1:$N$1500,MATCH("*"&amp;$C$9&amp;"|"&amp;$B$81,'Dán TĐ nhân viên'!$M$1:$M$1500,0)),0))</f>
        <v>0</v>
      </c>
      <c r="J128">
        <f>IF(OR($B$81="",$B$10=""),0,IFERROR(INDEX('Dán TĐ nhân viên'!$N$1:$N$1500,MATCH("*"&amp;$C$10&amp;"|"&amp;$B$81,'Dán TĐ nhân viên'!$M$1:$M$1500,0)),0))</f>
        <v>0</v>
      </c>
      <c r="K128">
        <f>IF(OR($B$81="",$B$11=""),0,IFERROR(INDEX('Dán TĐ nhân viên'!$N$1:$N$1500,MATCH("*"&amp;$C$11&amp;"|"&amp;$B$81,'Dán TĐ nhân viên'!$M$1:$M$1500,0)),0))</f>
        <v>0</v>
      </c>
      <c r="L128">
        <f>IF(OR($B$81="",$B$12=""),0,IFERROR(INDEX('Dán TĐ nhân viên'!$N$1:$N$1500,MATCH("*"&amp;$C$12&amp;"|"&amp;$B$81,'Dán TĐ nhân viên'!$M$1:$M$1500,0)),0))</f>
        <v>0</v>
      </c>
      <c r="M128">
        <f>IF(OR($B$81="",$B$13=""),0,IFERROR(INDEX('Dán TĐ nhân viên'!$N$1:$N$1500,MATCH("*"&amp;$C$13&amp;"|"&amp;$B$81,'Dán TĐ nhân viên'!$M$1:$M$1500,0)),0))</f>
        <v>0</v>
      </c>
      <c r="N128">
        <f>IF(OR($B$81="",$B$14=""),0,IFERROR(INDEX('Dán TĐ nhân viên'!$N$1:$N$1500,MATCH("*"&amp;$C$14&amp;"|"&amp;$B$81,'Dán TĐ nhân viên'!$M$1:$M$1500,0)),0))</f>
        <v>0</v>
      </c>
      <c r="O128">
        <f>IF(OR($B$81="",$B$15=""),0,IFERROR(INDEX('Dán TĐ nhân viên'!$N$1:$N$1500,MATCH("*"&amp;$C$15&amp;"|"&amp;$B$81,'Dán TĐ nhân viên'!$M$1:$M$1500,0)),0))</f>
        <v>0</v>
      </c>
      <c r="P128">
        <f>IF(OR($B$81="",$B$16=""),0,IFERROR(INDEX('Dán TĐ nhân viên'!$N$1:$N$1500,MATCH("*"&amp;$C$16&amp;"|"&amp;$B$81,'Dán TĐ nhân viên'!$M$1:$M$1500,0)),0))</f>
        <v>0</v>
      </c>
      <c r="Q128">
        <f>IF(OR($B$81="",$B$17=""),0,IFERROR(INDEX('Dán TĐ nhân viên'!$N$1:$N$1500,MATCH("*"&amp;$C$17&amp;"|"&amp;$B$81,'Dán TĐ nhân viên'!$M$1:$M$1500,0)),0))</f>
        <v>0</v>
      </c>
      <c r="R128">
        <f>IF(OR($B$81="",$B$18=""),0,IFERROR(INDEX('Dán TĐ nhân viên'!$N$1:$N$1500,MATCH("*"&amp;$C$18&amp;"|"&amp;$B$81,'Dán TĐ nhân viên'!$M$1:$M$1500,0)),0))</f>
        <v>0</v>
      </c>
      <c r="S128">
        <f>IF(OR($B$81="",$B$19=""),0,IFERROR(INDEX('Dán TĐ nhân viên'!$N$1:$N$1500,MATCH("*"&amp;$C$19&amp;"|"&amp;$B$81,'Dán TĐ nhân viên'!$M$1:$M$1500,0)),0))</f>
        <v>0</v>
      </c>
      <c r="T128">
        <f>IF(OR($B$81="",$B$20=""),0,IFERROR(INDEX('Dán TĐ nhân viên'!$N$1:$N$1500,MATCH("*"&amp;$C$20&amp;"|"&amp;$B$81,'Dán TĐ nhân viên'!$M$1:$M$1500,0)),0))</f>
        <v>0</v>
      </c>
      <c r="U128">
        <f>IF(OR($B$81="",$B$21=""),0,IFERROR(INDEX('Dán TĐ nhân viên'!$N$1:$N$1500,MATCH("*"&amp;$C$21&amp;"|"&amp;$B$81,'Dán TĐ nhân viên'!$M$1:$M$1500,0)),0))</f>
        <v>0</v>
      </c>
      <c r="V128">
        <f>IF(OR($B$81="",$B$22=""),0,IFERROR(INDEX('Dán TĐ nhân viên'!$N$1:$N$1500,MATCH("*"&amp;$C$22&amp;"|"&amp;$B$81,'Dán TĐ nhân viên'!$M$1:$M$1500,0)),0))</f>
        <v>0</v>
      </c>
    </row>
    <row r="129" spans="1:22" x14ac:dyDescent="0.3">
      <c r="A129">
        <v>44</v>
      </c>
      <c r="B129" t="str">
        <f t="shared" si="12"/>
        <v/>
      </c>
      <c r="C129">
        <f>IF(OR($B$82="",$B$3=""),0,IFERROR(INDEX('Dán TĐ nhân viên'!$N$1:$N$1500,MATCH("*"&amp;$C$3&amp;"|"&amp;$B$82,'Dán TĐ nhân viên'!$M$1:$M$1500,0)),0))</f>
        <v>0</v>
      </c>
      <c r="D129">
        <f>IF(OR($B$82="",$B$4=""),0,IFERROR(INDEX('Dán TĐ nhân viên'!$N$1:$N$1500,MATCH("*"&amp;$C$4&amp;"|"&amp;$B$82,'Dán TĐ nhân viên'!$M$1:$M$1500,0)),0))</f>
        <v>0</v>
      </c>
      <c r="E129">
        <f>IF(OR($B$82="",$B$5=""),0,IFERROR(INDEX('Dán TĐ nhân viên'!$N$1:$N$1500,MATCH("*"&amp;$C$5&amp;"|"&amp;$B$82,'Dán TĐ nhân viên'!$M$1:$M$1500,0)),0))</f>
        <v>0</v>
      </c>
      <c r="F129">
        <f>IF(OR($B$82="",$B$6=""),0,IFERROR(INDEX('Dán TĐ nhân viên'!$N$1:$N$1500,MATCH("*"&amp;$C$6&amp;"|"&amp;$B$82,'Dán TĐ nhân viên'!$M$1:$M$1500,0)),0))</f>
        <v>0</v>
      </c>
      <c r="G129">
        <f>IF(OR($B$82="",$B$7=""),0,IFERROR(INDEX('Dán TĐ nhân viên'!$N$1:$N$1500,MATCH("*"&amp;$C$7&amp;"|"&amp;$B$82,'Dán TĐ nhân viên'!$M$1:$M$1500,0)),0))</f>
        <v>0</v>
      </c>
      <c r="H129">
        <f>IF(OR($B$82="",$B$8=""),0,IFERROR(INDEX('Dán TĐ nhân viên'!$N$1:$N$1500,MATCH("*"&amp;$C$8&amp;"|"&amp;$B$82,'Dán TĐ nhân viên'!$M$1:$M$1500,0)),0))</f>
        <v>0</v>
      </c>
      <c r="I129">
        <f>IF(OR($B$82="",$B$9=""),0,IFERROR(INDEX('Dán TĐ nhân viên'!$N$1:$N$1500,MATCH("*"&amp;$C$9&amp;"|"&amp;$B$82,'Dán TĐ nhân viên'!$M$1:$M$1500,0)),0))</f>
        <v>0</v>
      </c>
      <c r="J129">
        <f>IF(OR($B$82="",$B$10=""),0,IFERROR(INDEX('Dán TĐ nhân viên'!$N$1:$N$1500,MATCH("*"&amp;$C$10&amp;"|"&amp;$B$82,'Dán TĐ nhân viên'!$M$1:$M$1500,0)),0))</f>
        <v>0</v>
      </c>
      <c r="K129">
        <f>IF(OR($B$82="",$B$11=""),0,IFERROR(INDEX('Dán TĐ nhân viên'!$N$1:$N$1500,MATCH("*"&amp;$C$11&amp;"|"&amp;$B$82,'Dán TĐ nhân viên'!$M$1:$M$1500,0)),0))</f>
        <v>0</v>
      </c>
      <c r="L129">
        <f>IF(OR($B$82="",$B$12=""),0,IFERROR(INDEX('Dán TĐ nhân viên'!$N$1:$N$1500,MATCH("*"&amp;$C$12&amp;"|"&amp;$B$82,'Dán TĐ nhân viên'!$M$1:$M$1500,0)),0))</f>
        <v>0</v>
      </c>
      <c r="M129">
        <f>IF(OR($B$82="",$B$13=""),0,IFERROR(INDEX('Dán TĐ nhân viên'!$N$1:$N$1500,MATCH("*"&amp;$C$13&amp;"|"&amp;$B$82,'Dán TĐ nhân viên'!$M$1:$M$1500,0)),0))</f>
        <v>0</v>
      </c>
      <c r="N129">
        <f>IF(OR($B$82="",$B$14=""),0,IFERROR(INDEX('Dán TĐ nhân viên'!$N$1:$N$1500,MATCH("*"&amp;$C$14&amp;"|"&amp;$B$82,'Dán TĐ nhân viên'!$M$1:$M$1500,0)),0))</f>
        <v>0</v>
      </c>
      <c r="O129">
        <f>IF(OR($B$82="",$B$15=""),0,IFERROR(INDEX('Dán TĐ nhân viên'!$N$1:$N$1500,MATCH("*"&amp;$C$15&amp;"|"&amp;$B$82,'Dán TĐ nhân viên'!$M$1:$M$1500,0)),0))</f>
        <v>0</v>
      </c>
      <c r="P129">
        <f>IF(OR($B$82="",$B$16=""),0,IFERROR(INDEX('Dán TĐ nhân viên'!$N$1:$N$1500,MATCH("*"&amp;$C$16&amp;"|"&amp;$B$82,'Dán TĐ nhân viên'!$M$1:$M$1500,0)),0))</f>
        <v>0</v>
      </c>
      <c r="Q129">
        <f>IF(OR($B$82="",$B$17=""),0,IFERROR(INDEX('Dán TĐ nhân viên'!$N$1:$N$1500,MATCH("*"&amp;$C$17&amp;"|"&amp;$B$82,'Dán TĐ nhân viên'!$M$1:$M$1500,0)),0))</f>
        <v>0</v>
      </c>
      <c r="R129">
        <f>IF(OR($B$82="",$B$18=""),0,IFERROR(INDEX('Dán TĐ nhân viên'!$N$1:$N$1500,MATCH("*"&amp;$C$18&amp;"|"&amp;$B$82,'Dán TĐ nhân viên'!$M$1:$M$1500,0)),0))</f>
        <v>0</v>
      </c>
      <c r="S129">
        <f>IF(OR($B$82="",$B$19=""),0,IFERROR(INDEX('Dán TĐ nhân viên'!$N$1:$N$1500,MATCH("*"&amp;$C$19&amp;"|"&amp;$B$82,'Dán TĐ nhân viên'!$M$1:$M$1500,0)),0))</f>
        <v>0</v>
      </c>
      <c r="T129">
        <f>IF(OR($B$82="",$B$20=""),0,IFERROR(INDEX('Dán TĐ nhân viên'!$N$1:$N$1500,MATCH("*"&amp;$C$20&amp;"|"&amp;$B$82,'Dán TĐ nhân viên'!$M$1:$M$1500,0)),0))</f>
        <v>0</v>
      </c>
      <c r="U129">
        <f>IF(OR($B$82="",$B$21=""),0,IFERROR(INDEX('Dán TĐ nhân viên'!$N$1:$N$1500,MATCH("*"&amp;$C$21&amp;"|"&amp;$B$82,'Dán TĐ nhân viên'!$M$1:$M$1500,0)),0))</f>
        <v>0</v>
      </c>
      <c r="V129">
        <f>IF(OR($B$82="",$B$22=""),0,IFERROR(INDEX('Dán TĐ nhân viên'!$N$1:$N$1500,MATCH("*"&amp;$C$22&amp;"|"&amp;$B$82,'Dán TĐ nhân viên'!$M$1:$M$1500,0)),0))</f>
        <v>0</v>
      </c>
    </row>
    <row r="130" spans="1:22" x14ac:dyDescent="0.3">
      <c r="A130">
        <v>45</v>
      </c>
      <c r="B130" t="str">
        <f t="shared" si="12"/>
        <v/>
      </c>
      <c r="C130">
        <f>IF(OR($B$83="",$B$3=""),0,IFERROR(INDEX('Dán TĐ nhân viên'!$N$1:$N$1500,MATCH("*"&amp;$C$3&amp;"|"&amp;$B$83,'Dán TĐ nhân viên'!$M$1:$M$1500,0)),0))</f>
        <v>0</v>
      </c>
      <c r="D130">
        <f>IF(OR($B$83="",$B$4=""),0,IFERROR(INDEX('Dán TĐ nhân viên'!$N$1:$N$1500,MATCH("*"&amp;$C$4&amp;"|"&amp;$B$83,'Dán TĐ nhân viên'!$M$1:$M$1500,0)),0))</f>
        <v>0</v>
      </c>
      <c r="E130">
        <f>IF(OR($B$83="",$B$5=""),0,IFERROR(INDEX('Dán TĐ nhân viên'!$N$1:$N$1500,MATCH("*"&amp;$C$5&amp;"|"&amp;$B$83,'Dán TĐ nhân viên'!$M$1:$M$1500,0)),0))</f>
        <v>0</v>
      </c>
      <c r="F130">
        <f>IF(OR($B$83="",$B$6=""),0,IFERROR(INDEX('Dán TĐ nhân viên'!$N$1:$N$1500,MATCH("*"&amp;$C$6&amp;"|"&amp;$B$83,'Dán TĐ nhân viên'!$M$1:$M$1500,0)),0))</f>
        <v>0</v>
      </c>
      <c r="G130">
        <f>IF(OR($B$83="",$B$7=""),0,IFERROR(INDEX('Dán TĐ nhân viên'!$N$1:$N$1500,MATCH("*"&amp;$C$7&amp;"|"&amp;$B$83,'Dán TĐ nhân viên'!$M$1:$M$1500,0)),0))</f>
        <v>0</v>
      </c>
      <c r="H130">
        <f>IF(OR($B$83="",$B$8=""),0,IFERROR(INDEX('Dán TĐ nhân viên'!$N$1:$N$1500,MATCH("*"&amp;$C$8&amp;"|"&amp;$B$83,'Dán TĐ nhân viên'!$M$1:$M$1500,0)),0))</f>
        <v>0</v>
      </c>
      <c r="I130">
        <f>IF(OR($B$83="",$B$9=""),0,IFERROR(INDEX('Dán TĐ nhân viên'!$N$1:$N$1500,MATCH("*"&amp;$C$9&amp;"|"&amp;$B$83,'Dán TĐ nhân viên'!$M$1:$M$1500,0)),0))</f>
        <v>0</v>
      </c>
      <c r="J130">
        <f>IF(OR($B$83="",$B$10=""),0,IFERROR(INDEX('Dán TĐ nhân viên'!$N$1:$N$1500,MATCH("*"&amp;$C$10&amp;"|"&amp;$B$83,'Dán TĐ nhân viên'!$M$1:$M$1500,0)),0))</f>
        <v>0</v>
      </c>
      <c r="K130">
        <f>IF(OR($B$83="",$B$11=""),0,IFERROR(INDEX('Dán TĐ nhân viên'!$N$1:$N$1500,MATCH("*"&amp;$C$11&amp;"|"&amp;$B$83,'Dán TĐ nhân viên'!$M$1:$M$1500,0)),0))</f>
        <v>0</v>
      </c>
      <c r="L130">
        <f>IF(OR($B$83="",$B$12=""),0,IFERROR(INDEX('Dán TĐ nhân viên'!$N$1:$N$1500,MATCH("*"&amp;$C$12&amp;"|"&amp;$B$83,'Dán TĐ nhân viên'!$M$1:$M$1500,0)),0))</f>
        <v>0</v>
      </c>
      <c r="M130">
        <f>IF(OR($B$83="",$B$13=""),0,IFERROR(INDEX('Dán TĐ nhân viên'!$N$1:$N$1500,MATCH("*"&amp;$C$13&amp;"|"&amp;$B$83,'Dán TĐ nhân viên'!$M$1:$M$1500,0)),0))</f>
        <v>0</v>
      </c>
      <c r="N130">
        <f>IF(OR($B$83="",$B$14=""),0,IFERROR(INDEX('Dán TĐ nhân viên'!$N$1:$N$1500,MATCH("*"&amp;$C$14&amp;"|"&amp;$B$83,'Dán TĐ nhân viên'!$M$1:$M$1500,0)),0))</f>
        <v>0</v>
      </c>
      <c r="O130">
        <f>IF(OR($B$83="",$B$15=""),0,IFERROR(INDEX('Dán TĐ nhân viên'!$N$1:$N$1500,MATCH("*"&amp;$C$15&amp;"|"&amp;$B$83,'Dán TĐ nhân viên'!$M$1:$M$1500,0)),0))</f>
        <v>0</v>
      </c>
      <c r="P130">
        <f>IF(OR($B$83="",$B$16=""),0,IFERROR(INDEX('Dán TĐ nhân viên'!$N$1:$N$1500,MATCH("*"&amp;$C$16&amp;"|"&amp;$B$83,'Dán TĐ nhân viên'!$M$1:$M$1500,0)),0))</f>
        <v>0</v>
      </c>
      <c r="Q130">
        <f>IF(OR($B$83="",$B$17=""),0,IFERROR(INDEX('Dán TĐ nhân viên'!$N$1:$N$1500,MATCH("*"&amp;$C$17&amp;"|"&amp;$B$83,'Dán TĐ nhân viên'!$M$1:$M$1500,0)),0))</f>
        <v>0</v>
      </c>
      <c r="R130">
        <f>IF(OR($B$83="",$B$18=""),0,IFERROR(INDEX('Dán TĐ nhân viên'!$N$1:$N$1500,MATCH("*"&amp;$C$18&amp;"|"&amp;$B$83,'Dán TĐ nhân viên'!$M$1:$M$1500,0)),0))</f>
        <v>0</v>
      </c>
      <c r="S130">
        <f>IF(OR($B$83="",$B$19=""),0,IFERROR(INDEX('Dán TĐ nhân viên'!$N$1:$N$1500,MATCH("*"&amp;$C$19&amp;"|"&amp;$B$83,'Dán TĐ nhân viên'!$M$1:$M$1500,0)),0))</f>
        <v>0</v>
      </c>
      <c r="T130">
        <f>IF(OR($B$83="",$B$20=""),0,IFERROR(INDEX('Dán TĐ nhân viên'!$N$1:$N$1500,MATCH("*"&amp;$C$20&amp;"|"&amp;$B$83,'Dán TĐ nhân viên'!$M$1:$M$1500,0)),0))</f>
        <v>0</v>
      </c>
      <c r="U130">
        <f>IF(OR($B$83="",$B$21=""),0,IFERROR(INDEX('Dán TĐ nhân viên'!$N$1:$N$1500,MATCH("*"&amp;$C$21&amp;"|"&amp;$B$83,'Dán TĐ nhân viên'!$M$1:$M$1500,0)),0))</f>
        <v>0</v>
      </c>
      <c r="V130">
        <f>IF(OR($B$83="",$B$22=""),0,IFERROR(INDEX('Dán TĐ nhân viên'!$N$1:$N$1500,MATCH("*"&amp;$C$22&amp;"|"&amp;$B$83,'Dán TĐ nhân viên'!$M$1:$M$1500,0)),0))</f>
        <v>0</v>
      </c>
    </row>
    <row r="133" spans="1:22" x14ac:dyDescent="0.3">
      <c r="A133" s="46" t="s">
        <v>157</v>
      </c>
      <c r="C133" t="str">
        <f>B3</f>
        <v/>
      </c>
      <c r="D133" t="str">
        <f>B4</f>
        <v/>
      </c>
      <c r="E133" t="str">
        <f>B5</f>
        <v/>
      </c>
      <c r="F133" t="str">
        <f>B6</f>
        <v/>
      </c>
      <c r="G133" t="str">
        <f>B7</f>
        <v/>
      </c>
      <c r="H133" t="str">
        <f>B8</f>
        <v/>
      </c>
      <c r="I133" t="str">
        <f>B9</f>
        <v/>
      </c>
      <c r="J133" t="str">
        <f>B10</f>
        <v/>
      </c>
      <c r="K133" t="str">
        <f>B11</f>
        <v/>
      </c>
      <c r="L133" t="str">
        <f>B12</f>
        <v/>
      </c>
      <c r="M133" t="str">
        <f>B13</f>
        <v/>
      </c>
      <c r="N133" t="str">
        <f>B14</f>
        <v/>
      </c>
      <c r="O133" t="str">
        <f>B15</f>
        <v/>
      </c>
      <c r="P133" t="str">
        <f>B16</f>
        <v/>
      </c>
      <c r="Q133" t="str">
        <f>B17</f>
        <v/>
      </c>
      <c r="R133" t="str">
        <f>B18</f>
        <v/>
      </c>
      <c r="S133" t="str">
        <f>B19</f>
        <v/>
      </c>
      <c r="T133" t="str">
        <f>B20</f>
        <v/>
      </c>
      <c r="U133" t="str">
        <f>B21</f>
        <v/>
      </c>
      <c r="V133" t="str">
        <f>B22</f>
        <v/>
      </c>
    </row>
    <row r="134" spans="1:22" x14ac:dyDescent="0.3">
      <c r="A134">
        <v>1</v>
      </c>
      <c r="B134" t="str">
        <f t="shared" ref="B134:B178" si="13">B39</f>
        <v/>
      </c>
      <c r="C134">
        <f>IF(OR($B$39="",$B$3=""),0,IF($E$39&gt;0,CHOOSE($D$39,$G$3,$L$3,$Q$3,$V$3)*$E$39/100,IFERROR((CHOOSE($D$39,$G$3,$L$3,$Q$3,$V$3)-CHOOSE($D$39,$G$3,$L$3,$Q$3,$V$3)*$G$39/100)/$H$39,0)))</f>
        <v>0</v>
      </c>
      <c r="D134">
        <f>IF(OR($B$39="",$B$4=""),0,IF($E$39&gt;0,CHOOSE($D$39,$G$4,$L$4,$Q$4,$V$4)*$E$39/100,IFERROR((CHOOSE($D$39,$G$4,$L$4,$Q$4,$V$4)-CHOOSE($D$39,$G$4,$L$4,$Q$4,$V$4)*$G$39/100)/$H$39,0)))</f>
        <v>0</v>
      </c>
      <c r="E134">
        <f>IF(OR($B$39="",$B$5=""),0,IF($E$39&gt;0,CHOOSE($D$39,$G$5,$L$5,$Q$5,$V$5)*$E$39/100,IFERROR((CHOOSE($D$39,$G$5,$L$5,$Q$5,$V$5)-CHOOSE($D$39,$G$5,$L$5,$Q$5,$V$5)*$G$39/100)/$H$39,0)))</f>
        <v>0</v>
      </c>
      <c r="F134">
        <f>IF(OR($B$39="",$B$6=""),0,IF($E$39&gt;0,CHOOSE($D$39,$G$6,$L$6,$Q$6,$V$6)*$E$39/100,IFERROR((CHOOSE($D$39,$G$6,$L$6,$Q$6,$V$6)-CHOOSE($D$39,$G$6,$L$6,$Q$6,$V$6)*$G$39/100)/$H$39,0)))</f>
        <v>0</v>
      </c>
      <c r="G134">
        <f>IF(OR($B$39="",$B$7=""),0,IF($E$39&gt;0,CHOOSE($D$39,$G$7,$L$7,$Q$7,$V$7)*$E$39/100,IFERROR((CHOOSE($D$39,$G$7,$L$7,$Q$7,$V$7)-CHOOSE($D$39,$G$7,$L$7,$Q$7,$V$7)*$G$39/100)/$H$39,0)))</f>
        <v>0</v>
      </c>
      <c r="H134">
        <f>IF(OR($B$39="",$B$8=""),0,IF($E$39&gt;0,CHOOSE($D$39,$G$8,$L$8,$Q$8,$V$8)*$E$39/100,IFERROR((CHOOSE($D$39,$G$8,$L$8,$Q$8,$V$8)-CHOOSE($D$39,$G$8,$L$8,$Q$8,$V$8)*$G$39/100)/$H$39,0)))</f>
        <v>0</v>
      </c>
      <c r="I134">
        <f>IF(OR($B$39="",$B$9=""),0,IF($E$39&gt;0,CHOOSE($D$39,$G$9,$L$9,$Q$9,$V$9)*$E$39/100,IFERROR((CHOOSE($D$39,$G$9,$L$9,$Q$9,$V$9)-CHOOSE($D$39,$G$9,$L$9,$Q$9,$V$9)*$G$39/100)/$H$39,0)))</f>
        <v>0</v>
      </c>
      <c r="J134">
        <f>IF(OR($B$39="",$B$10=""),0,IF($E$39&gt;0,CHOOSE($D$39,$G$10,$L$10,$Q$10,$V$10)*$E$39/100,IFERROR((CHOOSE($D$39,$G$10,$L$10,$Q$10,$V$10)-CHOOSE($D$39,$G$10,$L$10,$Q$10,$V$10)*$G$39/100)/$H$39,0)))</f>
        <v>0</v>
      </c>
      <c r="K134">
        <f>IF(OR($B$39="",$B$11=""),0,IF($E$39&gt;0,CHOOSE($D$39,$G$11,$L$11,$Q$11,$V$11)*$E$39/100,IFERROR((CHOOSE($D$39,$G$11,$L$11,$Q$11,$V$11)-CHOOSE($D$39,$G$11,$L$11,$Q$11,$V$11)*$G$39/100)/$H$39,0)))</f>
        <v>0</v>
      </c>
      <c r="L134">
        <f>IF(OR($B$39="",$B$12=""),0,IF($E$39&gt;0,CHOOSE($D$39,$G$12,$L$12,$Q$12,$V$12)*$E$39/100,IFERROR((CHOOSE($D$39,$G$12,$L$12,$Q$12,$V$12)-CHOOSE($D$39,$G$12,$L$12,$Q$12,$V$12)*$G$39/100)/$H$39,0)))</f>
        <v>0</v>
      </c>
      <c r="M134">
        <f>IF(OR($B$39="",$B$13=""),0,IF($E$39&gt;0,CHOOSE($D$39,$G$13,$L$13,$Q$13,$V$13)*$E$39/100,IFERROR((CHOOSE($D$39,$G$13,$L$13,$Q$13,$V$13)-CHOOSE($D$39,$G$13,$L$13,$Q$13,$V$13)*$G$39/100)/$H$39,0)))</f>
        <v>0</v>
      </c>
      <c r="N134">
        <f>IF(OR($B$39="",$B$14=""),0,IF($E$39&gt;0,CHOOSE($D$39,$G$14,$L$14,$Q$14,$V$14)*$E$39/100,IFERROR((CHOOSE($D$39,$G$14,$L$14,$Q$14,$V$14)-CHOOSE($D$39,$G$14,$L$14,$Q$14,$V$14)*$G$39/100)/$H$39,0)))</f>
        <v>0</v>
      </c>
      <c r="O134">
        <f>IF(OR($B$39="",$B$15=""),0,IF($E$39&gt;0,CHOOSE($D$39,$G$15,$L$15,$Q$15,$V$15)*$E$39/100,IFERROR((CHOOSE($D$39,$G$15,$L$15,$Q$15,$V$15)-CHOOSE($D$39,$G$15,$L$15,$Q$15,$V$15)*$G$39/100)/$H$39,0)))</f>
        <v>0</v>
      </c>
      <c r="P134">
        <f>IF(OR($B$39="",$B$16=""),0,IF($E$39&gt;0,CHOOSE($D$39,$G$16,$L$16,$Q$16,$V$16)*$E$39/100,IFERROR((CHOOSE($D$39,$G$16,$L$16,$Q$16,$V$16)-CHOOSE($D$39,$G$16,$L$16,$Q$16,$V$16)*$G$39/100)/$H$39,0)))</f>
        <v>0</v>
      </c>
      <c r="Q134">
        <f>IF(OR($B$39="",$B$17=""),0,IF($E$39&gt;0,CHOOSE($D$39,$G$17,$L$17,$Q$17,$V$17)*$E$39/100,IFERROR((CHOOSE($D$39,$G$17,$L$17,$Q$17,$V$17)-CHOOSE($D$39,$G$17,$L$17,$Q$17,$V$17)*$G$39/100)/$H$39,0)))</f>
        <v>0</v>
      </c>
      <c r="R134">
        <f>IF(OR($B$39="",$B$18=""),0,IF($E$39&gt;0,CHOOSE($D$39,$G$18,$L$18,$Q$18,$V$18)*$E$39/100,IFERROR((CHOOSE($D$39,$G$18,$L$18,$Q$18,$V$18)-CHOOSE($D$39,$G$18,$L$18,$Q$18,$V$18)*$G$39/100)/$H$39,0)))</f>
        <v>0</v>
      </c>
      <c r="S134">
        <f>IF(OR($B$39="",$B$19=""),0,IF($E$39&gt;0,CHOOSE($D$39,$G$19,$L$19,$Q$19,$V$19)*$E$39/100,IFERROR((CHOOSE($D$39,$G$19,$L$19,$Q$19,$V$19)-CHOOSE($D$39,$G$19,$L$19,$Q$19,$V$19)*$G$39/100)/$H$39,0)))</f>
        <v>0</v>
      </c>
      <c r="T134">
        <f>IF(OR($B$39="",$B$20=""),0,IF($E$39&gt;0,CHOOSE($D$39,$G$20,$L$20,$Q$20,$V$20)*$E$39/100,IFERROR((CHOOSE($D$39,$G$20,$L$20,$Q$20,$V$20)-CHOOSE($D$39,$G$20,$L$20,$Q$20,$V$20)*$G$39/100)/$H$39,0)))</f>
        <v>0</v>
      </c>
      <c r="U134">
        <f>IF(OR($B$39="",$B$21=""),0,IF($E$39&gt;0,CHOOSE($D$39,$G$21,$L$21,$Q$21,$V$21)*$E$39/100,IFERROR((CHOOSE($D$39,$G$21,$L$21,$Q$21,$V$21)-CHOOSE($D$39,$G$21,$L$21,$Q$21,$V$21)*$G$39/100)/$H$39,0)))</f>
        <v>0</v>
      </c>
      <c r="V134">
        <f>IF(OR($B$39="",$B$22=""),0,IF($E$39&gt;0,CHOOSE($D$39,$G$22,$L$22,$Q$22,$V$22)*$E$39/100,IFERROR((CHOOSE($D$39,$G$22,$L$22,$Q$22,$V$22)-CHOOSE($D$39,$G$22,$L$22,$Q$22,$V$22)*$G$39/100)/$H$39,0)))</f>
        <v>0</v>
      </c>
    </row>
    <row r="135" spans="1:22" x14ac:dyDescent="0.3">
      <c r="A135">
        <v>2</v>
      </c>
      <c r="B135" t="str">
        <f t="shared" si="13"/>
        <v/>
      </c>
      <c r="C135">
        <f>IF(OR($B$40="",$B$3=""),0,IF($E$40&gt;0,CHOOSE($D$40,$G$3,$L$3,$Q$3,$V$3)*$E$40/100,IFERROR((CHOOSE($D$40,$G$3,$L$3,$Q$3,$V$3)-CHOOSE($D$40,$G$3,$L$3,$Q$3,$V$3)*$G$40/100)/$H$40,0)))</f>
        <v>0</v>
      </c>
      <c r="D135">
        <f>IF(OR($B$40="",$B$4=""),0,IF($E$40&gt;0,CHOOSE($D$40,$G$4,$L$4,$Q$4,$V$4)*$E$40/100,IFERROR((CHOOSE($D$40,$G$4,$L$4,$Q$4,$V$4)-CHOOSE($D$40,$G$4,$L$4,$Q$4,$V$4)*$G$40/100)/$H$40,0)))</f>
        <v>0</v>
      </c>
      <c r="E135">
        <f>IF(OR($B$40="",$B$5=""),0,IF($E$40&gt;0,CHOOSE($D$40,$G$5,$L$5,$Q$5,$V$5)*$E$40/100,IFERROR((CHOOSE($D$40,$G$5,$L$5,$Q$5,$V$5)-CHOOSE($D$40,$G$5,$L$5,$Q$5,$V$5)*$G$40/100)/$H$40,0)))</f>
        <v>0</v>
      </c>
      <c r="F135">
        <f>IF(OR($B$40="",$B$6=""),0,IF($E$40&gt;0,CHOOSE($D$40,$G$6,$L$6,$Q$6,$V$6)*$E$40/100,IFERROR((CHOOSE($D$40,$G$6,$L$6,$Q$6,$V$6)-CHOOSE($D$40,$G$6,$L$6,$Q$6,$V$6)*$G$40/100)/$H$40,0)))</f>
        <v>0</v>
      </c>
      <c r="G135">
        <f>IF(OR($B$40="",$B$7=""),0,IF($E$40&gt;0,CHOOSE($D$40,$G$7,$L$7,$Q$7,$V$7)*$E$40/100,IFERROR((CHOOSE($D$40,$G$7,$L$7,$Q$7,$V$7)-CHOOSE($D$40,$G$7,$L$7,$Q$7,$V$7)*$G$40/100)/$H$40,0)))</f>
        <v>0</v>
      </c>
      <c r="H135">
        <f>IF(OR($B$40="",$B$8=""),0,IF($E$40&gt;0,CHOOSE($D$40,$G$8,$L$8,$Q$8,$V$8)*$E$40/100,IFERROR((CHOOSE($D$40,$G$8,$L$8,$Q$8,$V$8)-CHOOSE($D$40,$G$8,$L$8,$Q$8,$V$8)*$G$40/100)/$H$40,0)))</f>
        <v>0</v>
      </c>
      <c r="I135">
        <f>IF(OR($B$40="",$B$9=""),0,IF($E$40&gt;0,CHOOSE($D$40,$G$9,$L$9,$Q$9,$V$9)*$E$40/100,IFERROR((CHOOSE($D$40,$G$9,$L$9,$Q$9,$V$9)-CHOOSE($D$40,$G$9,$L$9,$Q$9,$V$9)*$G$40/100)/$H$40,0)))</f>
        <v>0</v>
      </c>
      <c r="J135">
        <f>IF(OR($B$40="",$B$10=""),0,IF($E$40&gt;0,CHOOSE($D$40,$G$10,$L$10,$Q$10,$V$10)*$E$40/100,IFERROR((CHOOSE($D$40,$G$10,$L$10,$Q$10,$V$10)-CHOOSE($D$40,$G$10,$L$10,$Q$10,$V$10)*$G$40/100)/$H$40,0)))</f>
        <v>0</v>
      </c>
      <c r="K135">
        <f>IF(OR($B$40="",$B$11=""),0,IF($E$40&gt;0,CHOOSE($D$40,$G$11,$L$11,$Q$11,$V$11)*$E$40/100,IFERROR((CHOOSE($D$40,$G$11,$L$11,$Q$11,$V$11)-CHOOSE($D$40,$G$11,$L$11,$Q$11,$V$11)*$G$40/100)/$H$40,0)))</f>
        <v>0</v>
      </c>
      <c r="L135">
        <f>IF(OR($B$40="",$B$12=""),0,IF($E$40&gt;0,CHOOSE($D$40,$G$12,$L$12,$Q$12,$V$12)*$E$40/100,IFERROR((CHOOSE($D$40,$G$12,$L$12,$Q$12,$V$12)-CHOOSE($D$40,$G$12,$L$12,$Q$12,$V$12)*$G$40/100)/$H$40,0)))</f>
        <v>0</v>
      </c>
      <c r="M135">
        <f>IF(OR($B$40="",$B$13=""),0,IF($E$40&gt;0,CHOOSE($D$40,$G$13,$L$13,$Q$13,$V$13)*$E$40/100,IFERROR((CHOOSE($D$40,$G$13,$L$13,$Q$13,$V$13)-CHOOSE($D$40,$G$13,$L$13,$Q$13,$V$13)*$G$40/100)/$H$40,0)))</f>
        <v>0</v>
      </c>
      <c r="N135">
        <f>IF(OR($B$40="",$B$14=""),0,IF($E$40&gt;0,CHOOSE($D$40,$G$14,$L$14,$Q$14,$V$14)*$E$40/100,IFERROR((CHOOSE($D$40,$G$14,$L$14,$Q$14,$V$14)-CHOOSE($D$40,$G$14,$L$14,$Q$14,$V$14)*$G$40/100)/$H$40,0)))</f>
        <v>0</v>
      </c>
      <c r="O135">
        <f>IF(OR($B$40="",$B$15=""),0,IF($E$40&gt;0,CHOOSE($D$40,$G$15,$L$15,$Q$15,$V$15)*$E$40/100,IFERROR((CHOOSE($D$40,$G$15,$L$15,$Q$15,$V$15)-CHOOSE($D$40,$G$15,$L$15,$Q$15,$V$15)*$G$40/100)/$H$40,0)))</f>
        <v>0</v>
      </c>
      <c r="P135">
        <f>IF(OR($B$40="",$B$16=""),0,IF($E$40&gt;0,CHOOSE($D$40,$G$16,$L$16,$Q$16,$V$16)*$E$40/100,IFERROR((CHOOSE($D$40,$G$16,$L$16,$Q$16,$V$16)-CHOOSE($D$40,$G$16,$L$16,$Q$16,$V$16)*$G$40/100)/$H$40,0)))</f>
        <v>0</v>
      </c>
      <c r="Q135">
        <f>IF(OR($B$40="",$B$17=""),0,IF($E$40&gt;0,CHOOSE($D$40,$G$17,$L$17,$Q$17,$V$17)*$E$40/100,IFERROR((CHOOSE($D$40,$G$17,$L$17,$Q$17,$V$17)-CHOOSE($D$40,$G$17,$L$17,$Q$17,$V$17)*$G$40/100)/$H$40,0)))</f>
        <v>0</v>
      </c>
      <c r="R135">
        <f>IF(OR($B$40="",$B$18=""),0,IF($E$40&gt;0,CHOOSE($D$40,$G$18,$L$18,$Q$18,$V$18)*$E$40/100,IFERROR((CHOOSE($D$40,$G$18,$L$18,$Q$18,$V$18)-CHOOSE($D$40,$G$18,$L$18,$Q$18,$V$18)*$G$40/100)/$H$40,0)))</f>
        <v>0</v>
      </c>
      <c r="S135">
        <f>IF(OR($B$40="",$B$19=""),0,IF($E$40&gt;0,CHOOSE($D$40,$G$19,$L$19,$Q$19,$V$19)*$E$40/100,IFERROR((CHOOSE($D$40,$G$19,$L$19,$Q$19,$V$19)-CHOOSE($D$40,$G$19,$L$19,$Q$19,$V$19)*$G$40/100)/$H$40,0)))</f>
        <v>0</v>
      </c>
      <c r="T135">
        <f>IF(OR($B$40="",$B$20=""),0,IF($E$40&gt;0,CHOOSE($D$40,$G$20,$L$20,$Q$20,$V$20)*$E$40/100,IFERROR((CHOOSE($D$40,$G$20,$L$20,$Q$20,$V$20)-CHOOSE($D$40,$G$20,$L$20,$Q$20,$V$20)*$G$40/100)/$H$40,0)))</f>
        <v>0</v>
      </c>
      <c r="U135">
        <f>IF(OR($B$40="",$B$21=""),0,IF($E$40&gt;0,CHOOSE($D$40,$G$21,$L$21,$Q$21,$V$21)*$E$40/100,IFERROR((CHOOSE($D$40,$G$21,$L$21,$Q$21,$V$21)-CHOOSE($D$40,$G$21,$L$21,$Q$21,$V$21)*$G$40/100)/$H$40,0)))</f>
        <v>0</v>
      </c>
      <c r="V135">
        <f>IF(OR($B$40="",$B$22=""),0,IF($E$40&gt;0,CHOOSE($D$40,$G$22,$L$22,$Q$22,$V$22)*$E$40/100,IFERROR((CHOOSE($D$40,$G$22,$L$22,$Q$22,$V$22)-CHOOSE($D$40,$G$22,$L$22,$Q$22,$V$22)*$G$40/100)/$H$40,0)))</f>
        <v>0</v>
      </c>
    </row>
    <row r="136" spans="1:22" x14ac:dyDescent="0.3">
      <c r="A136">
        <v>3</v>
      </c>
      <c r="B136" t="str">
        <f t="shared" si="13"/>
        <v/>
      </c>
      <c r="C136">
        <f>IF(OR($B$41="",$B$3=""),0,IF($E$41&gt;0,CHOOSE($D$41,$G$3,$L$3,$Q$3,$V$3)*$E$41/100,IFERROR((CHOOSE($D$41,$G$3,$L$3,$Q$3,$V$3)-CHOOSE($D$41,$G$3,$L$3,$Q$3,$V$3)*$G$41/100)/$H$41,0)))</f>
        <v>0</v>
      </c>
      <c r="D136">
        <f>IF(OR($B$41="",$B$4=""),0,IF($E$41&gt;0,CHOOSE($D$41,$G$4,$L$4,$Q$4,$V$4)*$E$41/100,IFERROR((CHOOSE($D$41,$G$4,$L$4,$Q$4,$V$4)-CHOOSE($D$41,$G$4,$L$4,$Q$4,$V$4)*$G$41/100)/$H$41,0)))</f>
        <v>0</v>
      </c>
      <c r="E136">
        <f>IF(OR($B$41="",$B$5=""),0,IF($E$41&gt;0,CHOOSE($D$41,$G$5,$L$5,$Q$5,$V$5)*$E$41/100,IFERROR((CHOOSE($D$41,$G$5,$L$5,$Q$5,$V$5)-CHOOSE($D$41,$G$5,$L$5,$Q$5,$V$5)*$G$41/100)/$H$41,0)))</f>
        <v>0</v>
      </c>
      <c r="F136">
        <f>IF(OR($B$41="",$B$6=""),0,IF($E$41&gt;0,CHOOSE($D$41,$G$6,$L$6,$Q$6,$V$6)*$E$41/100,IFERROR((CHOOSE($D$41,$G$6,$L$6,$Q$6,$V$6)-CHOOSE($D$41,$G$6,$L$6,$Q$6,$V$6)*$G$41/100)/$H$41,0)))</f>
        <v>0</v>
      </c>
      <c r="G136">
        <f>IF(OR($B$41="",$B$7=""),0,IF($E$41&gt;0,CHOOSE($D$41,$G$7,$L$7,$Q$7,$V$7)*$E$41/100,IFERROR((CHOOSE($D$41,$G$7,$L$7,$Q$7,$V$7)-CHOOSE($D$41,$G$7,$L$7,$Q$7,$V$7)*$G$41/100)/$H$41,0)))</f>
        <v>0</v>
      </c>
      <c r="H136">
        <f>IF(OR($B$41="",$B$8=""),0,IF($E$41&gt;0,CHOOSE($D$41,$G$8,$L$8,$Q$8,$V$8)*$E$41/100,IFERROR((CHOOSE($D$41,$G$8,$L$8,$Q$8,$V$8)-CHOOSE($D$41,$G$8,$L$8,$Q$8,$V$8)*$G$41/100)/$H$41,0)))</f>
        <v>0</v>
      </c>
      <c r="I136">
        <f>IF(OR($B$41="",$B$9=""),0,IF($E$41&gt;0,CHOOSE($D$41,$G$9,$L$9,$Q$9,$V$9)*$E$41/100,IFERROR((CHOOSE($D$41,$G$9,$L$9,$Q$9,$V$9)-CHOOSE($D$41,$G$9,$L$9,$Q$9,$V$9)*$G$41/100)/$H$41,0)))</f>
        <v>0</v>
      </c>
      <c r="J136">
        <f>IF(OR($B$41="",$B$10=""),0,IF($E$41&gt;0,CHOOSE($D$41,$G$10,$L$10,$Q$10,$V$10)*$E$41/100,IFERROR((CHOOSE($D$41,$G$10,$L$10,$Q$10,$V$10)-CHOOSE($D$41,$G$10,$L$10,$Q$10,$V$10)*$G$41/100)/$H$41,0)))</f>
        <v>0</v>
      </c>
      <c r="K136">
        <f>IF(OR($B$41="",$B$11=""),0,IF($E$41&gt;0,CHOOSE($D$41,$G$11,$L$11,$Q$11,$V$11)*$E$41/100,IFERROR((CHOOSE($D$41,$G$11,$L$11,$Q$11,$V$11)-CHOOSE($D$41,$G$11,$L$11,$Q$11,$V$11)*$G$41/100)/$H$41,0)))</f>
        <v>0</v>
      </c>
      <c r="L136">
        <f>IF(OR($B$41="",$B$12=""),0,IF($E$41&gt;0,CHOOSE($D$41,$G$12,$L$12,$Q$12,$V$12)*$E$41/100,IFERROR((CHOOSE($D$41,$G$12,$L$12,$Q$12,$V$12)-CHOOSE($D$41,$G$12,$L$12,$Q$12,$V$12)*$G$41/100)/$H$41,0)))</f>
        <v>0</v>
      </c>
      <c r="M136">
        <f>IF(OR($B$41="",$B$13=""),0,IF($E$41&gt;0,CHOOSE($D$41,$G$13,$L$13,$Q$13,$V$13)*$E$41/100,IFERROR((CHOOSE($D$41,$G$13,$L$13,$Q$13,$V$13)-CHOOSE($D$41,$G$13,$L$13,$Q$13,$V$13)*$G$41/100)/$H$41,0)))</f>
        <v>0</v>
      </c>
      <c r="N136">
        <f>IF(OR($B$41="",$B$14=""),0,IF($E$41&gt;0,CHOOSE($D$41,$G$14,$L$14,$Q$14,$V$14)*$E$41/100,IFERROR((CHOOSE($D$41,$G$14,$L$14,$Q$14,$V$14)-CHOOSE($D$41,$G$14,$L$14,$Q$14,$V$14)*$G$41/100)/$H$41,0)))</f>
        <v>0</v>
      </c>
      <c r="O136">
        <f>IF(OR($B$41="",$B$15=""),0,IF($E$41&gt;0,CHOOSE($D$41,$G$15,$L$15,$Q$15,$V$15)*$E$41/100,IFERROR((CHOOSE($D$41,$G$15,$L$15,$Q$15,$V$15)-CHOOSE($D$41,$G$15,$L$15,$Q$15,$V$15)*$G$41/100)/$H$41,0)))</f>
        <v>0</v>
      </c>
      <c r="P136">
        <f>IF(OR($B$41="",$B$16=""),0,IF($E$41&gt;0,CHOOSE($D$41,$G$16,$L$16,$Q$16,$V$16)*$E$41/100,IFERROR((CHOOSE($D$41,$G$16,$L$16,$Q$16,$V$16)-CHOOSE($D$41,$G$16,$L$16,$Q$16,$V$16)*$G$41/100)/$H$41,0)))</f>
        <v>0</v>
      </c>
      <c r="Q136">
        <f>IF(OR($B$41="",$B$17=""),0,IF($E$41&gt;0,CHOOSE($D$41,$G$17,$L$17,$Q$17,$V$17)*$E$41/100,IFERROR((CHOOSE($D$41,$G$17,$L$17,$Q$17,$V$17)-CHOOSE($D$41,$G$17,$L$17,$Q$17,$V$17)*$G$41/100)/$H$41,0)))</f>
        <v>0</v>
      </c>
      <c r="R136">
        <f>IF(OR($B$41="",$B$18=""),0,IF($E$41&gt;0,CHOOSE($D$41,$G$18,$L$18,$Q$18,$V$18)*$E$41/100,IFERROR((CHOOSE($D$41,$G$18,$L$18,$Q$18,$V$18)-CHOOSE($D$41,$G$18,$L$18,$Q$18,$V$18)*$G$41/100)/$H$41,0)))</f>
        <v>0</v>
      </c>
      <c r="S136">
        <f>IF(OR($B$41="",$B$19=""),0,IF($E$41&gt;0,CHOOSE($D$41,$G$19,$L$19,$Q$19,$V$19)*$E$41/100,IFERROR((CHOOSE($D$41,$G$19,$L$19,$Q$19,$V$19)-CHOOSE($D$41,$G$19,$L$19,$Q$19,$V$19)*$G$41/100)/$H$41,0)))</f>
        <v>0</v>
      </c>
      <c r="T136">
        <f>IF(OR($B$41="",$B$20=""),0,IF($E$41&gt;0,CHOOSE($D$41,$G$20,$L$20,$Q$20,$V$20)*$E$41/100,IFERROR((CHOOSE($D$41,$G$20,$L$20,$Q$20,$V$20)-CHOOSE($D$41,$G$20,$L$20,$Q$20,$V$20)*$G$41/100)/$H$41,0)))</f>
        <v>0</v>
      </c>
      <c r="U136">
        <f>IF(OR($B$41="",$B$21=""),0,IF($E$41&gt;0,CHOOSE($D$41,$G$21,$L$21,$Q$21,$V$21)*$E$41/100,IFERROR((CHOOSE($D$41,$G$21,$L$21,$Q$21,$V$21)-CHOOSE($D$41,$G$21,$L$21,$Q$21,$V$21)*$G$41/100)/$H$41,0)))</f>
        <v>0</v>
      </c>
      <c r="V136">
        <f>IF(OR($B$41="",$B$22=""),0,IF($E$41&gt;0,CHOOSE($D$41,$G$22,$L$22,$Q$22,$V$22)*$E$41/100,IFERROR((CHOOSE($D$41,$G$22,$L$22,$Q$22,$V$22)-CHOOSE($D$41,$G$22,$L$22,$Q$22,$V$22)*$G$41/100)/$H$41,0)))</f>
        <v>0</v>
      </c>
    </row>
    <row r="137" spans="1:22" x14ac:dyDescent="0.3">
      <c r="A137">
        <v>4</v>
      </c>
      <c r="B137" t="str">
        <f t="shared" si="13"/>
        <v/>
      </c>
      <c r="C137">
        <f>IF(OR($B$42="",$B$3=""),0,IF($E$42&gt;0,CHOOSE($D$42,$G$3,$L$3,$Q$3,$V$3)*$E$42/100,IFERROR((CHOOSE($D$42,$G$3,$L$3,$Q$3,$V$3)-CHOOSE($D$42,$G$3,$L$3,$Q$3,$V$3)*$G$42/100)/$H$42,0)))</f>
        <v>0</v>
      </c>
      <c r="D137">
        <f>IF(OR($B$42="",$B$4=""),0,IF($E$42&gt;0,CHOOSE($D$42,$G$4,$L$4,$Q$4,$V$4)*$E$42/100,IFERROR((CHOOSE($D$42,$G$4,$L$4,$Q$4,$V$4)-CHOOSE($D$42,$G$4,$L$4,$Q$4,$V$4)*$G$42/100)/$H$42,0)))</f>
        <v>0</v>
      </c>
      <c r="E137">
        <f>IF(OR($B$42="",$B$5=""),0,IF($E$42&gt;0,CHOOSE($D$42,$G$5,$L$5,$Q$5,$V$5)*$E$42/100,IFERROR((CHOOSE($D$42,$G$5,$L$5,$Q$5,$V$5)-CHOOSE($D$42,$G$5,$L$5,$Q$5,$V$5)*$G$42/100)/$H$42,0)))</f>
        <v>0</v>
      </c>
      <c r="F137">
        <f>IF(OR($B$42="",$B$6=""),0,IF($E$42&gt;0,CHOOSE($D$42,$G$6,$L$6,$Q$6,$V$6)*$E$42/100,IFERROR((CHOOSE($D$42,$G$6,$L$6,$Q$6,$V$6)-CHOOSE($D$42,$G$6,$L$6,$Q$6,$V$6)*$G$42/100)/$H$42,0)))</f>
        <v>0</v>
      </c>
      <c r="G137">
        <f>IF(OR($B$42="",$B$7=""),0,IF($E$42&gt;0,CHOOSE($D$42,$G$7,$L$7,$Q$7,$V$7)*$E$42/100,IFERROR((CHOOSE($D$42,$G$7,$L$7,$Q$7,$V$7)-CHOOSE($D$42,$G$7,$L$7,$Q$7,$V$7)*$G$42/100)/$H$42,0)))</f>
        <v>0</v>
      </c>
      <c r="H137">
        <f>IF(OR($B$42="",$B$8=""),0,IF($E$42&gt;0,CHOOSE($D$42,$G$8,$L$8,$Q$8,$V$8)*$E$42/100,IFERROR((CHOOSE($D$42,$G$8,$L$8,$Q$8,$V$8)-CHOOSE($D$42,$G$8,$L$8,$Q$8,$V$8)*$G$42/100)/$H$42,0)))</f>
        <v>0</v>
      </c>
      <c r="I137">
        <f>IF(OR($B$42="",$B$9=""),0,IF($E$42&gt;0,CHOOSE($D$42,$G$9,$L$9,$Q$9,$V$9)*$E$42/100,IFERROR((CHOOSE($D$42,$G$9,$L$9,$Q$9,$V$9)-CHOOSE($D$42,$G$9,$L$9,$Q$9,$V$9)*$G$42/100)/$H$42,0)))</f>
        <v>0</v>
      </c>
      <c r="J137">
        <f>IF(OR($B$42="",$B$10=""),0,IF($E$42&gt;0,CHOOSE($D$42,$G$10,$L$10,$Q$10,$V$10)*$E$42/100,IFERROR((CHOOSE($D$42,$G$10,$L$10,$Q$10,$V$10)-CHOOSE($D$42,$G$10,$L$10,$Q$10,$V$10)*$G$42/100)/$H$42,0)))</f>
        <v>0</v>
      </c>
      <c r="K137">
        <f>IF(OR($B$42="",$B$11=""),0,IF($E$42&gt;0,CHOOSE($D$42,$G$11,$L$11,$Q$11,$V$11)*$E$42/100,IFERROR((CHOOSE($D$42,$G$11,$L$11,$Q$11,$V$11)-CHOOSE($D$42,$G$11,$L$11,$Q$11,$V$11)*$G$42/100)/$H$42,0)))</f>
        <v>0</v>
      </c>
      <c r="L137">
        <f>IF(OR($B$42="",$B$12=""),0,IF($E$42&gt;0,CHOOSE($D$42,$G$12,$L$12,$Q$12,$V$12)*$E$42/100,IFERROR((CHOOSE($D$42,$G$12,$L$12,$Q$12,$V$12)-CHOOSE($D$42,$G$12,$L$12,$Q$12,$V$12)*$G$42/100)/$H$42,0)))</f>
        <v>0</v>
      </c>
      <c r="M137">
        <f>IF(OR($B$42="",$B$13=""),0,IF($E$42&gt;0,CHOOSE($D$42,$G$13,$L$13,$Q$13,$V$13)*$E$42/100,IFERROR((CHOOSE($D$42,$G$13,$L$13,$Q$13,$V$13)-CHOOSE($D$42,$G$13,$L$13,$Q$13,$V$13)*$G$42/100)/$H$42,0)))</f>
        <v>0</v>
      </c>
      <c r="N137">
        <f>IF(OR($B$42="",$B$14=""),0,IF($E$42&gt;0,CHOOSE($D$42,$G$14,$L$14,$Q$14,$V$14)*$E$42/100,IFERROR((CHOOSE($D$42,$G$14,$L$14,$Q$14,$V$14)-CHOOSE($D$42,$G$14,$L$14,$Q$14,$V$14)*$G$42/100)/$H$42,0)))</f>
        <v>0</v>
      </c>
      <c r="O137">
        <f>IF(OR($B$42="",$B$15=""),0,IF($E$42&gt;0,CHOOSE($D$42,$G$15,$L$15,$Q$15,$V$15)*$E$42/100,IFERROR((CHOOSE($D$42,$G$15,$L$15,$Q$15,$V$15)-CHOOSE($D$42,$G$15,$L$15,$Q$15,$V$15)*$G$42/100)/$H$42,0)))</f>
        <v>0</v>
      </c>
      <c r="P137">
        <f>IF(OR($B$42="",$B$16=""),0,IF($E$42&gt;0,CHOOSE($D$42,$G$16,$L$16,$Q$16,$V$16)*$E$42/100,IFERROR((CHOOSE($D$42,$G$16,$L$16,$Q$16,$V$16)-CHOOSE($D$42,$G$16,$L$16,$Q$16,$V$16)*$G$42/100)/$H$42,0)))</f>
        <v>0</v>
      </c>
      <c r="Q137">
        <f>IF(OR($B$42="",$B$17=""),0,IF($E$42&gt;0,CHOOSE($D$42,$G$17,$L$17,$Q$17,$V$17)*$E$42/100,IFERROR((CHOOSE($D$42,$G$17,$L$17,$Q$17,$V$17)-CHOOSE($D$42,$G$17,$L$17,$Q$17,$V$17)*$G$42/100)/$H$42,0)))</f>
        <v>0</v>
      </c>
      <c r="R137">
        <f>IF(OR($B$42="",$B$18=""),0,IF($E$42&gt;0,CHOOSE($D$42,$G$18,$L$18,$Q$18,$V$18)*$E$42/100,IFERROR((CHOOSE($D$42,$G$18,$L$18,$Q$18,$V$18)-CHOOSE($D$42,$G$18,$L$18,$Q$18,$V$18)*$G$42/100)/$H$42,0)))</f>
        <v>0</v>
      </c>
      <c r="S137">
        <f>IF(OR($B$42="",$B$19=""),0,IF($E$42&gt;0,CHOOSE($D$42,$G$19,$L$19,$Q$19,$V$19)*$E$42/100,IFERROR((CHOOSE($D$42,$G$19,$L$19,$Q$19,$V$19)-CHOOSE($D$42,$G$19,$L$19,$Q$19,$V$19)*$G$42/100)/$H$42,0)))</f>
        <v>0</v>
      </c>
      <c r="T137">
        <f>IF(OR($B$42="",$B$20=""),0,IF($E$42&gt;0,CHOOSE($D$42,$G$20,$L$20,$Q$20,$V$20)*$E$42/100,IFERROR((CHOOSE($D$42,$G$20,$L$20,$Q$20,$V$20)-CHOOSE($D$42,$G$20,$L$20,$Q$20,$V$20)*$G$42/100)/$H$42,0)))</f>
        <v>0</v>
      </c>
      <c r="U137">
        <f>IF(OR($B$42="",$B$21=""),0,IF($E$42&gt;0,CHOOSE($D$42,$G$21,$L$21,$Q$21,$V$21)*$E$42/100,IFERROR((CHOOSE($D$42,$G$21,$L$21,$Q$21,$V$21)-CHOOSE($D$42,$G$21,$L$21,$Q$21,$V$21)*$G$42/100)/$H$42,0)))</f>
        <v>0</v>
      </c>
      <c r="V137">
        <f>IF(OR($B$42="",$B$22=""),0,IF($E$42&gt;0,CHOOSE($D$42,$G$22,$L$22,$Q$22,$V$22)*$E$42/100,IFERROR((CHOOSE($D$42,$G$22,$L$22,$Q$22,$V$22)-CHOOSE($D$42,$G$22,$L$22,$Q$22,$V$22)*$G$42/100)/$H$42,0)))</f>
        <v>0</v>
      </c>
    </row>
    <row r="138" spans="1:22" x14ac:dyDescent="0.3">
      <c r="A138">
        <v>5</v>
      </c>
      <c r="B138" t="str">
        <f t="shared" si="13"/>
        <v/>
      </c>
      <c r="C138">
        <f>IF(OR($B$43="",$B$3=""),0,IF($E$43&gt;0,CHOOSE($D$43,$G$3,$L$3,$Q$3,$V$3)*$E$43/100,IFERROR((CHOOSE($D$43,$G$3,$L$3,$Q$3,$V$3)-CHOOSE($D$43,$G$3,$L$3,$Q$3,$V$3)*$G$43/100)/$H$43,0)))</f>
        <v>0</v>
      </c>
      <c r="D138">
        <f>IF(OR($B$43="",$B$4=""),0,IF($E$43&gt;0,CHOOSE($D$43,$G$4,$L$4,$Q$4,$V$4)*$E$43/100,IFERROR((CHOOSE($D$43,$G$4,$L$4,$Q$4,$V$4)-CHOOSE($D$43,$G$4,$L$4,$Q$4,$V$4)*$G$43/100)/$H$43,0)))</f>
        <v>0</v>
      </c>
      <c r="E138">
        <f>IF(OR($B$43="",$B$5=""),0,IF($E$43&gt;0,CHOOSE($D$43,$G$5,$L$5,$Q$5,$V$5)*$E$43/100,IFERROR((CHOOSE($D$43,$G$5,$L$5,$Q$5,$V$5)-CHOOSE($D$43,$G$5,$L$5,$Q$5,$V$5)*$G$43/100)/$H$43,0)))</f>
        <v>0</v>
      </c>
      <c r="F138">
        <f>IF(OR($B$43="",$B$6=""),0,IF($E$43&gt;0,CHOOSE($D$43,$G$6,$L$6,$Q$6,$V$6)*$E$43/100,IFERROR((CHOOSE($D$43,$G$6,$L$6,$Q$6,$V$6)-CHOOSE($D$43,$G$6,$L$6,$Q$6,$V$6)*$G$43/100)/$H$43,0)))</f>
        <v>0</v>
      </c>
      <c r="G138">
        <f>IF(OR($B$43="",$B$7=""),0,IF($E$43&gt;0,CHOOSE($D$43,$G$7,$L$7,$Q$7,$V$7)*$E$43/100,IFERROR((CHOOSE($D$43,$G$7,$L$7,$Q$7,$V$7)-CHOOSE($D$43,$G$7,$L$7,$Q$7,$V$7)*$G$43/100)/$H$43,0)))</f>
        <v>0</v>
      </c>
      <c r="H138">
        <f>IF(OR($B$43="",$B$8=""),0,IF($E$43&gt;0,CHOOSE($D$43,$G$8,$L$8,$Q$8,$V$8)*$E$43/100,IFERROR((CHOOSE($D$43,$G$8,$L$8,$Q$8,$V$8)-CHOOSE($D$43,$G$8,$L$8,$Q$8,$V$8)*$G$43/100)/$H$43,0)))</f>
        <v>0</v>
      </c>
      <c r="I138">
        <f>IF(OR($B$43="",$B$9=""),0,IF($E$43&gt;0,CHOOSE($D$43,$G$9,$L$9,$Q$9,$V$9)*$E$43/100,IFERROR((CHOOSE($D$43,$G$9,$L$9,$Q$9,$V$9)-CHOOSE($D$43,$G$9,$L$9,$Q$9,$V$9)*$G$43/100)/$H$43,0)))</f>
        <v>0</v>
      </c>
      <c r="J138">
        <f>IF(OR($B$43="",$B$10=""),0,IF($E$43&gt;0,CHOOSE($D$43,$G$10,$L$10,$Q$10,$V$10)*$E$43/100,IFERROR((CHOOSE($D$43,$G$10,$L$10,$Q$10,$V$10)-CHOOSE($D$43,$G$10,$L$10,$Q$10,$V$10)*$G$43/100)/$H$43,0)))</f>
        <v>0</v>
      </c>
      <c r="K138">
        <f>IF(OR($B$43="",$B$11=""),0,IF($E$43&gt;0,CHOOSE($D$43,$G$11,$L$11,$Q$11,$V$11)*$E$43/100,IFERROR((CHOOSE($D$43,$G$11,$L$11,$Q$11,$V$11)-CHOOSE($D$43,$G$11,$L$11,$Q$11,$V$11)*$G$43/100)/$H$43,0)))</f>
        <v>0</v>
      </c>
      <c r="L138">
        <f>IF(OR($B$43="",$B$12=""),0,IF($E$43&gt;0,CHOOSE($D$43,$G$12,$L$12,$Q$12,$V$12)*$E$43/100,IFERROR((CHOOSE($D$43,$G$12,$L$12,$Q$12,$V$12)-CHOOSE($D$43,$G$12,$L$12,$Q$12,$V$12)*$G$43/100)/$H$43,0)))</f>
        <v>0</v>
      </c>
      <c r="M138">
        <f>IF(OR($B$43="",$B$13=""),0,IF($E$43&gt;0,CHOOSE($D$43,$G$13,$L$13,$Q$13,$V$13)*$E$43/100,IFERROR((CHOOSE($D$43,$G$13,$L$13,$Q$13,$V$13)-CHOOSE($D$43,$G$13,$L$13,$Q$13,$V$13)*$G$43/100)/$H$43,0)))</f>
        <v>0</v>
      </c>
      <c r="N138">
        <f>IF(OR($B$43="",$B$14=""),0,IF($E$43&gt;0,CHOOSE($D$43,$G$14,$L$14,$Q$14,$V$14)*$E$43/100,IFERROR((CHOOSE($D$43,$G$14,$L$14,$Q$14,$V$14)-CHOOSE($D$43,$G$14,$L$14,$Q$14,$V$14)*$G$43/100)/$H$43,0)))</f>
        <v>0</v>
      </c>
      <c r="O138">
        <f>IF(OR($B$43="",$B$15=""),0,IF($E$43&gt;0,CHOOSE($D$43,$G$15,$L$15,$Q$15,$V$15)*$E$43/100,IFERROR((CHOOSE($D$43,$G$15,$L$15,$Q$15,$V$15)-CHOOSE($D$43,$G$15,$L$15,$Q$15,$V$15)*$G$43/100)/$H$43,0)))</f>
        <v>0</v>
      </c>
      <c r="P138">
        <f>IF(OR($B$43="",$B$16=""),0,IF($E$43&gt;0,CHOOSE($D$43,$G$16,$L$16,$Q$16,$V$16)*$E$43/100,IFERROR((CHOOSE($D$43,$G$16,$L$16,$Q$16,$V$16)-CHOOSE($D$43,$G$16,$L$16,$Q$16,$V$16)*$G$43/100)/$H$43,0)))</f>
        <v>0</v>
      </c>
      <c r="Q138">
        <f>IF(OR($B$43="",$B$17=""),0,IF($E$43&gt;0,CHOOSE($D$43,$G$17,$L$17,$Q$17,$V$17)*$E$43/100,IFERROR((CHOOSE($D$43,$G$17,$L$17,$Q$17,$V$17)-CHOOSE($D$43,$G$17,$L$17,$Q$17,$V$17)*$G$43/100)/$H$43,0)))</f>
        <v>0</v>
      </c>
      <c r="R138">
        <f>IF(OR($B$43="",$B$18=""),0,IF($E$43&gt;0,CHOOSE($D$43,$G$18,$L$18,$Q$18,$V$18)*$E$43/100,IFERROR((CHOOSE($D$43,$G$18,$L$18,$Q$18,$V$18)-CHOOSE($D$43,$G$18,$L$18,$Q$18,$V$18)*$G$43/100)/$H$43,0)))</f>
        <v>0</v>
      </c>
      <c r="S138">
        <f>IF(OR($B$43="",$B$19=""),0,IF($E$43&gt;0,CHOOSE($D$43,$G$19,$L$19,$Q$19,$V$19)*$E$43/100,IFERROR((CHOOSE($D$43,$G$19,$L$19,$Q$19,$V$19)-CHOOSE($D$43,$G$19,$L$19,$Q$19,$V$19)*$G$43/100)/$H$43,0)))</f>
        <v>0</v>
      </c>
      <c r="T138">
        <f>IF(OR($B$43="",$B$20=""),0,IF($E$43&gt;0,CHOOSE($D$43,$G$20,$L$20,$Q$20,$V$20)*$E$43/100,IFERROR((CHOOSE($D$43,$G$20,$L$20,$Q$20,$V$20)-CHOOSE($D$43,$G$20,$L$20,$Q$20,$V$20)*$G$43/100)/$H$43,0)))</f>
        <v>0</v>
      </c>
      <c r="U138">
        <f>IF(OR($B$43="",$B$21=""),0,IF($E$43&gt;0,CHOOSE($D$43,$G$21,$L$21,$Q$21,$V$21)*$E$43/100,IFERROR((CHOOSE($D$43,$G$21,$L$21,$Q$21,$V$21)-CHOOSE($D$43,$G$21,$L$21,$Q$21,$V$21)*$G$43/100)/$H$43,0)))</f>
        <v>0</v>
      </c>
      <c r="V138">
        <f>IF(OR($B$43="",$B$22=""),0,IF($E$43&gt;0,CHOOSE($D$43,$G$22,$L$22,$Q$22,$V$22)*$E$43/100,IFERROR((CHOOSE($D$43,$G$22,$L$22,$Q$22,$V$22)-CHOOSE($D$43,$G$22,$L$22,$Q$22,$V$22)*$G$43/100)/$H$43,0)))</f>
        <v>0</v>
      </c>
    </row>
    <row r="139" spans="1:22" x14ac:dyDescent="0.3">
      <c r="A139">
        <v>6</v>
      </c>
      <c r="B139" t="str">
        <f t="shared" si="13"/>
        <v/>
      </c>
      <c r="C139">
        <f>IF(OR($B$44="",$B$3=""),0,IF($E$44&gt;0,CHOOSE($D$44,$G$3,$L$3,$Q$3,$V$3)*$E$44/100,IFERROR((CHOOSE($D$44,$G$3,$L$3,$Q$3,$V$3)-CHOOSE($D$44,$G$3,$L$3,$Q$3,$V$3)*$G$44/100)/$H$44,0)))</f>
        <v>0</v>
      </c>
      <c r="D139">
        <f>IF(OR($B$44="",$B$4=""),0,IF($E$44&gt;0,CHOOSE($D$44,$G$4,$L$4,$Q$4,$V$4)*$E$44/100,IFERROR((CHOOSE($D$44,$G$4,$L$4,$Q$4,$V$4)-CHOOSE($D$44,$G$4,$L$4,$Q$4,$V$4)*$G$44/100)/$H$44,0)))</f>
        <v>0</v>
      </c>
      <c r="E139">
        <f>IF(OR($B$44="",$B$5=""),0,IF($E$44&gt;0,CHOOSE($D$44,$G$5,$L$5,$Q$5,$V$5)*$E$44/100,IFERROR((CHOOSE($D$44,$G$5,$L$5,$Q$5,$V$5)-CHOOSE($D$44,$G$5,$L$5,$Q$5,$V$5)*$G$44/100)/$H$44,0)))</f>
        <v>0</v>
      </c>
      <c r="F139">
        <f>IF(OR($B$44="",$B$6=""),0,IF($E$44&gt;0,CHOOSE($D$44,$G$6,$L$6,$Q$6,$V$6)*$E$44/100,IFERROR((CHOOSE($D$44,$G$6,$L$6,$Q$6,$V$6)-CHOOSE($D$44,$G$6,$L$6,$Q$6,$V$6)*$G$44/100)/$H$44,0)))</f>
        <v>0</v>
      </c>
      <c r="G139">
        <f>IF(OR($B$44="",$B$7=""),0,IF($E$44&gt;0,CHOOSE($D$44,$G$7,$L$7,$Q$7,$V$7)*$E$44/100,IFERROR((CHOOSE($D$44,$G$7,$L$7,$Q$7,$V$7)-CHOOSE($D$44,$G$7,$L$7,$Q$7,$V$7)*$G$44/100)/$H$44,0)))</f>
        <v>0</v>
      </c>
      <c r="H139">
        <f>IF(OR($B$44="",$B$8=""),0,IF($E$44&gt;0,CHOOSE($D$44,$G$8,$L$8,$Q$8,$V$8)*$E$44/100,IFERROR((CHOOSE($D$44,$G$8,$L$8,$Q$8,$V$8)-CHOOSE($D$44,$G$8,$L$8,$Q$8,$V$8)*$G$44/100)/$H$44,0)))</f>
        <v>0</v>
      </c>
      <c r="I139">
        <f>IF(OR($B$44="",$B$9=""),0,IF($E$44&gt;0,CHOOSE($D$44,$G$9,$L$9,$Q$9,$V$9)*$E$44/100,IFERROR((CHOOSE($D$44,$G$9,$L$9,$Q$9,$V$9)-CHOOSE($D$44,$G$9,$L$9,$Q$9,$V$9)*$G$44/100)/$H$44,0)))</f>
        <v>0</v>
      </c>
      <c r="J139">
        <f>IF(OR($B$44="",$B$10=""),0,IF($E$44&gt;0,CHOOSE($D$44,$G$10,$L$10,$Q$10,$V$10)*$E$44/100,IFERROR((CHOOSE($D$44,$G$10,$L$10,$Q$10,$V$10)-CHOOSE($D$44,$G$10,$L$10,$Q$10,$V$10)*$G$44/100)/$H$44,0)))</f>
        <v>0</v>
      </c>
      <c r="K139">
        <f>IF(OR($B$44="",$B$11=""),0,IF($E$44&gt;0,CHOOSE($D$44,$G$11,$L$11,$Q$11,$V$11)*$E$44/100,IFERROR((CHOOSE($D$44,$G$11,$L$11,$Q$11,$V$11)-CHOOSE($D$44,$G$11,$L$11,$Q$11,$V$11)*$G$44/100)/$H$44,0)))</f>
        <v>0</v>
      </c>
      <c r="L139">
        <f>IF(OR($B$44="",$B$12=""),0,IF($E$44&gt;0,CHOOSE($D$44,$G$12,$L$12,$Q$12,$V$12)*$E$44/100,IFERROR((CHOOSE($D$44,$G$12,$L$12,$Q$12,$V$12)-CHOOSE($D$44,$G$12,$L$12,$Q$12,$V$12)*$G$44/100)/$H$44,0)))</f>
        <v>0</v>
      </c>
      <c r="M139">
        <f>IF(OR($B$44="",$B$13=""),0,IF($E$44&gt;0,CHOOSE($D$44,$G$13,$L$13,$Q$13,$V$13)*$E$44/100,IFERROR((CHOOSE($D$44,$G$13,$L$13,$Q$13,$V$13)-CHOOSE($D$44,$G$13,$L$13,$Q$13,$V$13)*$G$44/100)/$H$44,0)))</f>
        <v>0</v>
      </c>
      <c r="N139">
        <f>IF(OR($B$44="",$B$14=""),0,IF($E$44&gt;0,CHOOSE($D$44,$G$14,$L$14,$Q$14,$V$14)*$E$44/100,IFERROR((CHOOSE($D$44,$G$14,$L$14,$Q$14,$V$14)-CHOOSE($D$44,$G$14,$L$14,$Q$14,$V$14)*$G$44/100)/$H$44,0)))</f>
        <v>0</v>
      </c>
      <c r="O139">
        <f>IF(OR($B$44="",$B$15=""),0,IF($E$44&gt;0,CHOOSE($D$44,$G$15,$L$15,$Q$15,$V$15)*$E$44/100,IFERROR((CHOOSE($D$44,$G$15,$L$15,$Q$15,$V$15)-CHOOSE($D$44,$G$15,$L$15,$Q$15,$V$15)*$G$44/100)/$H$44,0)))</f>
        <v>0</v>
      </c>
      <c r="P139">
        <f>IF(OR($B$44="",$B$16=""),0,IF($E$44&gt;0,CHOOSE($D$44,$G$16,$L$16,$Q$16,$V$16)*$E$44/100,IFERROR((CHOOSE($D$44,$G$16,$L$16,$Q$16,$V$16)-CHOOSE($D$44,$G$16,$L$16,$Q$16,$V$16)*$G$44/100)/$H$44,0)))</f>
        <v>0</v>
      </c>
      <c r="Q139">
        <f>IF(OR($B$44="",$B$17=""),0,IF($E$44&gt;0,CHOOSE($D$44,$G$17,$L$17,$Q$17,$V$17)*$E$44/100,IFERROR((CHOOSE($D$44,$G$17,$L$17,$Q$17,$V$17)-CHOOSE($D$44,$G$17,$L$17,$Q$17,$V$17)*$G$44/100)/$H$44,0)))</f>
        <v>0</v>
      </c>
      <c r="R139">
        <f>IF(OR($B$44="",$B$18=""),0,IF($E$44&gt;0,CHOOSE($D$44,$G$18,$L$18,$Q$18,$V$18)*$E$44/100,IFERROR((CHOOSE($D$44,$G$18,$L$18,$Q$18,$V$18)-CHOOSE($D$44,$G$18,$L$18,$Q$18,$V$18)*$G$44/100)/$H$44,0)))</f>
        <v>0</v>
      </c>
      <c r="S139">
        <f>IF(OR($B$44="",$B$19=""),0,IF($E$44&gt;0,CHOOSE($D$44,$G$19,$L$19,$Q$19,$V$19)*$E$44/100,IFERROR((CHOOSE($D$44,$G$19,$L$19,$Q$19,$V$19)-CHOOSE($D$44,$G$19,$L$19,$Q$19,$V$19)*$G$44/100)/$H$44,0)))</f>
        <v>0</v>
      </c>
      <c r="T139">
        <f>IF(OR($B$44="",$B$20=""),0,IF($E$44&gt;0,CHOOSE($D$44,$G$20,$L$20,$Q$20,$V$20)*$E$44/100,IFERROR((CHOOSE($D$44,$G$20,$L$20,$Q$20,$V$20)-CHOOSE($D$44,$G$20,$L$20,$Q$20,$V$20)*$G$44/100)/$H$44,0)))</f>
        <v>0</v>
      </c>
      <c r="U139">
        <f>IF(OR($B$44="",$B$21=""),0,IF($E$44&gt;0,CHOOSE($D$44,$G$21,$L$21,$Q$21,$V$21)*$E$44/100,IFERROR((CHOOSE($D$44,$G$21,$L$21,$Q$21,$V$21)-CHOOSE($D$44,$G$21,$L$21,$Q$21,$V$21)*$G$44/100)/$H$44,0)))</f>
        <v>0</v>
      </c>
      <c r="V139">
        <f>IF(OR($B$44="",$B$22=""),0,IF($E$44&gt;0,CHOOSE($D$44,$G$22,$L$22,$Q$22,$V$22)*$E$44/100,IFERROR((CHOOSE($D$44,$G$22,$L$22,$Q$22,$V$22)-CHOOSE($D$44,$G$22,$L$22,$Q$22,$V$22)*$G$44/100)/$H$44,0)))</f>
        <v>0</v>
      </c>
    </row>
    <row r="140" spans="1:22" x14ac:dyDescent="0.3">
      <c r="A140">
        <v>7</v>
      </c>
      <c r="B140" t="str">
        <f t="shared" si="13"/>
        <v/>
      </c>
      <c r="C140">
        <f>IF(OR($B$45="",$B$3=""),0,IF($E$45&gt;0,CHOOSE($D$45,$G$3,$L$3,$Q$3,$V$3)*$E$45/100,IFERROR((CHOOSE($D$45,$G$3,$L$3,$Q$3,$V$3)-CHOOSE($D$45,$G$3,$L$3,$Q$3,$V$3)*$G$45/100)/$H$45,0)))</f>
        <v>0</v>
      </c>
      <c r="D140">
        <f>IF(OR($B$45="",$B$4=""),0,IF($E$45&gt;0,CHOOSE($D$45,$G$4,$L$4,$Q$4,$V$4)*$E$45/100,IFERROR((CHOOSE($D$45,$G$4,$L$4,$Q$4,$V$4)-CHOOSE($D$45,$G$4,$L$4,$Q$4,$V$4)*$G$45/100)/$H$45,0)))</f>
        <v>0</v>
      </c>
      <c r="E140">
        <f>IF(OR($B$45="",$B$5=""),0,IF($E$45&gt;0,CHOOSE($D$45,$G$5,$L$5,$Q$5,$V$5)*$E$45/100,IFERROR((CHOOSE($D$45,$G$5,$L$5,$Q$5,$V$5)-CHOOSE($D$45,$G$5,$L$5,$Q$5,$V$5)*$G$45/100)/$H$45,0)))</f>
        <v>0</v>
      </c>
      <c r="F140">
        <f>IF(OR($B$45="",$B$6=""),0,IF($E$45&gt;0,CHOOSE($D$45,$G$6,$L$6,$Q$6,$V$6)*$E$45/100,IFERROR((CHOOSE($D$45,$G$6,$L$6,$Q$6,$V$6)-CHOOSE($D$45,$G$6,$L$6,$Q$6,$V$6)*$G$45/100)/$H$45,0)))</f>
        <v>0</v>
      </c>
      <c r="G140">
        <f>IF(OR($B$45="",$B$7=""),0,IF($E$45&gt;0,CHOOSE($D$45,$G$7,$L$7,$Q$7,$V$7)*$E$45/100,IFERROR((CHOOSE($D$45,$G$7,$L$7,$Q$7,$V$7)-CHOOSE($D$45,$G$7,$L$7,$Q$7,$V$7)*$G$45/100)/$H$45,0)))</f>
        <v>0</v>
      </c>
      <c r="H140">
        <f>IF(OR($B$45="",$B$8=""),0,IF($E$45&gt;0,CHOOSE($D$45,$G$8,$L$8,$Q$8,$V$8)*$E$45/100,IFERROR((CHOOSE($D$45,$G$8,$L$8,$Q$8,$V$8)-CHOOSE($D$45,$G$8,$L$8,$Q$8,$V$8)*$G$45/100)/$H$45,0)))</f>
        <v>0</v>
      </c>
      <c r="I140">
        <f>IF(OR($B$45="",$B$9=""),0,IF($E$45&gt;0,CHOOSE($D$45,$G$9,$L$9,$Q$9,$V$9)*$E$45/100,IFERROR((CHOOSE($D$45,$G$9,$L$9,$Q$9,$V$9)-CHOOSE($D$45,$G$9,$L$9,$Q$9,$V$9)*$G$45/100)/$H$45,0)))</f>
        <v>0</v>
      </c>
      <c r="J140">
        <f>IF(OR($B$45="",$B$10=""),0,IF($E$45&gt;0,CHOOSE($D$45,$G$10,$L$10,$Q$10,$V$10)*$E$45/100,IFERROR((CHOOSE($D$45,$G$10,$L$10,$Q$10,$V$10)-CHOOSE($D$45,$G$10,$L$10,$Q$10,$V$10)*$G$45/100)/$H$45,0)))</f>
        <v>0</v>
      </c>
      <c r="K140">
        <f>IF(OR($B$45="",$B$11=""),0,IF($E$45&gt;0,CHOOSE($D$45,$G$11,$L$11,$Q$11,$V$11)*$E$45/100,IFERROR((CHOOSE($D$45,$G$11,$L$11,$Q$11,$V$11)-CHOOSE($D$45,$G$11,$L$11,$Q$11,$V$11)*$G$45/100)/$H$45,0)))</f>
        <v>0</v>
      </c>
      <c r="L140">
        <f>IF(OR($B$45="",$B$12=""),0,IF($E$45&gt;0,CHOOSE($D$45,$G$12,$L$12,$Q$12,$V$12)*$E$45/100,IFERROR((CHOOSE($D$45,$G$12,$L$12,$Q$12,$V$12)-CHOOSE($D$45,$G$12,$L$12,$Q$12,$V$12)*$G$45/100)/$H$45,0)))</f>
        <v>0</v>
      </c>
      <c r="M140">
        <f>IF(OR($B$45="",$B$13=""),0,IF($E$45&gt;0,CHOOSE($D$45,$G$13,$L$13,$Q$13,$V$13)*$E$45/100,IFERROR((CHOOSE($D$45,$G$13,$L$13,$Q$13,$V$13)-CHOOSE($D$45,$G$13,$L$13,$Q$13,$V$13)*$G$45/100)/$H$45,0)))</f>
        <v>0</v>
      </c>
      <c r="N140">
        <f>IF(OR($B$45="",$B$14=""),0,IF($E$45&gt;0,CHOOSE($D$45,$G$14,$L$14,$Q$14,$V$14)*$E$45/100,IFERROR((CHOOSE($D$45,$G$14,$L$14,$Q$14,$V$14)-CHOOSE($D$45,$G$14,$L$14,$Q$14,$V$14)*$G$45/100)/$H$45,0)))</f>
        <v>0</v>
      </c>
      <c r="O140">
        <f>IF(OR($B$45="",$B$15=""),0,IF($E$45&gt;0,CHOOSE($D$45,$G$15,$L$15,$Q$15,$V$15)*$E$45/100,IFERROR((CHOOSE($D$45,$G$15,$L$15,$Q$15,$V$15)-CHOOSE($D$45,$G$15,$L$15,$Q$15,$V$15)*$G$45/100)/$H$45,0)))</f>
        <v>0</v>
      </c>
      <c r="P140">
        <f>IF(OR($B$45="",$B$16=""),0,IF($E$45&gt;0,CHOOSE($D$45,$G$16,$L$16,$Q$16,$V$16)*$E$45/100,IFERROR((CHOOSE($D$45,$G$16,$L$16,$Q$16,$V$16)-CHOOSE($D$45,$G$16,$L$16,$Q$16,$V$16)*$G$45/100)/$H$45,0)))</f>
        <v>0</v>
      </c>
      <c r="Q140">
        <f>IF(OR($B$45="",$B$17=""),0,IF($E$45&gt;0,CHOOSE($D$45,$G$17,$L$17,$Q$17,$V$17)*$E$45/100,IFERROR((CHOOSE($D$45,$G$17,$L$17,$Q$17,$V$17)-CHOOSE($D$45,$G$17,$L$17,$Q$17,$V$17)*$G$45/100)/$H$45,0)))</f>
        <v>0</v>
      </c>
      <c r="R140">
        <f>IF(OR($B$45="",$B$18=""),0,IF($E$45&gt;0,CHOOSE($D$45,$G$18,$L$18,$Q$18,$V$18)*$E$45/100,IFERROR((CHOOSE($D$45,$G$18,$L$18,$Q$18,$V$18)-CHOOSE($D$45,$G$18,$L$18,$Q$18,$V$18)*$G$45/100)/$H$45,0)))</f>
        <v>0</v>
      </c>
      <c r="S140">
        <f>IF(OR($B$45="",$B$19=""),0,IF($E$45&gt;0,CHOOSE($D$45,$G$19,$L$19,$Q$19,$V$19)*$E$45/100,IFERROR((CHOOSE($D$45,$G$19,$L$19,$Q$19,$V$19)-CHOOSE($D$45,$G$19,$L$19,$Q$19,$V$19)*$G$45/100)/$H$45,0)))</f>
        <v>0</v>
      </c>
      <c r="T140">
        <f>IF(OR($B$45="",$B$20=""),0,IF($E$45&gt;0,CHOOSE($D$45,$G$20,$L$20,$Q$20,$V$20)*$E$45/100,IFERROR((CHOOSE($D$45,$G$20,$L$20,$Q$20,$V$20)-CHOOSE($D$45,$G$20,$L$20,$Q$20,$V$20)*$G$45/100)/$H$45,0)))</f>
        <v>0</v>
      </c>
      <c r="U140">
        <f>IF(OR($B$45="",$B$21=""),0,IF($E$45&gt;0,CHOOSE($D$45,$G$21,$L$21,$Q$21,$V$21)*$E$45/100,IFERROR((CHOOSE($D$45,$G$21,$L$21,$Q$21,$V$21)-CHOOSE($D$45,$G$21,$L$21,$Q$21,$V$21)*$G$45/100)/$H$45,0)))</f>
        <v>0</v>
      </c>
      <c r="V140">
        <f>IF(OR($B$45="",$B$22=""),0,IF($E$45&gt;0,CHOOSE($D$45,$G$22,$L$22,$Q$22,$V$22)*$E$45/100,IFERROR((CHOOSE($D$45,$G$22,$L$22,$Q$22,$V$22)-CHOOSE($D$45,$G$22,$L$22,$Q$22,$V$22)*$G$45/100)/$H$45,0)))</f>
        <v>0</v>
      </c>
    </row>
    <row r="141" spans="1:22" x14ac:dyDescent="0.3">
      <c r="A141">
        <v>8</v>
      </c>
      <c r="B141" t="str">
        <f t="shared" si="13"/>
        <v/>
      </c>
      <c r="C141">
        <f>IF(OR($B$46="",$B$3=""),0,IF($E$46&gt;0,CHOOSE($D$46,$G$3,$L$3,$Q$3,$V$3)*$E$46/100,IFERROR((CHOOSE($D$46,$G$3,$L$3,$Q$3,$V$3)-CHOOSE($D$46,$G$3,$L$3,$Q$3,$V$3)*$G$46/100)/$H$46,0)))</f>
        <v>0</v>
      </c>
      <c r="D141">
        <f>IF(OR($B$46="",$B$4=""),0,IF($E$46&gt;0,CHOOSE($D$46,$G$4,$L$4,$Q$4,$V$4)*$E$46/100,IFERROR((CHOOSE($D$46,$G$4,$L$4,$Q$4,$V$4)-CHOOSE($D$46,$G$4,$L$4,$Q$4,$V$4)*$G$46/100)/$H$46,0)))</f>
        <v>0</v>
      </c>
      <c r="E141">
        <f>IF(OR($B$46="",$B$5=""),0,IF($E$46&gt;0,CHOOSE($D$46,$G$5,$L$5,$Q$5,$V$5)*$E$46/100,IFERROR((CHOOSE($D$46,$G$5,$L$5,$Q$5,$V$5)-CHOOSE($D$46,$G$5,$L$5,$Q$5,$V$5)*$G$46/100)/$H$46,0)))</f>
        <v>0</v>
      </c>
      <c r="F141">
        <f>IF(OR($B$46="",$B$6=""),0,IF($E$46&gt;0,CHOOSE($D$46,$G$6,$L$6,$Q$6,$V$6)*$E$46/100,IFERROR((CHOOSE($D$46,$G$6,$L$6,$Q$6,$V$6)-CHOOSE($D$46,$G$6,$L$6,$Q$6,$V$6)*$G$46/100)/$H$46,0)))</f>
        <v>0</v>
      </c>
      <c r="G141">
        <f>IF(OR($B$46="",$B$7=""),0,IF($E$46&gt;0,CHOOSE($D$46,$G$7,$L$7,$Q$7,$V$7)*$E$46/100,IFERROR((CHOOSE($D$46,$G$7,$L$7,$Q$7,$V$7)-CHOOSE($D$46,$G$7,$L$7,$Q$7,$V$7)*$G$46/100)/$H$46,0)))</f>
        <v>0</v>
      </c>
      <c r="H141">
        <f>IF(OR($B$46="",$B$8=""),0,IF($E$46&gt;0,CHOOSE($D$46,$G$8,$L$8,$Q$8,$V$8)*$E$46/100,IFERROR((CHOOSE($D$46,$G$8,$L$8,$Q$8,$V$8)-CHOOSE($D$46,$G$8,$L$8,$Q$8,$V$8)*$G$46/100)/$H$46,0)))</f>
        <v>0</v>
      </c>
      <c r="I141">
        <f>IF(OR($B$46="",$B$9=""),0,IF($E$46&gt;0,CHOOSE($D$46,$G$9,$L$9,$Q$9,$V$9)*$E$46/100,IFERROR((CHOOSE($D$46,$G$9,$L$9,$Q$9,$V$9)-CHOOSE($D$46,$G$9,$L$9,$Q$9,$V$9)*$G$46/100)/$H$46,0)))</f>
        <v>0</v>
      </c>
      <c r="J141">
        <f>IF(OR($B$46="",$B$10=""),0,IF($E$46&gt;0,CHOOSE($D$46,$G$10,$L$10,$Q$10,$V$10)*$E$46/100,IFERROR((CHOOSE($D$46,$G$10,$L$10,$Q$10,$V$10)-CHOOSE($D$46,$G$10,$L$10,$Q$10,$V$10)*$G$46/100)/$H$46,0)))</f>
        <v>0</v>
      </c>
      <c r="K141">
        <f>IF(OR($B$46="",$B$11=""),0,IF($E$46&gt;0,CHOOSE($D$46,$G$11,$L$11,$Q$11,$V$11)*$E$46/100,IFERROR((CHOOSE($D$46,$G$11,$L$11,$Q$11,$V$11)-CHOOSE($D$46,$G$11,$L$11,$Q$11,$V$11)*$G$46/100)/$H$46,0)))</f>
        <v>0</v>
      </c>
      <c r="L141">
        <f>IF(OR($B$46="",$B$12=""),0,IF($E$46&gt;0,CHOOSE($D$46,$G$12,$L$12,$Q$12,$V$12)*$E$46/100,IFERROR((CHOOSE($D$46,$G$12,$L$12,$Q$12,$V$12)-CHOOSE($D$46,$G$12,$L$12,$Q$12,$V$12)*$G$46/100)/$H$46,0)))</f>
        <v>0</v>
      </c>
      <c r="M141">
        <f>IF(OR($B$46="",$B$13=""),0,IF($E$46&gt;0,CHOOSE($D$46,$G$13,$L$13,$Q$13,$V$13)*$E$46/100,IFERROR((CHOOSE($D$46,$G$13,$L$13,$Q$13,$V$13)-CHOOSE($D$46,$G$13,$L$13,$Q$13,$V$13)*$G$46/100)/$H$46,0)))</f>
        <v>0</v>
      </c>
      <c r="N141">
        <f>IF(OR($B$46="",$B$14=""),0,IF($E$46&gt;0,CHOOSE($D$46,$G$14,$L$14,$Q$14,$V$14)*$E$46/100,IFERROR((CHOOSE($D$46,$G$14,$L$14,$Q$14,$V$14)-CHOOSE($D$46,$G$14,$L$14,$Q$14,$V$14)*$G$46/100)/$H$46,0)))</f>
        <v>0</v>
      </c>
      <c r="O141">
        <f>IF(OR($B$46="",$B$15=""),0,IF($E$46&gt;0,CHOOSE($D$46,$G$15,$L$15,$Q$15,$V$15)*$E$46/100,IFERROR((CHOOSE($D$46,$G$15,$L$15,$Q$15,$V$15)-CHOOSE($D$46,$G$15,$L$15,$Q$15,$V$15)*$G$46/100)/$H$46,0)))</f>
        <v>0</v>
      </c>
      <c r="P141">
        <f>IF(OR($B$46="",$B$16=""),0,IF($E$46&gt;0,CHOOSE($D$46,$G$16,$L$16,$Q$16,$V$16)*$E$46/100,IFERROR((CHOOSE($D$46,$G$16,$L$16,$Q$16,$V$16)-CHOOSE($D$46,$G$16,$L$16,$Q$16,$V$16)*$G$46/100)/$H$46,0)))</f>
        <v>0</v>
      </c>
      <c r="Q141">
        <f>IF(OR($B$46="",$B$17=""),0,IF($E$46&gt;0,CHOOSE($D$46,$G$17,$L$17,$Q$17,$V$17)*$E$46/100,IFERROR((CHOOSE($D$46,$G$17,$L$17,$Q$17,$V$17)-CHOOSE($D$46,$G$17,$L$17,$Q$17,$V$17)*$G$46/100)/$H$46,0)))</f>
        <v>0</v>
      </c>
      <c r="R141">
        <f>IF(OR($B$46="",$B$18=""),0,IF($E$46&gt;0,CHOOSE($D$46,$G$18,$L$18,$Q$18,$V$18)*$E$46/100,IFERROR((CHOOSE($D$46,$G$18,$L$18,$Q$18,$V$18)-CHOOSE($D$46,$G$18,$L$18,$Q$18,$V$18)*$G$46/100)/$H$46,0)))</f>
        <v>0</v>
      </c>
      <c r="S141">
        <f>IF(OR($B$46="",$B$19=""),0,IF($E$46&gt;0,CHOOSE($D$46,$G$19,$L$19,$Q$19,$V$19)*$E$46/100,IFERROR((CHOOSE($D$46,$G$19,$L$19,$Q$19,$V$19)-CHOOSE($D$46,$G$19,$L$19,$Q$19,$V$19)*$G$46/100)/$H$46,0)))</f>
        <v>0</v>
      </c>
      <c r="T141">
        <f>IF(OR($B$46="",$B$20=""),0,IF($E$46&gt;0,CHOOSE($D$46,$G$20,$L$20,$Q$20,$V$20)*$E$46/100,IFERROR((CHOOSE($D$46,$G$20,$L$20,$Q$20,$V$20)-CHOOSE($D$46,$G$20,$L$20,$Q$20,$V$20)*$G$46/100)/$H$46,0)))</f>
        <v>0</v>
      </c>
      <c r="U141">
        <f>IF(OR($B$46="",$B$21=""),0,IF($E$46&gt;0,CHOOSE($D$46,$G$21,$L$21,$Q$21,$V$21)*$E$46/100,IFERROR((CHOOSE($D$46,$G$21,$L$21,$Q$21,$V$21)-CHOOSE($D$46,$G$21,$L$21,$Q$21,$V$21)*$G$46/100)/$H$46,0)))</f>
        <v>0</v>
      </c>
      <c r="V141">
        <f>IF(OR($B$46="",$B$22=""),0,IF($E$46&gt;0,CHOOSE($D$46,$G$22,$L$22,$Q$22,$V$22)*$E$46/100,IFERROR((CHOOSE($D$46,$G$22,$L$22,$Q$22,$V$22)-CHOOSE($D$46,$G$22,$L$22,$Q$22,$V$22)*$G$46/100)/$H$46,0)))</f>
        <v>0</v>
      </c>
    </row>
    <row r="142" spans="1:22" x14ac:dyDescent="0.3">
      <c r="A142">
        <v>9</v>
      </c>
      <c r="B142" t="str">
        <f t="shared" si="13"/>
        <v/>
      </c>
      <c r="C142">
        <f>IF(OR($B$47="",$B$3=""),0,IF($E$47&gt;0,CHOOSE($D$47,$G$3,$L$3,$Q$3,$V$3)*$E$47/100,IFERROR((CHOOSE($D$47,$G$3,$L$3,$Q$3,$V$3)-CHOOSE($D$47,$G$3,$L$3,$Q$3,$V$3)*$G$47/100)/$H$47,0)))</f>
        <v>0</v>
      </c>
      <c r="D142">
        <f>IF(OR($B$47="",$B$4=""),0,IF($E$47&gt;0,CHOOSE($D$47,$G$4,$L$4,$Q$4,$V$4)*$E$47/100,IFERROR((CHOOSE($D$47,$G$4,$L$4,$Q$4,$V$4)-CHOOSE($D$47,$G$4,$L$4,$Q$4,$V$4)*$G$47/100)/$H$47,0)))</f>
        <v>0</v>
      </c>
      <c r="E142">
        <f>IF(OR($B$47="",$B$5=""),0,IF($E$47&gt;0,CHOOSE($D$47,$G$5,$L$5,$Q$5,$V$5)*$E$47/100,IFERROR((CHOOSE($D$47,$G$5,$L$5,$Q$5,$V$5)-CHOOSE($D$47,$G$5,$L$5,$Q$5,$V$5)*$G$47/100)/$H$47,0)))</f>
        <v>0</v>
      </c>
      <c r="F142">
        <f>IF(OR($B$47="",$B$6=""),0,IF($E$47&gt;0,CHOOSE($D$47,$G$6,$L$6,$Q$6,$V$6)*$E$47/100,IFERROR((CHOOSE($D$47,$G$6,$L$6,$Q$6,$V$6)-CHOOSE($D$47,$G$6,$L$6,$Q$6,$V$6)*$G$47/100)/$H$47,0)))</f>
        <v>0</v>
      </c>
      <c r="G142">
        <f>IF(OR($B$47="",$B$7=""),0,IF($E$47&gt;0,CHOOSE($D$47,$G$7,$L$7,$Q$7,$V$7)*$E$47/100,IFERROR((CHOOSE($D$47,$G$7,$L$7,$Q$7,$V$7)-CHOOSE($D$47,$G$7,$L$7,$Q$7,$V$7)*$G$47/100)/$H$47,0)))</f>
        <v>0</v>
      </c>
      <c r="H142">
        <f>IF(OR($B$47="",$B$8=""),0,IF($E$47&gt;0,CHOOSE($D$47,$G$8,$L$8,$Q$8,$V$8)*$E$47/100,IFERROR((CHOOSE($D$47,$G$8,$L$8,$Q$8,$V$8)-CHOOSE($D$47,$G$8,$L$8,$Q$8,$V$8)*$G$47/100)/$H$47,0)))</f>
        <v>0</v>
      </c>
      <c r="I142">
        <f>IF(OR($B$47="",$B$9=""),0,IF($E$47&gt;0,CHOOSE($D$47,$G$9,$L$9,$Q$9,$V$9)*$E$47/100,IFERROR((CHOOSE($D$47,$G$9,$L$9,$Q$9,$V$9)-CHOOSE($D$47,$G$9,$L$9,$Q$9,$V$9)*$G$47/100)/$H$47,0)))</f>
        <v>0</v>
      </c>
      <c r="J142">
        <f>IF(OR($B$47="",$B$10=""),0,IF($E$47&gt;0,CHOOSE($D$47,$G$10,$L$10,$Q$10,$V$10)*$E$47/100,IFERROR((CHOOSE($D$47,$G$10,$L$10,$Q$10,$V$10)-CHOOSE($D$47,$G$10,$L$10,$Q$10,$V$10)*$G$47/100)/$H$47,0)))</f>
        <v>0</v>
      </c>
      <c r="K142">
        <f>IF(OR($B$47="",$B$11=""),0,IF($E$47&gt;0,CHOOSE($D$47,$G$11,$L$11,$Q$11,$V$11)*$E$47/100,IFERROR((CHOOSE($D$47,$G$11,$L$11,$Q$11,$V$11)-CHOOSE($D$47,$G$11,$L$11,$Q$11,$V$11)*$G$47/100)/$H$47,0)))</f>
        <v>0</v>
      </c>
      <c r="L142">
        <f>IF(OR($B$47="",$B$12=""),0,IF($E$47&gt;0,CHOOSE($D$47,$G$12,$L$12,$Q$12,$V$12)*$E$47/100,IFERROR((CHOOSE($D$47,$G$12,$L$12,$Q$12,$V$12)-CHOOSE($D$47,$G$12,$L$12,$Q$12,$V$12)*$G$47/100)/$H$47,0)))</f>
        <v>0</v>
      </c>
      <c r="M142">
        <f>IF(OR($B$47="",$B$13=""),0,IF($E$47&gt;0,CHOOSE($D$47,$G$13,$L$13,$Q$13,$V$13)*$E$47/100,IFERROR((CHOOSE($D$47,$G$13,$L$13,$Q$13,$V$13)-CHOOSE($D$47,$G$13,$L$13,$Q$13,$V$13)*$G$47/100)/$H$47,0)))</f>
        <v>0</v>
      </c>
      <c r="N142">
        <f>IF(OR($B$47="",$B$14=""),0,IF($E$47&gt;0,CHOOSE($D$47,$G$14,$L$14,$Q$14,$V$14)*$E$47/100,IFERROR((CHOOSE($D$47,$G$14,$L$14,$Q$14,$V$14)-CHOOSE($D$47,$G$14,$L$14,$Q$14,$V$14)*$G$47/100)/$H$47,0)))</f>
        <v>0</v>
      </c>
      <c r="O142">
        <f>IF(OR($B$47="",$B$15=""),0,IF($E$47&gt;0,CHOOSE($D$47,$G$15,$L$15,$Q$15,$V$15)*$E$47/100,IFERROR((CHOOSE($D$47,$G$15,$L$15,$Q$15,$V$15)-CHOOSE($D$47,$G$15,$L$15,$Q$15,$V$15)*$G$47/100)/$H$47,0)))</f>
        <v>0</v>
      </c>
      <c r="P142">
        <f>IF(OR($B$47="",$B$16=""),0,IF($E$47&gt;0,CHOOSE($D$47,$G$16,$L$16,$Q$16,$V$16)*$E$47/100,IFERROR((CHOOSE($D$47,$G$16,$L$16,$Q$16,$V$16)-CHOOSE($D$47,$G$16,$L$16,$Q$16,$V$16)*$G$47/100)/$H$47,0)))</f>
        <v>0</v>
      </c>
      <c r="Q142">
        <f>IF(OR($B$47="",$B$17=""),0,IF($E$47&gt;0,CHOOSE($D$47,$G$17,$L$17,$Q$17,$V$17)*$E$47/100,IFERROR((CHOOSE($D$47,$G$17,$L$17,$Q$17,$V$17)-CHOOSE($D$47,$G$17,$L$17,$Q$17,$V$17)*$G$47/100)/$H$47,0)))</f>
        <v>0</v>
      </c>
      <c r="R142">
        <f>IF(OR($B$47="",$B$18=""),0,IF($E$47&gt;0,CHOOSE($D$47,$G$18,$L$18,$Q$18,$V$18)*$E$47/100,IFERROR((CHOOSE($D$47,$G$18,$L$18,$Q$18,$V$18)-CHOOSE($D$47,$G$18,$L$18,$Q$18,$V$18)*$G$47/100)/$H$47,0)))</f>
        <v>0</v>
      </c>
      <c r="S142">
        <f>IF(OR($B$47="",$B$19=""),0,IF($E$47&gt;0,CHOOSE($D$47,$G$19,$L$19,$Q$19,$V$19)*$E$47/100,IFERROR((CHOOSE($D$47,$G$19,$L$19,$Q$19,$V$19)-CHOOSE($D$47,$G$19,$L$19,$Q$19,$V$19)*$G$47/100)/$H$47,0)))</f>
        <v>0</v>
      </c>
      <c r="T142">
        <f>IF(OR($B$47="",$B$20=""),0,IF($E$47&gt;0,CHOOSE($D$47,$G$20,$L$20,$Q$20,$V$20)*$E$47/100,IFERROR((CHOOSE($D$47,$G$20,$L$20,$Q$20,$V$20)-CHOOSE($D$47,$G$20,$L$20,$Q$20,$V$20)*$G$47/100)/$H$47,0)))</f>
        <v>0</v>
      </c>
      <c r="U142">
        <f>IF(OR($B$47="",$B$21=""),0,IF($E$47&gt;0,CHOOSE($D$47,$G$21,$L$21,$Q$21,$V$21)*$E$47/100,IFERROR((CHOOSE($D$47,$G$21,$L$21,$Q$21,$V$21)-CHOOSE($D$47,$G$21,$L$21,$Q$21,$V$21)*$G$47/100)/$H$47,0)))</f>
        <v>0</v>
      </c>
      <c r="V142">
        <f>IF(OR($B$47="",$B$22=""),0,IF($E$47&gt;0,CHOOSE($D$47,$G$22,$L$22,$Q$22,$V$22)*$E$47/100,IFERROR((CHOOSE($D$47,$G$22,$L$22,$Q$22,$V$22)-CHOOSE($D$47,$G$22,$L$22,$Q$22,$V$22)*$G$47/100)/$H$47,0)))</f>
        <v>0</v>
      </c>
    </row>
    <row r="143" spans="1:22" x14ac:dyDescent="0.3">
      <c r="A143">
        <v>10</v>
      </c>
      <c r="B143" t="str">
        <f t="shared" si="13"/>
        <v/>
      </c>
      <c r="C143">
        <f>IF(OR($B$48="",$B$3=""),0,IF($E$48&gt;0,CHOOSE($D$48,$G$3,$L$3,$Q$3,$V$3)*$E$48/100,IFERROR((CHOOSE($D$48,$G$3,$L$3,$Q$3,$V$3)-CHOOSE($D$48,$G$3,$L$3,$Q$3,$V$3)*$G$48/100)/$H$48,0)))</f>
        <v>0</v>
      </c>
      <c r="D143">
        <f>IF(OR($B$48="",$B$4=""),0,IF($E$48&gt;0,CHOOSE($D$48,$G$4,$L$4,$Q$4,$V$4)*$E$48/100,IFERROR((CHOOSE($D$48,$G$4,$L$4,$Q$4,$V$4)-CHOOSE($D$48,$G$4,$L$4,$Q$4,$V$4)*$G$48/100)/$H$48,0)))</f>
        <v>0</v>
      </c>
      <c r="E143">
        <f>IF(OR($B$48="",$B$5=""),0,IF($E$48&gt;0,CHOOSE($D$48,$G$5,$L$5,$Q$5,$V$5)*$E$48/100,IFERROR((CHOOSE($D$48,$G$5,$L$5,$Q$5,$V$5)-CHOOSE($D$48,$G$5,$L$5,$Q$5,$V$5)*$G$48/100)/$H$48,0)))</f>
        <v>0</v>
      </c>
      <c r="F143">
        <f>IF(OR($B$48="",$B$6=""),0,IF($E$48&gt;0,CHOOSE($D$48,$G$6,$L$6,$Q$6,$V$6)*$E$48/100,IFERROR((CHOOSE($D$48,$G$6,$L$6,$Q$6,$V$6)-CHOOSE($D$48,$G$6,$L$6,$Q$6,$V$6)*$G$48/100)/$H$48,0)))</f>
        <v>0</v>
      </c>
      <c r="G143">
        <f>IF(OR($B$48="",$B$7=""),0,IF($E$48&gt;0,CHOOSE($D$48,$G$7,$L$7,$Q$7,$V$7)*$E$48/100,IFERROR((CHOOSE($D$48,$G$7,$L$7,$Q$7,$V$7)-CHOOSE($D$48,$G$7,$L$7,$Q$7,$V$7)*$G$48/100)/$H$48,0)))</f>
        <v>0</v>
      </c>
      <c r="H143">
        <f>IF(OR($B$48="",$B$8=""),0,IF($E$48&gt;0,CHOOSE($D$48,$G$8,$L$8,$Q$8,$V$8)*$E$48/100,IFERROR((CHOOSE($D$48,$G$8,$L$8,$Q$8,$V$8)-CHOOSE($D$48,$G$8,$L$8,$Q$8,$V$8)*$G$48/100)/$H$48,0)))</f>
        <v>0</v>
      </c>
      <c r="I143">
        <f>IF(OR($B$48="",$B$9=""),0,IF($E$48&gt;0,CHOOSE($D$48,$G$9,$L$9,$Q$9,$V$9)*$E$48/100,IFERROR((CHOOSE($D$48,$G$9,$L$9,$Q$9,$V$9)-CHOOSE($D$48,$G$9,$L$9,$Q$9,$V$9)*$G$48/100)/$H$48,0)))</f>
        <v>0</v>
      </c>
      <c r="J143">
        <f>IF(OR($B$48="",$B$10=""),0,IF($E$48&gt;0,CHOOSE($D$48,$G$10,$L$10,$Q$10,$V$10)*$E$48/100,IFERROR((CHOOSE($D$48,$G$10,$L$10,$Q$10,$V$10)-CHOOSE($D$48,$G$10,$L$10,$Q$10,$V$10)*$G$48/100)/$H$48,0)))</f>
        <v>0</v>
      </c>
      <c r="K143">
        <f>IF(OR($B$48="",$B$11=""),0,IF($E$48&gt;0,CHOOSE($D$48,$G$11,$L$11,$Q$11,$V$11)*$E$48/100,IFERROR((CHOOSE($D$48,$G$11,$L$11,$Q$11,$V$11)-CHOOSE($D$48,$G$11,$L$11,$Q$11,$V$11)*$G$48/100)/$H$48,0)))</f>
        <v>0</v>
      </c>
      <c r="L143">
        <f>IF(OR($B$48="",$B$12=""),0,IF($E$48&gt;0,CHOOSE($D$48,$G$12,$L$12,$Q$12,$V$12)*$E$48/100,IFERROR((CHOOSE($D$48,$G$12,$L$12,$Q$12,$V$12)-CHOOSE($D$48,$G$12,$L$12,$Q$12,$V$12)*$G$48/100)/$H$48,0)))</f>
        <v>0</v>
      </c>
      <c r="M143">
        <f>IF(OR($B$48="",$B$13=""),0,IF($E$48&gt;0,CHOOSE($D$48,$G$13,$L$13,$Q$13,$V$13)*$E$48/100,IFERROR((CHOOSE($D$48,$G$13,$L$13,$Q$13,$V$13)-CHOOSE($D$48,$G$13,$L$13,$Q$13,$V$13)*$G$48/100)/$H$48,0)))</f>
        <v>0</v>
      </c>
      <c r="N143">
        <f>IF(OR($B$48="",$B$14=""),0,IF($E$48&gt;0,CHOOSE($D$48,$G$14,$L$14,$Q$14,$V$14)*$E$48/100,IFERROR((CHOOSE($D$48,$G$14,$L$14,$Q$14,$V$14)-CHOOSE($D$48,$G$14,$L$14,$Q$14,$V$14)*$G$48/100)/$H$48,0)))</f>
        <v>0</v>
      </c>
      <c r="O143">
        <f>IF(OR($B$48="",$B$15=""),0,IF($E$48&gt;0,CHOOSE($D$48,$G$15,$L$15,$Q$15,$V$15)*$E$48/100,IFERROR((CHOOSE($D$48,$G$15,$L$15,$Q$15,$V$15)-CHOOSE($D$48,$G$15,$L$15,$Q$15,$V$15)*$G$48/100)/$H$48,0)))</f>
        <v>0</v>
      </c>
      <c r="P143">
        <f>IF(OR($B$48="",$B$16=""),0,IF($E$48&gt;0,CHOOSE($D$48,$G$16,$L$16,$Q$16,$V$16)*$E$48/100,IFERROR((CHOOSE($D$48,$G$16,$L$16,$Q$16,$V$16)-CHOOSE($D$48,$G$16,$L$16,$Q$16,$V$16)*$G$48/100)/$H$48,0)))</f>
        <v>0</v>
      </c>
      <c r="Q143">
        <f>IF(OR($B$48="",$B$17=""),0,IF($E$48&gt;0,CHOOSE($D$48,$G$17,$L$17,$Q$17,$V$17)*$E$48/100,IFERROR((CHOOSE($D$48,$G$17,$L$17,$Q$17,$V$17)-CHOOSE($D$48,$G$17,$L$17,$Q$17,$V$17)*$G$48/100)/$H$48,0)))</f>
        <v>0</v>
      </c>
      <c r="R143">
        <f>IF(OR($B$48="",$B$18=""),0,IF($E$48&gt;0,CHOOSE($D$48,$G$18,$L$18,$Q$18,$V$18)*$E$48/100,IFERROR((CHOOSE($D$48,$G$18,$L$18,$Q$18,$V$18)-CHOOSE($D$48,$G$18,$L$18,$Q$18,$V$18)*$G$48/100)/$H$48,0)))</f>
        <v>0</v>
      </c>
      <c r="S143">
        <f>IF(OR($B$48="",$B$19=""),0,IF($E$48&gt;0,CHOOSE($D$48,$G$19,$L$19,$Q$19,$V$19)*$E$48/100,IFERROR((CHOOSE($D$48,$G$19,$L$19,$Q$19,$V$19)-CHOOSE($D$48,$G$19,$L$19,$Q$19,$V$19)*$G$48/100)/$H$48,0)))</f>
        <v>0</v>
      </c>
      <c r="T143">
        <f>IF(OR($B$48="",$B$20=""),0,IF($E$48&gt;0,CHOOSE($D$48,$G$20,$L$20,$Q$20,$V$20)*$E$48/100,IFERROR((CHOOSE($D$48,$G$20,$L$20,$Q$20,$V$20)-CHOOSE($D$48,$G$20,$L$20,$Q$20,$V$20)*$G$48/100)/$H$48,0)))</f>
        <v>0</v>
      </c>
      <c r="U143">
        <f>IF(OR($B$48="",$B$21=""),0,IF($E$48&gt;0,CHOOSE($D$48,$G$21,$L$21,$Q$21,$V$21)*$E$48/100,IFERROR((CHOOSE($D$48,$G$21,$L$21,$Q$21,$V$21)-CHOOSE($D$48,$G$21,$L$21,$Q$21,$V$21)*$G$48/100)/$H$48,0)))</f>
        <v>0</v>
      </c>
      <c r="V143">
        <f>IF(OR($B$48="",$B$22=""),0,IF($E$48&gt;0,CHOOSE($D$48,$G$22,$L$22,$Q$22,$V$22)*$E$48/100,IFERROR((CHOOSE($D$48,$G$22,$L$22,$Q$22,$V$22)-CHOOSE($D$48,$G$22,$L$22,$Q$22,$V$22)*$G$48/100)/$H$48,0)))</f>
        <v>0</v>
      </c>
    </row>
    <row r="144" spans="1:22" x14ac:dyDescent="0.3">
      <c r="A144">
        <v>11</v>
      </c>
      <c r="B144" t="str">
        <f t="shared" si="13"/>
        <v/>
      </c>
      <c r="C144">
        <f>IF(OR($B$49="",$B$3=""),0,IF($E$49&gt;0,CHOOSE($D$49,$G$3,$L$3,$Q$3,$V$3)*$E$49/100,IFERROR((CHOOSE($D$49,$G$3,$L$3,$Q$3,$V$3)-CHOOSE($D$49,$G$3,$L$3,$Q$3,$V$3)*$G$49/100)/$H$49,0)))</f>
        <v>0</v>
      </c>
      <c r="D144">
        <f>IF(OR($B$49="",$B$4=""),0,IF($E$49&gt;0,CHOOSE($D$49,$G$4,$L$4,$Q$4,$V$4)*$E$49/100,IFERROR((CHOOSE($D$49,$G$4,$L$4,$Q$4,$V$4)-CHOOSE($D$49,$G$4,$L$4,$Q$4,$V$4)*$G$49/100)/$H$49,0)))</f>
        <v>0</v>
      </c>
      <c r="E144">
        <f>IF(OR($B$49="",$B$5=""),0,IF($E$49&gt;0,CHOOSE($D$49,$G$5,$L$5,$Q$5,$V$5)*$E$49/100,IFERROR((CHOOSE($D$49,$G$5,$L$5,$Q$5,$V$5)-CHOOSE($D$49,$G$5,$L$5,$Q$5,$V$5)*$G$49/100)/$H$49,0)))</f>
        <v>0</v>
      </c>
      <c r="F144">
        <f>IF(OR($B$49="",$B$6=""),0,IF($E$49&gt;0,CHOOSE($D$49,$G$6,$L$6,$Q$6,$V$6)*$E$49/100,IFERROR((CHOOSE($D$49,$G$6,$L$6,$Q$6,$V$6)-CHOOSE($D$49,$G$6,$L$6,$Q$6,$V$6)*$G$49/100)/$H$49,0)))</f>
        <v>0</v>
      </c>
      <c r="G144">
        <f>IF(OR($B$49="",$B$7=""),0,IF($E$49&gt;0,CHOOSE($D$49,$G$7,$L$7,$Q$7,$V$7)*$E$49/100,IFERROR((CHOOSE($D$49,$G$7,$L$7,$Q$7,$V$7)-CHOOSE($D$49,$G$7,$L$7,$Q$7,$V$7)*$G$49/100)/$H$49,0)))</f>
        <v>0</v>
      </c>
      <c r="H144">
        <f>IF(OR($B$49="",$B$8=""),0,IF($E$49&gt;0,CHOOSE($D$49,$G$8,$L$8,$Q$8,$V$8)*$E$49/100,IFERROR((CHOOSE($D$49,$G$8,$L$8,$Q$8,$V$8)-CHOOSE($D$49,$G$8,$L$8,$Q$8,$V$8)*$G$49/100)/$H$49,0)))</f>
        <v>0</v>
      </c>
      <c r="I144">
        <f>IF(OR($B$49="",$B$9=""),0,IF($E$49&gt;0,CHOOSE($D$49,$G$9,$L$9,$Q$9,$V$9)*$E$49/100,IFERROR((CHOOSE($D$49,$G$9,$L$9,$Q$9,$V$9)-CHOOSE($D$49,$G$9,$L$9,$Q$9,$V$9)*$G$49/100)/$H$49,0)))</f>
        <v>0</v>
      </c>
      <c r="J144">
        <f>IF(OR($B$49="",$B$10=""),0,IF($E$49&gt;0,CHOOSE($D$49,$G$10,$L$10,$Q$10,$V$10)*$E$49/100,IFERROR((CHOOSE($D$49,$G$10,$L$10,$Q$10,$V$10)-CHOOSE($D$49,$G$10,$L$10,$Q$10,$V$10)*$G$49/100)/$H$49,0)))</f>
        <v>0</v>
      </c>
      <c r="K144">
        <f>IF(OR($B$49="",$B$11=""),0,IF($E$49&gt;0,CHOOSE($D$49,$G$11,$L$11,$Q$11,$V$11)*$E$49/100,IFERROR((CHOOSE($D$49,$G$11,$L$11,$Q$11,$V$11)-CHOOSE($D$49,$G$11,$L$11,$Q$11,$V$11)*$G$49/100)/$H$49,0)))</f>
        <v>0</v>
      </c>
      <c r="L144">
        <f>IF(OR($B$49="",$B$12=""),0,IF($E$49&gt;0,CHOOSE($D$49,$G$12,$L$12,$Q$12,$V$12)*$E$49/100,IFERROR((CHOOSE($D$49,$G$12,$L$12,$Q$12,$V$12)-CHOOSE($D$49,$G$12,$L$12,$Q$12,$V$12)*$G$49/100)/$H$49,0)))</f>
        <v>0</v>
      </c>
      <c r="M144">
        <f>IF(OR($B$49="",$B$13=""),0,IF($E$49&gt;0,CHOOSE($D$49,$G$13,$L$13,$Q$13,$V$13)*$E$49/100,IFERROR((CHOOSE($D$49,$G$13,$L$13,$Q$13,$V$13)-CHOOSE($D$49,$G$13,$L$13,$Q$13,$V$13)*$G$49/100)/$H$49,0)))</f>
        <v>0</v>
      </c>
      <c r="N144">
        <f>IF(OR($B$49="",$B$14=""),0,IF($E$49&gt;0,CHOOSE($D$49,$G$14,$L$14,$Q$14,$V$14)*$E$49/100,IFERROR((CHOOSE($D$49,$G$14,$L$14,$Q$14,$V$14)-CHOOSE($D$49,$G$14,$L$14,$Q$14,$V$14)*$G$49/100)/$H$49,0)))</f>
        <v>0</v>
      </c>
      <c r="O144">
        <f>IF(OR($B$49="",$B$15=""),0,IF($E$49&gt;0,CHOOSE($D$49,$G$15,$L$15,$Q$15,$V$15)*$E$49/100,IFERROR((CHOOSE($D$49,$G$15,$L$15,$Q$15,$V$15)-CHOOSE($D$49,$G$15,$L$15,$Q$15,$V$15)*$G$49/100)/$H$49,0)))</f>
        <v>0</v>
      </c>
      <c r="P144">
        <f>IF(OR($B$49="",$B$16=""),0,IF($E$49&gt;0,CHOOSE($D$49,$G$16,$L$16,$Q$16,$V$16)*$E$49/100,IFERROR((CHOOSE($D$49,$G$16,$L$16,$Q$16,$V$16)-CHOOSE($D$49,$G$16,$L$16,$Q$16,$V$16)*$G$49/100)/$H$49,0)))</f>
        <v>0</v>
      </c>
      <c r="Q144">
        <f>IF(OR($B$49="",$B$17=""),0,IF($E$49&gt;0,CHOOSE($D$49,$G$17,$L$17,$Q$17,$V$17)*$E$49/100,IFERROR((CHOOSE($D$49,$G$17,$L$17,$Q$17,$V$17)-CHOOSE($D$49,$G$17,$L$17,$Q$17,$V$17)*$G$49/100)/$H$49,0)))</f>
        <v>0</v>
      </c>
      <c r="R144">
        <f>IF(OR($B$49="",$B$18=""),0,IF($E$49&gt;0,CHOOSE($D$49,$G$18,$L$18,$Q$18,$V$18)*$E$49/100,IFERROR((CHOOSE($D$49,$G$18,$L$18,$Q$18,$V$18)-CHOOSE($D$49,$G$18,$L$18,$Q$18,$V$18)*$G$49/100)/$H$49,0)))</f>
        <v>0</v>
      </c>
      <c r="S144">
        <f>IF(OR($B$49="",$B$19=""),0,IF($E$49&gt;0,CHOOSE($D$49,$G$19,$L$19,$Q$19,$V$19)*$E$49/100,IFERROR((CHOOSE($D$49,$G$19,$L$19,$Q$19,$V$19)-CHOOSE($D$49,$G$19,$L$19,$Q$19,$V$19)*$G$49/100)/$H$49,0)))</f>
        <v>0</v>
      </c>
      <c r="T144">
        <f>IF(OR($B$49="",$B$20=""),0,IF($E$49&gt;0,CHOOSE($D$49,$G$20,$L$20,$Q$20,$V$20)*$E$49/100,IFERROR((CHOOSE($D$49,$G$20,$L$20,$Q$20,$V$20)-CHOOSE($D$49,$G$20,$L$20,$Q$20,$V$20)*$G$49/100)/$H$49,0)))</f>
        <v>0</v>
      </c>
      <c r="U144">
        <f>IF(OR($B$49="",$B$21=""),0,IF($E$49&gt;0,CHOOSE($D$49,$G$21,$L$21,$Q$21,$V$21)*$E$49/100,IFERROR((CHOOSE($D$49,$G$21,$L$21,$Q$21,$V$21)-CHOOSE($D$49,$G$21,$L$21,$Q$21,$V$21)*$G$49/100)/$H$49,0)))</f>
        <v>0</v>
      </c>
      <c r="V144">
        <f>IF(OR($B$49="",$B$22=""),0,IF($E$49&gt;0,CHOOSE($D$49,$G$22,$L$22,$Q$22,$V$22)*$E$49/100,IFERROR((CHOOSE($D$49,$G$22,$L$22,$Q$22,$V$22)-CHOOSE($D$49,$G$22,$L$22,$Q$22,$V$22)*$G$49/100)/$H$49,0)))</f>
        <v>0</v>
      </c>
    </row>
    <row r="145" spans="1:22" x14ac:dyDescent="0.3">
      <c r="A145">
        <v>12</v>
      </c>
      <c r="B145" t="str">
        <f t="shared" si="13"/>
        <v/>
      </c>
      <c r="C145">
        <f>IF(OR($B$50="",$B$3=""),0,IF($E$50&gt;0,CHOOSE($D$50,$G$3,$L$3,$Q$3,$V$3)*$E$50/100,IFERROR((CHOOSE($D$50,$G$3,$L$3,$Q$3,$V$3)-CHOOSE($D$50,$G$3,$L$3,$Q$3,$V$3)*$G$50/100)/$H$50,0)))</f>
        <v>0</v>
      </c>
      <c r="D145">
        <f>IF(OR($B$50="",$B$4=""),0,IF($E$50&gt;0,CHOOSE($D$50,$G$4,$L$4,$Q$4,$V$4)*$E$50/100,IFERROR((CHOOSE($D$50,$G$4,$L$4,$Q$4,$V$4)-CHOOSE($D$50,$G$4,$L$4,$Q$4,$V$4)*$G$50/100)/$H$50,0)))</f>
        <v>0</v>
      </c>
      <c r="E145">
        <f>IF(OR($B$50="",$B$5=""),0,IF($E$50&gt;0,CHOOSE($D$50,$G$5,$L$5,$Q$5,$V$5)*$E$50/100,IFERROR((CHOOSE($D$50,$G$5,$L$5,$Q$5,$V$5)-CHOOSE($D$50,$G$5,$L$5,$Q$5,$V$5)*$G$50/100)/$H$50,0)))</f>
        <v>0</v>
      </c>
      <c r="F145">
        <f>IF(OR($B$50="",$B$6=""),0,IF($E$50&gt;0,CHOOSE($D$50,$G$6,$L$6,$Q$6,$V$6)*$E$50/100,IFERROR((CHOOSE($D$50,$G$6,$L$6,$Q$6,$V$6)-CHOOSE($D$50,$G$6,$L$6,$Q$6,$V$6)*$G$50/100)/$H$50,0)))</f>
        <v>0</v>
      </c>
      <c r="G145">
        <f>IF(OR($B$50="",$B$7=""),0,IF($E$50&gt;0,CHOOSE($D$50,$G$7,$L$7,$Q$7,$V$7)*$E$50/100,IFERROR((CHOOSE($D$50,$G$7,$L$7,$Q$7,$V$7)-CHOOSE($D$50,$G$7,$L$7,$Q$7,$V$7)*$G$50/100)/$H$50,0)))</f>
        <v>0</v>
      </c>
      <c r="H145">
        <f>IF(OR($B$50="",$B$8=""),0,IF($E$50&gt;0,CHOOSE($D$50,$G$8,$L$8,$Q$8,$V$8)*$E$50/100,IFERROR((CHOOSE($D$50,$G$8,$L$8,$Q$8,$V$8)-CHOOSE($D$50,$G$8,$L$8,$Q$8,$V$8)*$G$50/100)/$H$50,0)))</f>
        <v>0</v>
      </c>
      <c r="I145">
        <f>IF(OR($B$50="",$B$9=""),0,IF($E$50&gt;0,CHOOSE($D$50,$G$9,$L$9,$Q$9,$V$9)*$E$50/100,IFERROR((CHOOSE($D$50,$G$9,$L$9,$Q$9,$V$9)-CHOOSE($D$50,$G$9,$L$9,$Q$9,$V$9)*$G$50/100)/$H$50,0)))</f>
        <v>0</v>
      </c>
      <c r="J145">
        <f>IF(OR($B$50="",$B$10=""),0,IF($E$50&gt;0,CHOOSE($D$50,$G$10,$L$10,$Q$10,$V$10)*$E$50/100,IFERROR((CHOOSE($D$50,$G$10,$L$10,$Q$10,$V$10)-CHOOSE($D$50,$G$10,$L$10,$Q$10,$V$10)*$G$50/100)/$H$50,0)))</f>
        <v>0</v>
      </c>
      <c r="K145">
        <f>IF(OR($B$50="",$B$11=""),0,IF($E$50&gt;0,CHOOSE($D$50,$G$11,$L$11,$Q$11,$V$11)*$E$50/100,IFERROR((CHOOSE($D$50,$G$11,$L$11,$Q$11,$V$11)-CHOOSE($D$50,$G$11,$L$11,$Q$11,$V$11)*$G$50/100)/$H$50,0)))</f>
        <v>0</v>
      </c>
      <c r="L145">
        <f>IF(OR($B$50="",$B$12=""),0,IF($E$50&gt;0,CHOOSE($D$50,$G$12,$L$12,$Q$12,$V$12)*$E$50/100,IFERROR((CHOOSE($D$50,$G$12,$L$12,$Q$12,$V$12)-CHOOSE($D$50,$G$12,$L$12,$Q$12,$V$12)*$G$50/100)/$H$50,0)))</f>
        <v>0</v>
      </c>
      <c r="M145">
        <f>IF(OR($B$50="",$B$13=""),0,IF($E$50&gt;0,CHOOSE($D$50,$G$13,$L$13,$Q$13,$V$13)*$E$50/100,IFERROR((CHOOSE($D$50,$G$13,$L$13,$Q$13,$V$13)-CHOOSE($D$50,$G$13,$L$13,$Q$13,$V$13)*$G$50/100)/$H$50,0)))</f>
        <v>0</v>
      </c>
      <c r="N145">
        <f>IF(OR($B$50="",$B$14=""),0,IF($E$50&gt;0,CHOOSE($D$50,$G$14,$L$14,$Q$14,$V$14)*$E$50/100,IFERROR((CHOOSE($D$50,$G$14,$L$14,$Q$14,$V$14)-CHOOSE($D$50,$G$14,$L$14,$Q$14,$V$14)*$G$50/100)/$H$50,0)))</f>
        <v>0</v>
      </c>
      <c r="O145">
        <f>IF(OR($B$50="",$B$15=""),0,IF($E$50&gt;0,CHOOSE($D$50,$G$15,$L$15,$Q$15,$V$15)*$E$50/100,IFERROR((CHOOSE($D$50,$G$15,$L$15,$Q$15,$V$15)-CHOOSE($D$50,$G$15,$L$15,$Q$15,$V$15)*$G$50/100)/$H$50,0)))</f>
        <v>0</v>
      </c>
      <c r="P145">
        <f>IF(OR($B$50="",$B$16=""),0,IF($E$50&gt;0,CHOOSE($D$50,$G$16,$L$16,$Q$16,$V$16)*$E$50/100,IFERROR((CHOOSE($D$50,$G$16,$L$16,$Q$16,$V$16)-CHOOSE($D$50,$G$16,$L$16,$Q$16,$V$16)*$G$50/100)/$H$50,0)))</f>
        <v>0</v>
      </c>
      <c r="Q145">
        <f>IF(OR($B$50="",$B$17=""),0,IF($E$50&gt;0,CHOOSE($D$50,$G$17,$L$17,$Q$17,$V$17)*$E$50/100,IFERROR((CHOOSE($D$50,$G$17,$L$17,$Q$17,$V$17)-CHOOSE($D$50,$G$17,$L$17,$Q$17,$V$17)*$G$50/100)/$H$50,0)))</f>
        <v>0</v>
      </c>
      <c r="R145">
        <f>IF(OR($B$50="",$B$18=""),0,IF($E$50&gt;0,CHOOSE($D$50,$G$18,$L$18,$Q$18,$V$18)*$E$50/100,IFERROR((CHOOSE($D$50,$G$18,$L$18,$Q$18,$V$18)-CHOOSE($D$50,$G$18,$L$18,$Q$18,$V$18)*$G$50/100)/$H$50,0)))</f>
        <v>0</v>
      </c>
      <c r="S145">
        <f>IF(OR($B$50="",$B$19=""),0,IF($E$50&gt;0,CHOOSE($D$50,$G$19,$L$19,$Q$19,$V$19)*$E$50/100,IFERROR((CHOOSE($D$50,$G$19,$L$19,$Q$19,$V$19)-CHOOSE($D$50,$G$19,$L$19,$Q$19,$V$19)*$G$50/100)/$H$50,0)))</f>
        <v>0</v>
      </c>
      <c r="T145">
        <f>IF(OR($B$50="",$B$20=""),0,IF($E$50&gt;0,CHOOSE($D$50,$G$20,$L$20,$Q$20,$V$20)*$E$50/100,IFERROR((CHOOSE($D$50,$G$20,$L$20,$Q$20,$V$20)-CHOOSE($D$50,$G$20,$L$20,$Q$20,$V$20)*$G$50/100)/$H$50,0)))</f>
        <v>0</v>
      </c>
      <c r="U145">
        <f>IF(OR($B$50="",$B$21=""),0,IF($E$50&gt;0,CHOOSE($D$50,$G$21,$L$21,$Q$21,$V$21)*$E$50/100,IFERROR((CHOOSE($D$50,$G$21,$L$21,$Q$21,$V$21)-CHOOSE($D$50,$G$21,$L$21,$Q$21,$V$21)*$G$50/100)/$H$50,0)))</f>
        <v>0</v>
      </c>
      <c r="V145">
        <f>IF(OR($B$50="",$B$22=""),0,IF($E$50&gt;0,CHOOSE($D$50,$G$22,$L$22,$Q$22,$V$22)*$E$50/100,IFERROR((CHOOSE($D$50,$G$22,$L$22,$Q$22,$V$22)-CHOOSE($D$50,$G$22,$L$22,$Q$22,$V$22)*$G$50/100)/$H$50,0)))</f>
        <v>0</v>
      </c>
    </row>
    <row r="146" spans="1:22" x14ac:dyDescent="0.3">
      <c r="A146">
        <v>13</v>
      </c>
      <c r="B146" t="str">
        <f t="shared" si="13"/>
        <v/>
      </c>
      <c r="C146">
        <f>IF(OR($B$51="",$B$3=""),0,IF($E$51&gt;0,CHOOSE($D$51,$G$3,$L$3,$Q$3,$V$3)*$E$51/100,IFERROR((CHOOSE($D$51,$G$3,$L$3,$Q$3,$V$3)-CHOOSE($D$51,$G$3,$L$3,$Q$3,$V$3)*$G$51/100)/$H$51,0)))</f>
        <v>0</v>
      </c>
      <c r="D146">
        <f>IF(OR($B$51="",$B$4=""),0,IF($E$51&gt;0,CHOOSE($D$51,$G$4,$L$4,$Q$4,$V$4)*$E$51/100,IFERROR((CHOOSE($D$51,$G$4,$L$4,$Q$4,$V$4)-CHOOSE($D$51,$G$4,$L$4,$Q$4,$V$4)*$G$51/100)/$H$51,0)))</f>
        <v>0</v>
      </c>
      <c r="E146">
        <f>IF(OR($B$51="",$B$5=""),0,IF($E$51&gt;0,CHOOSE($D$51,$G$5,$L$5,$Q$5,$V$5)*$E$51/100,IFERROR((CHOOSE($D$51,$G$5,$L$5,$Q$5,$V$5)-CHOOSE($D$51,$G$5,$L$5,$Q$5,$V$5)*$G$51/100)/$H$51,0)))</f>
        <v>0</v>
      </c>
      <c r="F146">
        <f>IF(OR($B$51="",$B$6=""),0,IF($E$51&gt;0,CHOOSE($D$51,$G$6,$L$6,$Q$6,$V$6)*$E$51/100,IFERROR((CHOOSE($D$51,$G$6,$L$6,$Q$6,$V$6)-CHOOSE($D$51,$G$6,$L$6,$Q$6,$V$6)*$G$51/100)/$H$51,0)))</f>
        <v>0</v>
      </c>
      <c r="G146">
        <f>IF(OR($B$51="",$B$7=""),0,IF($E$51&gt;0,CHOOSE($D$51,$G$7,$L$7,$Q$7,$V$7)*$E$51/100,IFERROR((CHOOSE($D$51,$G$7,$L$7,$Q$7,$V$7)-CHOOSE($D$51,$G$7,$L$7,$Q$7,$V$7)*$G$51/100)/$H$51,0)))</f>
        <v>0</v>
      </c>
      <c r="H146">
        <f>IF(OR($B$51="",$B$8=""),0,IF($E$51&gt;0,CHOOSE($D$51,$G$8,$L$8,$Q$8,$V$8)*$E$51/100,IFERROR((CHOOSE($D$51,$G$8,$L$8,$Q$8,$V$8)-CHOOSE($D$51,$G$8,$L$8,$Q$8,$V$8)*$G$51/100)/$H$51,0)))</f>
        <v>0</v>
      </c>
      <c r="I146">
        <f>IF(OR($B$51="",$B$9=""),0,IF($E$51&gt;0,CHOOSE($D$51,$G$9,$L$9,$Q$9,$V$9)*$E$51/100,IFERROR((CHOOSE($D$51,$G$9,$L$9,$Q$9,$V$9)-CHOOSE($D$51,$G$9,$L$9,$Q$9,$V$9)*$G$51/100)/$H$51,0)))</f>
        <v>0</v>
      </c>
      <c r="J146">
        <f>IF(OR($B$51="",$B$10=""),0,IF($E$51&gt;0,CHOOSE($D$51,$G$10,$L$10,$Q$10,$V$10)*$E$51/100,IFERROR((CHOOSE($D$51,$G$10,$L$10,$Q$10,$V$10)-CHOOSE($D$51,$G$10,$L$10,$Q$10,$V$10)*$G$51/100)/$H$51,0)))</f>
        <v>0</v>
      </c>
      <c r="K146">
        <f>IF(OR($B$51="",$B$11=""),0,IF($E$51&gt;0,CHOOSE($D$51,$G$11,$L$11,$Q$11,$V$11)*$E$51/100,IFERROR((CHOOSE($D$51,$G$11,$L$11,$Q$11,$V$11)-CHOOSE($D$51,$G$11,$L$11,$Q$11,$V$11)*$G$51/100)/$H$51,0)))</f>
        <v>0</v>
      </c>
      <c r="L146">
        <f>IF(OR($B$51="",$B$12=""),0,IF($E$51&gt;0,CHOOSE($D$51,$G$12,$L$12,$Q$12,$V$12)*$E$51/100,IFERROR((CHOOSE($D$51,$G$12,$L$12,$Q$12,$V$12)-CHOOSE($D$51,$G$12,$L$12,$Q$12,$V$12)*$G$51/100)/$H$51,0)))</f>
        <v>0</v>
      </c>
      <c r="M146">
        <f>IF(OR($B$51="",$B$13=""),0,IF($E$51&gt;0,CHOOSE($D$51,$G$13,$L$13,$Q$13,$V$13)*$E$51/100,IFERROR((CHOOSE($D$51,$G$13,$L$13,$Q$13,$V$13)-CHOOSE($D$51,$G$13,$L$13,$Q$13,$V$13)*$G$51/100)/$H$51,0)))</f>
        <v>0</v>
      </c>
      <c r="N146">
        <f>IF(OR($B$51="",$B$14=""),0,IF($E$51&gt;0,CHOOSE($D$51,$G$14,$L$14,$Q$14,$V$14)*$E$51/100,IFERROR((CHOOSE($D$51,$G$14,$L$14,$Q$14,$V$14)-CHOOSE($D$51,$G$14,$L$14,$Q$14,$V$14)*$G$51/100)/$H$51,0)))</f>
        <v>0</v>
      </c>
      <c r="O146">
        <f>IF(OR($B$51="",$B$15=""),0,IF($E$51&gt;0,CHOOSE($D$51,$G$15,$L$15,$Q$15,$V$15)*$E$51/100,IFERROR((CHOOSE($D$51,$G$15,$L$15,$Q$15,$V$15)-CHOOSE($D$51,$G$15,$L$15,$Q$15,$V$15)*$G$51/100)/$H$51,0)))</f>
        <v>0</v>
      </c>
      <c r="P146">
        <f>IF(OR($B$51="",$B$16=""),0,IF($E$51&gt;0,CHOOSE($D$51,$G$16,$L$16,$Q$16,$V$16)*$E$51/100,IFERROR((CHOOSE($D$51,$G$16,$L$16,$Q$16,$V$16)-CHOOSE($D$51,$G$16,$L$16,$Q$16,$V$16)*$G$51/100)/$H$51,0)))</f>
        <v>0</v>
      </c>
      <c r="Q146">
        <f>IF(OR($B$51="",$B$17=""),0,IF($E$51&gt;0,CHOOSE($D$51,$G$17,$L$17,$Q$17,$V$17)*$E$51/100,IFERROR((CHOOSE($D$51,$G$17,$L$17,$Q$17,$V$17)-CHOOSE($D$51,$G$17,$L$17,$Q$17,$V$17)*$G$51/100)/$H$51,0)))</f>
        <v>0</v>
      </c>
      <c r="R146">
        <f>IF(OR($B$51="",$B$18=""),0,IF($E$51&gt;0,CHOOSE($D$51,$G$18,$L$18,$Q$18,$V$18)*$E$51/100,IFERROR((CHOOSE($D$51,$G$18,$L$18,$Q$18,$V$18)-CHOOSE($D$51,$G$18,$L$18,$Q$18,$V$18)*$G$51/100)/$H$51,0)))</f>
        <v>0</v>
      </c>
      <c r="S146">
        <f>IF(OR($B$51="",$B$19=""),0,IF($E$51&gt;0,CHOOSE($D$51,$G$19,$L$19,$Q$19,$V$19)*$E$51/100,IFERROR((CHOOSE($D$51,$G$19,$L$19,$Q$19,$V$19)-CHOOSE($D$51,$G$19,$L$19,$Q$19,$V$19)*$G$51/100)/$H$51,0)))</f>
        <v>0</v>
      </c>
      <c r="T146">
        <f>IF(OR($B$51="",$B$20=""),0,IF($E$51&gt;0,CHOOSE($D$51,$G$20,$L$20,$Q$20,$V$20)*$E$51/100,IFERROR((CHOOSE($D$51,$G$20,$L$20,$Q$20,$V$20)-CHOOSE($D$51,$G$20,$L$20,$Q$20,$V$20)*$G$51/100)/$H$51,0)))</f>
        <v>0</v>
      </c>
      <c r="U146">
        <f>IF(OR($B$51="",$B$21=""),0,IF($E$51&gt;0,CHOOSE($D$51,$G$21,$L$21,$Q$21,$V$21)*$E$51/100,IFERROR((CHOOSE($D$51,$G$21,$L$21,$Q$21,$V$21)-CHOOSE($D$51,$G$21,$L$21,$Q$21,$V$21)*$G$51/100)/$H$51,0)))</f>
        <v>0</v>
      </c>
      <c r="V146">
        <f>IF(OR($B$51="",$B$22=""),0,IF($E$51&gt;0,CHOOSE($D$51,$G$22,$L$22,$Q$22,$V$22)*$E$51/100,IFERROR((CHOOSE($D$51,$G$22,$L$22,$Q$22,$V$22)-CHOOSE($D$51,$G$22,$L$22,$Q$22,$V$22)*$G$51/100)/$H$51,0)))</f>
        <v>0</v>
      </c>
    </row>
    <row r="147" spans="1:22" x14ac:dyDescent="0.3">
      <c r="A147">
        <v>14</v>
      </c>
      <c r="B147" t="str">
        <f t="shared" si="13"/>
        <v/>
      </c>
      <c r="C147">
        <f>IF(OR($B$52="",$B$3=""),0,IF($E$52&gt;0,CHOOSE($D$52,$G$3,$L$3,$Q$3,$V$3)*$E$52/100,IFERROR((CHOOSE($D$52,$G$3,$L$3,$Q$3,$V$3)-CHOOSE($D$52,$G$3,$L$3,$Q$3,$V$3)*$G$52/100)/$H$52,0)))</f>
        <v>0</v>
      </c>
      <c r="D147">
        <f>IF(OR($B$52="",$B$4=""),0,IF($E$52&gt;0,CHOOSE($D$52,$G$4,$L$4,$Q$4,$V$4)*$E$52/100,IFERROR((CHOOSE($D$52,$G$4,$L$4,$Q$4,$V$4)-CHOOSE($D$52,$G$4,$L$4,$Q$4,$V$4)*$G$52/100)/$H$52,0)))</f>
        <v>0</v>
      </c>
      <c r="E147">
        <f>IF(OR($B$52="",$B$5=""),0,IF($E$52&gt;0,CHOOSE($D$52,$G$5,$L$5,$Q$5,$V$5)*$E$52/100,IFERROR((CHOOSE($D$52,$G$5,$L$5,$Q$5,$V$5)-CHOOSE($D$52,$G$5,$L$5,$Q$5,$V$5)*$G$52/100)/$H$52,0)))</f>
        <v>0</v>
      </c>
      <c r="F147">
        <f>IF(OR($B$52="",$B$6=""),0,IF($E$52&gt;0,CHOOSE($D$52,$G$6,$L$6,$Q$6,$V$6)*$E$52/100,IFERROR((CHOOSE($D$52,$G$6,$L$6,$Q$6,$V$6)-CHOOSE($D$52,$G$6,$L$6,$Q$6,$V$6)*$G$52/100)/$H$52,0)))</f>
        <v>0</v>
      </c>
      <c r="G147">
        <f>IF(OR($B$52="",$B$7=""),0,IF($E$52&gt;0,CHOOSE($D$52,$G$7,$L$7,$Q$7,$V$7)*$E$52/100,IFERROR((CHOOSE($D$52,$G$7,$L$7,$Q$7,$V$7)-CHOOSE($D$52,$G$7,$L$7,$Q$7,$V$7)*$G$52/100)/$H$52,0)))</f>
        <v>0</v>
      </c>
      <c r="H147">
        <f>IF(OR($B$52="",$B$8=""),0,IF($E$52&gt;0,CHOOSE($D$52,$G$8,$L$8,$Q$8,$V$8)*$E$52/100,IFERROR((CHOOSE($D$52,$G$8,$L$8,$Q$8,$V$8)-CHOOSE($D$52,$G$8,$L$8,$Q$8,$V$8)*$G$52/100)/$H$52,0)))</f>
        <v>0</v>
      </c>
      <c r="I147">
        <f>IF(OR($B$52="",$B$9=""),0,IF($E$52&gt;0,CHOOSE($D$52,$G$9,$L$9,$Q$9,$V$9)*$E$52/100,IFERROR((CHOOSE($D$52,$G$9,$L$9,$Q$9,$V$9)-CHOOSE($D$52,$G$9,$L$9,$Q$9,$V$9)*$G$52/100)/$H$52,0)))</f>
        <v>0</v>
      </c>
      <c r="J147">
        <f>IF(OR($B$52="",$B$10=""),0,IF($E$52&gt;0,CHOOSE($D$52,$G$10,$L$10,$Q$10,$V$10)*$E$52/100,IFERROR((CHOOSE($D$52,$G$10,$L$10,$Q$10,$V$10)-CHOOSE($D$52,$G$10,$L$10,$Q$10,$V$10)*$G$52/100)/$H$52,0)))</f>
        <v>0</v>
      </c>
      <c r="K147">
        <f>IF(OR($B$52="",$B$11=""),0,IF($E$52&gt;0,CHOOSE($D$52,$G$11,$L$11,$Q$11,$V$11)*$E$52/100,IFERROR((CHOOSE($D$52,$G$11,$L$11,$Q$11,$V$11)-CHOOSE($D$52,$G$11,$L$11,$Q$11,$V$11)*$G$52/100)/$H$52,0)))</f>
        <v>0</v>
      </c>
      <c r="L147">
        <f>IF(OR($B$52="",$B$12=""),0,IF($E$52&gt;0,CHOOSE($D$52,$G$12,$L$12,$Q$12,$V$12)*$E$52/100,IFERROR((CHOOSE($D$52,$G$12,$L$12,$Q$12,$V$12)-CHOOSE($D$52,$G$12,$L$12,$Q$12,$V$12)*$G$52/100)/$H$52,0)))</f>
        <v>0</v>
      </c>
      <c r="M147">
        <f>IF(OR($B$52="",$B$13=""),0,IF($E$52&gt;0,CHOOSE($D$52,$G$13,$L$13,$Q$13,$V$13)*$E$52/100,IFERROR((CHOOSE($D$52,$G$13,$L$13,$Q$13,$V$13)-CHOOSE($D$52,$G$13,$L$13,$Q$13,$V$13)*$G$52/100)/$H$52,0)))</f>
        <v>0</v>
      </c>
      <c r="N147">
        <f>IF(OR($B$52="",$B$14=""),0,IF($E$52&gt;0,CHOOSE($D$52,$G$14,$L$14,$Q$14,$V$14)*$E$52/100,IFERROR((CHOOSE($D$52,$G$14,$L$14,$Q$14,$V$14)-CHOOSE($D$52,$G$14,$L$14,$Q$14,$V$14)*$G$52/100)/$H$52,0)))</f>
        <v>0</v>
      </c>
      <c r="O147">
        <f>IF(OR($B$52="",$B$15=""),0,IF($E$52&gt;0,CHOOSE($D$52,$G$15,$L$15,$Q$15,$V$15)*$E$52/100,IFERROR((CHOOSE($D$52,$G$15,$L$15,$Q$15,$V$15)-CHOOSE($D$52,$G$15,$L$15,$Q$15,$V$15)*$G$52/100)/$H$52,0)))</f>
        <v>0</v>
      </c>
      <c r="P147">
        <f>IF(OR($B$52="",$B$16=""),0,IF($E$52&gt;0,CHOOSE($D$52,$G$16,$L$16,$Q$16,$V$16)*$E$52/100,IFERROR((CHOOSE($D$52,$G$16,$L$16,$Q$16,$V$16)-CHOOSE($D$52,$G$16,$L$16,$Q$16,$V$16)*$G$52/100)/$H$52,0)))</f>
        <v>0</v>
      </c>
      <c r="Q147">
        <f>IF(OR($B$52="",$B$17=""),0,IF($E$52&gt;0,CHOOSE($D$52,$G$17,$L$17,$Q$17,$V$17)*$E$52/100,IFERROR((CHOOSE($D$52,$G$17,$L$17,$Q$17,$V$17)-CHOOSE($D$52,$G$17,$L$17,$Q$17,$V$17)*$G$52/100)/$H$52,0)))</f>
        <v>0</v>
      </c>
      <c r="R147">
        <f>IF(OR($B$52="",$B$18=""),0,IF($E$52&gt;0,CHOOSE($D$52,$G$18,$L$18,$Q$18,$V$18)*$E$52/100,IFERROR((CHOOSE($D$52,$G$18,$L$18,$Q$18,$V$18)-CHOOSE($D$52,$G$18,$L$18,$Q$18,$V$18)*$G$52/100)/$H$52,0)))</f>
        <v>0</v>
      </c>
      <c r="S147">
        <f>IF(OR($B$52="",$B$19=""),0,IF($E$52&gt;0,CHOOSE($D$52,$G$19,$L$19,$Q$19,$V$19)*$E$52/100,IFERROR((CHOOSE($D$52,$G$19,$L$19,$Q$19,$V$19)-CHOOSE($D$52,$G$19,$L$19,$Q$19,$V$19)*$G$52/100)/$H$52,0)))</f>
        <v>0</v>
      </c>
      <c r="T147">
        <f>IF(OR($B$52="",$B$20=""),0,IF($E$52&gt;0,CHOOSE($D$52,$G$20,$L$20,$Q$20,$V$20)*$E$52/100,IFERROR((CHOOSE($D$52,$G$20,$L$20,$Q$20,$V$20)-CHOOSE($D$52,$G$20,$L$20,$Q$20,$V$20)*$G$52/100)/$H$52,0)))</f>
        <v>0</v>
      </c>
      <c r="U147">
        <f>IF(OR($B$52="",$B$21=""),0,IF($E$52&gt;0,CHOOSE($D$52,$G$21,$L$21,$Q$21,$V$21)*$E$52/100,IFERROR((CHOOSE($D$52,$G$21,$L$21,$Q$21,$V$21)-CHOOSE($D$52,$G$21,$L$21,$Q$21,$V$21)*$G$52/100)/$H$52,0)))</f>
        <v>0</v>
      </c>
      <c r="V147">
        <f>IF(OR($B$52="",$B$22=""),0,IF($E$52&gt;0,CHOOSE($D$52,$G$22,$L$22,$Q$22,$V$22)*$E$52/100,IFERROR((CHOOSE($D$52,$G$22,$L$22,$Q$22,$V$22)-CHOOSE($D$52,$G$22,$L$22,$Q$22,$V$22)*$G$52/100)/$H$52,0)))</f>
        <v>0</v>
      </c>
    </row>
    <row r="148" spans="1:22" x14ac:dyDescent="0.3">
      <c r="A148">
        <v>15</v>
      </c>
      <c r="B148" t="str">
        <f t="shared" si="13"/>
        <v/>
      </c>
      <c r="C148">
        <f>IF(OR($B$53="",$B$3=""),0,IF($E$53&gt;0,CHOOSE($D$53,$G$3,$L$3,$Q$3,$V$3)*$E$53/100,IFERROR((CHOOSE($D$53,$G$3,$L$3,$Q$3,$V$3)-CHOOSE($D$53,$G$3,$L$3,$Q$3,$V$3)*$G$53/100)/$H$53,0)))</f>
        <v>0</v>
      </c>
      <c r="D148">
        <f>IF(OR($B$53="",$B$4=""),0,IF($E$53&gt;0,CHOOSE($D$53,$G$4,$L$4,$Q$4,$V$4)*$E$53/100,IFERROR((CHOOSE($D$53,$G$4,$L$4,$Q$4,$V$4)-CHOOSE($D$53,$G$4,$L$4,$Q$4,$V$4)*$G$53/100)/$H$53,0)))</f>
        <v>0</v>
      </c>
      <c r="E148">
        <f>IF(OR($B$53="",$B$5=""),0,IF($E$53&gt;0,CHOOSE($D$53,$G$5,$L$5,$Q$5,$V$5)*$E$53/100,IFERROR((CHOOSE($D$53,$G$5,$L$5,$Q$5,$V$5)-CHOOSE($D$53,$G$5,$L$5,$Q$5,$V$5)*$G$53/100)/$H$53,0)))</f>
        <v>0</v>
      </c>
      <c r="F148">
        <f>IF(OR($B$53="",$B$6=""),0,IF($E$53&gt;0,CHOOSE($D$53,$G$6,$L$6,$Q$6,$V$6)*$E$53/100,IFERROR((CHOOSE($D$53,$G$6,$L$6,$Q$6,$V$6)-CHOOSE($D$53,$G$6,$L$6,$Q$6,$V$6)*$G$53/100)/$H$53,0)))</f>
        <v>0</v>
      </c>
      <c r="G148">
        <f>IF(OR($B$53="",$B$7=""),0,IF($E$53&gt;0,CHOOSE($D$53,$G$7,$L$7,$Q$7,$V$7)*$E$53/100,IFERROR((CHOOSE($D$53,$G$7,$L$7,$Q$7,$V$7)-CHOOSE($D$53,$G$7,$L$7,$Q$7,$V$7)*$G$53/100)/$H$53,0)))</f>
        <v>0</v>
      </c>
      <c r="H148">
        <f>IF(OR($B$53="",$B$8=""),0,IF($E$53&gt;0,CHOOSE($D$53,$G$8,$L$8,$Q$8,$V$8)*$E$53/100,IFERROR((CHOOSE($D$53,$G$8,$L$8,$Q$8,$V$8)-CHOOSE($D$53,$G$8,$L$8,$Q$8,$V$8)*$G$53/100)/$H$53,0)))</f>
        <v>0</v>
      </c>
      <c r="I148">
        <f>IF(OR($B$53="",$B$9=""),0,IF($E$53&gt;0,CHOOSE($D$53,$G$9,$L$9,$Q$9,$V$9)*$E$53/100,IFERROR((CHOOSE($D$53,$G$9,$L$9,$Q$9,$V$9)-CHOOSE($D$53,$G$9,$L$9,$Q$9,$V$9)*$G$53/100)/$H$53,0)))</f>
        <v>0</v>
      </c>
      <c r="J148">
        <f>IF(OR($B$53="",$B$10=""),0,IF($E$53&gt;0,CHOOSE($D$53,$G$10,$L$10,$Q$10,$V$10)*$E$53/100,IFERROR((CHOOSE($D$53,$G$10,$L$10,$Q$10,$V$10)-CHOOSE($D$53,$G$10,$L$10,$Q$10,$V$10)*$G$53/100)/$H$53,0)))</f>
        <v>0</v>
      </c>
      <c r="K148">
        <f>IF(OR($B$53="",$B$11=""),0,IF($E$53&gt;0,CHOOSE($D$53,$G$11,$L$11,$Q$11,$V$11)*$E$53/100,IFERROR((CHOOSE($D$53,$G$11,$L$11,$Q$11,$V$11)-CHOOSE($D$53,$G$11,$L$11,$Q$11,$V$11)*$G$53/100)/$H$53,0)))</f>
        <v>0</v>
      </c>
      <c r="L148">
        <f>IF(OR($B$53="",$B$12=""),0,IF($E$53&gt;0,CHOOSE($D$53,$G$12,$L$12,$Q$12,$V$12)*$E$53/100,IFERROR((CHOOSE($D$53,$G$12,$L$12,$Q$12,$V$12)-CHOOSE($D$53,$G$12,$L$12,$Q$12,$V$12)*$G$53/100)/$H$53,0)))</f>
        <v>0</v>
      </c>
      <c r="M148">
        <f>IF(OR($B$53="",$B$13=""),0,IF($E$53&gt;0,CHOOSE($D$53,$G$13,$L$13,$Q$13,$V$13)*$E$53/100,IFERROR((CHOOSE($D$53,$G$13,$L$13,$Q$13,$V$13)-CHOOSE($D$53,$G$13,$L$13,$Q$13,$V$13)*$G$53/100)/$H$53,0)))</f>
        <v>0</v>
      </c>
      <c r="N148">
        <f>IF(OR($B$53="",$B$14=""),0,IF($E$53&gt;0,CHOOSE($D$53,$G$14,$L$14,$Q$14,$V$14)*$E$53/100,IFERROR((CHOOSE($D$53,$G$14,$L$14,$Q$14,$V$14)-CHOOSE($D$53,$G$14,$L$14,$Q$14,$V$14)*$G$53/100)/$H$53,0)))</f>
        <v>0</v>
      </c>
      <c r="O148">
        <f>IF(OR($B$53="",$B$15=""),0,IF($E$53&gt;0,CHOOSE($D$53,$G$15,$L$15,$Q$15,$V$15)*$E$53/100,IFERROR((CHOOSE($D$53,$G$15,$L$15,$Q$15,$V$15)-CHOOSE($D$53,$G$15,$L$15,$Q$15,$V$15)*$G$53/100)/$H$53,0)))</f>
        <v>0</v>
      </c>
      <c r="P148">
        <f>IF(OR($B$53="",$B$16=""),0,IF($E$53&gt;0,CHOOSE($D$53,$G$16,$L$16,$Q$16,$V$16)*$E$53/100,IFERROR((CHOOSE($D$53,$G$16,$L$16,$Q$16,$V$16)-CHOOSE($D$53,$G$16,$L$16,$Q$16,$V$16)*$G$53/100)/$H$53,0)))</f>
        <v>0</v>
      </c>
      <c r="Q148">
        <f>IF(OR($B$53="",$B$17=""),0,IF($E$53&gt;0,CHOOSE($D$53,$G$17,$L$17,$Q$17,$V$17)*$E$53/100,IFERROR((CHOOSE($D$53,$G$17,$L$17,$Q$17,$V$17)-CHOOSE($D$53,$G$17,$L$17,$Q$17,$V$17)*$G$53/100)/$H$53,0)))</f>
        <v>0</v>
      </c>
      <c r="R148">
        <f>IF(OR($B$53="",$B$18=""),0,IF($E$53&gt;0,CHOOSE($D$53,$G$18,$L$18,$Q$18,$V$18)*$E$53/100,IFERROR((CHOOSE($D$53,$G$18,$L$18,$Q$18,$V$18)-CHOOSE($D$53,$G$18,$L$18,$Q$18,$V$18)*$G$53/100)/$H$53,0)))</f>
        <v>0</v>
      </c>
      <c r="S148">
        <f>IF(OR($B$53="",$B$19=""),0,IF($E$53&gt;0,CHOOSE($D$53,$G$19,$L$19,$Q$19,$V$19)*$E$53/100,IFERROR((CHOOSE($D$53,$G$19,$L$19,$Q$19,$V$19)-CHOOSE($D$53,$G$19,$L$19,$Q$19,$V$19)*$G$53/100)/$H$53,0)))</f>
        <v>0</v>
      </c>
      <c r="T148">
        <f>IF(OR($B$53="",$B$20=""),0,IF($E$53&gt;0,CHOOSE($D$53,$G$20,$L$20,$Q$20,$V$20)*$E$53/100,IFERROR((CHOOSE($D$53,$G$20,$L$20,$Q$20,$V$20)-CHOOSE($D$53,$G$20,$L$20,$Q$20,$V$20)*$G$53/100)/$H$53,0)))</f>
        <v>0</v>
      </c>
      <c r="U148">
        <f>IF(OR($B$53="",$B$21=""),0,IF($E$53&gt;0,CHOOSE($D$53,$G$21,$L$21,$Q$21,$V$21)*$E$53/100,IFERROR((CHOOSE($D$53,$G$21,$L$21,$Q$21,$V$21)-CHOOSE($D$53,$G$21,$L$21,$Q$21,$V$21)*$G$53/100)/$H$53,0)))</f>
        <v>0</v>
      </c>
      <c r="V148">
        <f>IF(OR($B$53="",$B$22=""),0,IF($E$53&gt;0,CHOOSE($D$53,$G$22,$L$22,$Q$22,$V$22)*$E$53/100,IFERROR((CHOOSE($D$53,$G$22,$L$22,$Q$22,$V$22)-CHOOSE($D$53,$G$22,$L$22,$Q$22,$V$22)*$G$53/100)/$H$53,0)))</f>
        <v>0</v>
      </c>
    </row>
    <row r="149" spans="1:22" x14ac:dyDescent="0.3">
      <c r="A149">
        <v>16</v>
      </c>
      <c r="B149" t="str">
        <f t="shared" si="13"/>
        <v/>
      </c>
      <c r="C149">
        <f>IF(OR($B$54="",$B$3=""),0,IF($E$54&gt;0,CHOOSE($D$54,$G$3,$L$3,$Q$3,$V$3)*$E$54/100,IFERROR((CHOOSE($D$54,$G$3,$L$3,$Q$3,$V$3)-CHOOSE($D$54,$G$3,$L$3,$Q$3,$V$3)*$G$54/100)/$H$54,0)))</f>
        <v>0</v>
      </c>
      <c r="D149">
        <f>IF(OR($B$54="",$B$4=""),0,IF($E$54&gt;0,CHOOSE($D$54,$G$4,$L$4,$Q$4,$V$4)*$E$54/100,IFERROR((CHOOSE($D$54,$G$4,$L$4,$Q$4,$V$4)-CHOOSE($D$54,$G$4,$L$4,$Q$4,$V$4)*$G$54/100)/$H$54,0)))</f>
        <v>0</v>
      </c>
      <c r="E149">
        <f>IF(OR($B$54="",$B$5=""),0,IF($E$54&gt;0,CHOOSE($D$54,$G$5,$L$5,$Q$5,$V$5)*$E$54/100,IFERROR((CHOOSE($D$54,$G$5,$L$5,$Q$5,$V$5)-CHOOSE($D$54,$G$5,$L$5,$Q$5,$V$5)*$G$54/100)/$H$54,0)))</f>
        <v>0</v>
      </c>
      <c r="F149">
        <f>IF(OR($B$54="",$B$6=""),0,IF($E$54&gt;0,CHOOSE($D$54,$G$6,$L$6,$Q$6,$V$6)*$E$54/100,IFERROR((CHOOSE($D$54,$G$6,$L$6,$Q$6,$V$6)-CHOOSE($D$54,$G$6,$L$6,$Q$6,$V$6)*$G$54/100)/$H$54,0)))</f>
        <v>0</v>
      </c>
      <c r="G149">
        <f>IF(OR($B$54="",$B$7=""),0,IF($E$54&gt;0,CHOOSE($D$54,$G$7,$L$7,$Q$7,$V$7)*$E$54/100,IFERROR((CHOOSE($D$54,$G$7,$L$7,$Q$7,$V$7)-CHOOSE($D$54,$G$7,$L$7,$Q$7,$V$7)*$G$54/100)/$H$54,0)))</f>
        <v>0</v>
      </c>
      <c r="H149">
        <f>IF(OR($B$54="",$B$8=""),0,IF($E$54&gt;0,CHOOSE($D$54,$G$8,$L$8,$Q$8,$V$8)*$E$54/100,IFERROR((CHOOSE($D$54,$G$8,$L$8,$Q$8,$V$8)-CHOOSE($D$54,$G$8,$L$8,$Q$8,$V$8)*$G$54/100)/$H$54,0)))</f>
        <v>0</v>
      </c>
      <c r="I149">
        <f>IF(OR($B$54="",$B$9=""),0,IF($E$54&gt;0,CHOOSE($D$54,$G$9,$L$9,$Q$9,$V$9)*$E$54/100,IFERROR((CHOOSE($D$54,$G$9,$L$9,$Q$9,$V$9)-CHOOSE($D$54,$G$9,$L$9,$Q$9,$V$9)*$G$54/100)/$H$54,0)))</f>
        <v>0</v>
      </c>
      <c r="J149">
        <f>IF(OR($B$54="",$B$10=""),0,IF($E$54&gt;0,CHOOSE($D$54,$G$10,$L$10,$Q$10,$V$10)*$E$54/100,IFERROR((CHOOSE($D$54,$G$10,$L$10,$Q$10,$V$10)-CHOOSE($D$54,$G$10,$L$10,$Q$10,$V$10)*$G$54/100)/$H$54,0)))</f>
        <v>0</v>
      </c>
      <c r="K149">
        <f>IF(OR($B$54="",$B$11=""),0,IF($E$54&gt;0,CHOOSE($D$54,$G$11,$L$11,$Q$11,$V$11)*$E$54/100,IFERROR((CHOOSE($D$54,$G$11,$L$11,$Q$11,$V$11)-CHOOSE($D$54,$G$11,$L$11,$Q$11,$V$11)*$G$54/100)/$H$54,0)))</f>
        <v>0</v>
      </c>
      <c r="L149">
        <f>IF(OR($B$54="",$B$12=""),0,IF($E$54&gt;0,CHOOSE($D$54,$G$12,$L$12,$Q$12,$V$12)*$E$54/100,IFERROR((CHOOSE($D$54,$G$12,$L$12,$Q$12,$V$12)-CHOOSE($D$54,$G$12,$L$12,$Q$12,$V$12)*$G$54/100)/$H$54,0)))</f>
        <v>0</v>
      </c>
      <c r="M149">
        <f>IF(OR($B$54="",$B$13=""),0,IF($E$54&gt;0,CHOOSE($D$54,$G$13,$L$13,$Q$13,$V$13)*$E$54/100,IFERROR((CHOOSE($D$54,$G$13,$L$13,$Q$13,$V$13)-CHOOSE($D$54,$G$13,$L$13,$Q$13,$V$13)*$G$54/100)/$H$54,0)))</f>
        <v>0</v>
      </c>
      <c r="N149">
        <f>IF(OR($B$54="",$B$14=""),0,IF($E$54&gt;0,CHOOSE($D$54,$G$14,$L$14,$Q$14,$V$14)*$E$54/100,IFERROR((CHOOSE($D$54,$G$14,$L$14,$Q$14,$V$14)-CHOOSE($D$54,$G$14,$L$14,$Q$14,$V$14)*$G$54/100)/$H$54,0)))</f>
        <v>0</v>
      </c>
      <c r="O149">
        <f>IF(OR($B$54="",$B$15=""),0,IF($E$54&gt;0,CHOOSE($D$54,$G$15,$L$15,$Q$15,$V$15)*$E$54/100,IFERROR((CHOOSE($D$54,$G$15,$L$15,$Q$15,$V$15)-CHOOSE($D$54,$G$15,$L$15,$Q$15,$V$15)*$G$54/100)/$H$54,0)))</f>
        <v>0</v>
      </c>
      <c r="P149">
        <f>IF(OR($B$54="",$B$16=""),0,IF($E$54&gt;0,CHOOSE($D$54,$G$16,$L$16,$Q$16,$V$16)*$E$54/100,IFERROR((CHOOSE($D$54,$G$16,$L$16,$Q$16,$V$16)-CHOOSE($D$54,$G$16,$L$16,$Q$16,$V$16)*$G$54/100)/$H$54,0)))</f>
        <v>0</v>
      </c>
      <c r="Q149">
        <f>IF(OR($B$54="",$B$17=""),0,IF($E$54&gt;0,CHOOSE($D$54,$G$17,$L$17,$Q$17,$V$17)*$E$54/100,IFERROR((CHOOSE($D$54,$G$17,$L$17,$Q$17,$V$17)-CHOOSE($D$54,$G$17,$L$17,$Q$17,$V$17)*$G$54/100)/$H$54,0)))</f>
        <v>0</v>
      </c>
      <c r="R149">
        <f>IF(OR($B$54="",$B$18=""),0,IF($E$54&gt;0,CHOOSE($D$54,$G$18,$L$18,$Q$18,$V$18)*$E$54/100,IFERROR((CHOOSE($D$54,$G$18,$L$18,$Q$18,$V$18)-CHOOSE($D$54,$G$18,$L$18,$Q$18,$V$18)*$G$54/100)/$H$54,0)))</f>
        <v>0</v>
      </c>
      <c r="S149">
        <f>IF(OR($B$54="",$B$19=""),0,IF($E$54&gt;0,CHOOSE($D$54,$G$19,$L$19,$Q$19,$V$19)*$E$54/100,IFERROR((CHOOSE($D$54,$G$19,$L$19,$Q$19,$V$19)-CHOOSE($D$54,$G$19,$L$19,$Q$19,$V$19)*$G$54/100)/$H$54,0)))</f>
        <v>0</v>
      </c>
      <c r="T149">
        <f>IF(OR($B$54="",$B$20=""),0,IF($E$54&gt;0,CHOOSE($D$54,$G$20,$L$20,$Q$20,$V$20)*$E$54/100,IFERROR((CHOOSE($D$54,$G$20,$L$20,$Q$20,$V$20)-CHOOSE($D$54,$G$20,$L$20,$Q$20,$V$20)*$G$54/100)/$H$54,0)))</f>
        <v>0</v>
      </c>
      <c r="U149">
        <f>IF(OR($B$54="",$B$21=""),0,IF($E$54&gt;0,CHOOSE($D$54,$G$21,$L$21,$Q$21,$V$21)*$E$54/100,IFERROR((CHOOSE($D$54,$G$21,$L$21,$Q$21,$V$21)-CHOOSE($D$54,$G$21,$L$21,$Q$21,$V$21)*$G$54/100)/$H$54,0)))</f>
        <v>0</v>
      </c>
      <c r="V149">
        <f>IF(OR($B$54="",$B$22=""),0,IF($E$54&gt;0,CHOOSE($D$54,$G$22,$L$22,$Q$22,$V$22)*$E$54/100,IFERROR((CHOOSE($D$54,$G$22,$L$22,$Q$22,$V$22)-CHOOSE($D$54,$G$22,$L$22,$Q$22,$V$22)*$G$54/100)/$H$54,0)))</f>
        <v>0</v>
      </c>
    </row>
    <row r="150" spans="1:22" x14ac:dyDescent="0.3">
      <c r="A150">
        <v>17</v>
      </c>
      <c r="B150" t="str">
        <f t="shared" si="13"/>
        <v/>
      </c>
      <c r="C150">
        <f>IF(OR($B$55="",$B$3=""),0,IF($E$55&gt;0,CHOOSE($D$55,$G$3,$L$3,$Q$3,$V$3)*$E$55/100,IFERROR((CHOOSE($D$55,$G$3,$L$3,$Q$3,$V$3)-CHOOSE($D$55,$G$3,$L$3,$Q$3,$V$3)*$G$55/100)/$H$55,0)))</f>
        <v>0</v>
      </c>
      <c r="D150">
        <f>IF(OR($B$55="",$B$4=""),0,IF($E$55&gt;0,CHOOSE($D$55,$G$4,$L$4,$Q$4,$V$4)*$E$55/100,IFERROR((CHOOSE($D$55,$G$4,$L$4,$Q$4,$V$4)-CHOOSE($D$55,$G$4,$L$4,$Q$4,$V$4)*$G$55/100)/$H$55,0)))</f>
        <v>0</v>
      </c>
      <c r="E150">
        <f>IF(OR($B$55="",$B$5=""),0,IF($E$55&gt;0,CHOOSE($D$55,$G$5,$L$5,$Q$5,$V$5)*$E$55/100,IFERROR((CHOOSE($D$55,$G$5,$L$5,$Q$5,$V$5)-CHOOSE($D$55,$G$5,$L$5,$Q$5,$V$5)*$G$55/100)/$H$55,0)))</f>
        <v>0</v>
      </c>
      <c r="F150">
        <f>IF(OR($B$55="",$B$6=""),0,IF($E$55&gt;0,CHOOSE($D$55,$G$6,$L$6,$Q$6,$V$6)*$E$55/100,IFERROR((CHOOSE($D$55,$G$6,$L$6,$Q$6,$V$6)-CHOOSE($D$55,$G$6,$L$6,$Q$6,$V$6)*$G$55/100)/$H$55,0)))</f>
        <v>0</v>
      </c>
      <c r="G150">
        <f>IF(OR($B$55="",$B$7=""),0,IF($E$55&gt;0,CHOOSE($D$55,$G$7,$L$7,$Q$7,$V$7)*$E$55/100,IFERROR((CHOOSE($D$55,$G$7,$L$7,$Q$7,$V$7)-CHOOSE($D$55,$G$7,$L$7,$Q$7,$V$7)*$G$55/100)/$H$55,0)))</f>
        <v>0</v>
      </c>
      <c r="H150">
        <f>IF(OR($B$55="",$B$8=""),0,IF($E$55&gt;0,CHOOSE($D$55,$G$8,$L$8,$Q$8,$V$8)*$E$55/100,IFERROR((CHOOSE($D$55,$G$8,$L$8,$Q$8,$V$8)-CHOOSE($D$55,$G$8,$L$8,$Q$8,$V$8)*$G$55/100)/$H$55,0)))</f>
        <v>0</v>
      </c>
      <c r="I150">
        <f>IF(OR($B$55="",$B$9=""),0,IF($E$55&gt;0,CHOOSE($D$55,$G$9,$L$9,$Q$9,$V$9)*$E$55/100,IFERROR((CHOOSE($D$55,$G$9,$L$9,$Q$9,$V$9)-CHOOSE($D$55,$G$9,$L$9,$Q$9,$V$9)*$G$55/100)/$H$55,0)))</f>
        <v>0</v>
      </c>
      <c r="J150">
        <f>IF(OR($B$55="",$B$10=""),0,IF($E$55&gt;0,CHOOSE($D$55,$G$10,$L$10,$Q$10,$V$10)*$E$55/100,IFERROR((CHOOSE($D$55,$G$10,$L$10,$Q$10,$V$10)-CHOOSE($D$55,$G$10,$L$10,$Q$10,$V$10)*$G$55/100)/$H$55,0)))</f>
        <v>0</v>
      </c>
      <c r="K150">
        <f>IF(OR($B$55="",$B$11=""),0,IF($E$55&gt;0,CHOOSE($D$55,$G$11,$L$11,$Q$11,$V$11)*$E$55/100,IFERROR((CHOOSE($D$55,$G$11,$L$11,$Q$11,$V$11)-CHOOSE($D$55,$G$11,$L$11,$Q$11,$V$11)*$G$55/100)/$H$55,0)))</f>
        <v>0</v>
      </c>
      <c r="L150">
        <f>IF(OR($B$55="",$B$12=""),0,IF($E$55&gt;0,CHOOSE($D$55,$G$12,$L$12,$Q$12,$V$12)*$E$55/100,IFERROR((CHOOSE($D$55,$G$12,$L$12,$Q$12,$V$12)-CHOOSE($D$55,$G$12,$L$12,$Q$12,$V$12)*$G$55/100)/$H$55,0)))</f>
        <v>0</v>
      </c>
      <c r="M150">
        <f>IF(OR($B$55="",$B$13=""),0,IF($E$55&gt;0,CHOOSE($D$55,$G$13,$L$13,$Q$13,$V$13)*$E$55/100,IFERROR((CHOOSE($D$55,$G$13,$L$13,$Q$13,$V$13)-CHOOSE($D$55,$G$13,$L$13,$Q$13,$V$13)*$G$55/100)/$H$55,0)))</f>
        <v>0</v>
      </c>
      <c r="N150">
        <f>IF(OR($B$55="",$B$14=""),0,IF($E$55&gt;0,CHOOSE($D$55,$G$14,$L$14,$Q$14,$V$14)*$E$55/100,IFERROR((CHOOSE($D$55,$G$14,$L$14,$Q$14,$V$14)-CHOOSE($D$55,$G$14,$L$14,$Q$14,$V$14)*$G$55/100)/$H$55,0)))</f>
        <v>0</v>
      </c>
      <c r="O150">
        <f>IF(OR($B$55="",$B$15=""),0,IF($E$55&gt;0,CHOOSE($D$55,$G$15,$L$15,$Q$15,$V$15)*$E$55/100,IFERROR((CHOOSE($D$55,$G$15,$L$15,$Q$15,$V$15)-CHOOSE($D$55,$G$15,$L$15,$Q$15,$V$15)*$G$55/100)/$H$55,0)))</f>
        <v>0</v>
      </c>
      <c r="P150">
        <f>IF(OR($B$55="",$B$16=""),0,IF($E$55&gt;0,CHOOSE($D$55,$G$16,$L$16,$Q$16,$V$16)*$E$55/100,IFERROR((CHOOSE($D$55,$G$16,$L$16,$Q$16,$V$16)-CHOOSE($D$55,$G$16,$L$16,$Q$16,$V$16)*$G$55/100)/$H$55,0)))</f>
        <v>0</v>
      </c>
      <c r="Q150">
        <f>IF(OR($B$55="",$B$17=""),0,IF($E$55&gt;0,CHOOSE($D$55,$G$17,$L$17,$Q$17,$V$17)*$E$55/100,IFERROR((CHOOSE($D$55,$G$17,$L$17,$Q$17,$V$17)-CHOOSE($D$55,$G$17,$L$17,$Q$17,$V$17)*$G$55/100)/$H$55,0)))</f>
        <v>0</v>
      </c>
      <c r="R150">
        <f>IF(OR($B$55="",$B$18=""),0,IF($E$55&gt;0,CHOOSE($D$55,$G$18,$L$18,$Q$18,$V$18)*$E$55/100,IFERROR((CHOOSE($D$55,$G$18,$L$18,$Q$18,$V$18)-CHOOSE($D$55,$G$18,$L$18,$Q$18,$V$18)*$G$55/100)/$H$55,0)))</f>
        <v>0</v>
      </c>
      <c r="S150">
        <f>IF(OR($B$55="",$B$19=""),0,IF($E$55&gt;0,CHOOSE($D$55,$G$19,$L$19,$Q$19,$V$19)*$E$55/100,IFERROR((CHOOSE($D$55,$G$19,$L$19,$Q$19,$V$19)-CHOOSE($D$55,$G$19,$L$19,$Q$19,$V$19)*$G$55/100)/$H$55,0)))</f>
        <v>0</v>
      </c>
      <c r="T150">
        <f>IF(OR($B$55="",$B$20=""),0,IF($E$55&gt;0,CHOOSE($D$55,$G$20,$L$20,$Q$20,$V$20)*$E$55/100,IFERROR((CHOOSE($D$55,$G$20,$L$20,$Q$20,$V$20)-CHOOSE($D$55,$G$20,$L$20,$Q$20,$V$20)*$G$55/100)/$H$55,0)))</f>
        <v>0</v>
      </c>
      <c r="U150">
        <f>IF(OR($B$55="",$B$21=""),0,IF($E$55&gt;0,CHOOSE($D$55,$G$21,$L$21,$Q$21,$V$21)*$E$55/100,IFERROR((CHOOSE($D$55,$G$21,$L$21,$Q$21,$V$21)-CHOOSE($D$55,$G$21,$L$21,$Q$21,$V$21)*$G$55/100)/$H$55,0)))</f>
        <v>0</v>
      </c>
      <c r="V150">
        <f>IF(OR($B$55="",$B$22=""),0,IF($E$55&gt;0,CHOOSE($D$55,$G$22,$L$22,$Q$22,$V$22)*$E$55/100,IFERROR((CHOOSE($D$55,$G$22,$L$22,$Q$22,$V$22)-CHOOSE($D$55,$G$22,$L$22,$Q$22,$V$22)*$G$55/100)/$H$55,0)))</f>
        <v>0</v>
      </c>
    </row>
    <row r="151" spans="1:22" x14ac:dyDescent="0.3">
      <c r="A151">
        <v>18</v>
      </c>
      <c r="B151" t="str">
        <f t="shared" si="13"/>
        <v/>
      </c>
      <c r="C151">
        <f>IF(OR($B$56="",$B$3=""),0,IF($E$56&gt;0,CHOOSE($D$56,$G$3,$L$3,$Q$3,$V$3)*$E$56/100,IFERROR((CHOOSE($D$56,$G$3,$L$3,$Q$3,$V$3)-CHOOSE($D$56,$G$3,$L$3,$Q$3,$V$3)*$G$56/100)/$H$56,0)))</f>
        <v>0</v>
      </c>
      <c r="D151">
        <f>IF(OR($B$56="",$B$4=""),0,IF($E$56&gt;0,CHOOSE($D$56,$G$4,$L$4,$Q$4,$V$4)*$E$56/100,IFERROR((CHOOSE($D$56,$G$4,$L$4,$Q$4,$V$4)-CHOOSE($D$56,$G$4,$L$4,$Q$4,$V$4)*$G$56/100)/$H$56,0)))</f>
        <v>0</v>
      </c>
      <c r="E151">
        <f>IF(OR($B$56="",$B$5=""),0,IF($E$56&gt;0,CHOOSE($D$56,$G$5,$L$5,$Q$5,$V$5)*$E$56/100,IFERROR((CHOOSE($D$56,$G$5,$L$5,$Q$5,$V$5)-CHOOSE($D$56,$G$5,$L$5,$Q$5,$V$5)*$G$56/100)/$H$56,0)))</f>
        <v>0</v>
      </c>
      <c r="F151">
        <f>IF(OR($B$56="",$B$6=""),0,IF($E$56&gt;0,CHOOSE($D$56,$G$6,$L$6,$Q$6,$V$6)*$E$56/100,IFERROR((CHOOSE($D$56,$G$6,$L$6,$Q$6,$V$6)-CHOOSE($D$56,$G$6,$L$6,$Q$6,$V$6)*$G$56/100)/$H$56,0)))</f>
        <v>0</v>
      </c>
      <c r="G151">
        <f>IF(OR($B$56="",$B$7=""),0,IF($E$56&gt;0,CHOOSE($D$56,$G$7,$L$7,$Q$7,$V$7)*$E$56/100,IFERROR((CHOOSE($D$56,$G$7,$L$7,$Q$7,$V$7)-CHOOSE($D$56,$G$7,$L$7,$Q$7,$V$7)*$G$56/100)/$H$56,0)))</f>
        <v>0</v>
      </c>
      <c r="H151">
        <f>IF(OR($B$56="",$B$8=""),0,IF($E$56&gt;0,CHOOSE($D$56,$G$8,$L$8,$Q$8,$V$8)*$E$56/100,IFERROR((CHOOSE($D$56,$G$8,$L$8,$Q$8,$V$8)-CHOOSE($D$56,$G$8,$L$8,$Q$8,$V$8)*$G$56/100)/$H$56,0)))</f>
        <v>0</v>
      </c>
      <c r="I151">
        <f>IF(OR($B$56="",$B$9=""),0,IF($E$56&gt;0,CHOOSE($D$56,$G$9,$L$9,$Q$9,$V$9)*$E$56/100,IFERROR((CHOOSE($D$56,$G$9,$L$9,$Q$9,$V$9)-CHOOSE($D$56,$G$9,$L$9,$Q$9,$V$9)*$G$56/100)/$H$56,0)))</f>
        <v>0</v>
      </c>
      <c r="J151">
        <f>IF(OR($B$56="",$B$10=""),0,IF($E$56&gt;0,CHOOSE($D$56,$G$10,$L$10,$Q$10,$V$10)*$E$56/100,IFERROR((CHOOSE($D$56,$G$10,$L$10,$Q$10,$V$10)-CHOOSE($D$56,$G$10,$L$10,$Q$10,$V$10)*$G$56/100)/$H$56,0)))</f>
        <v>0</v>
      </c>
      <c r="K151">
        <f>IF(OR($B$56="",$B$11=""),0,IF($E$56&gt;0,CHOOSE($D$56,$G$11,$L$11,$Q$11,$V$11)*$E$56/100,IFERROR((CHOOSE($D$56,$G$11,$L$11,$Q$11,$V$11)-CHOOSE($D$56,$G$11,$L$11,$Q$11,$V$11)*$G$56/100)/$H$56,0)))</f>
        <v>0</v>
      </c>
      <c r="L151">
        <f>IF(OR($B$56="",$B$12=""),0,IF($E$56&gt;0,CHOOSE($D$56,$G$12,$L$12,$Q$12,$V$12)*$E$56/100,IFERROR((CHOOSE($D$56,$G$12,$L$12,$Q$12,$V$12)-CHOOSE($D$56,$G$12,$L$12,$Q$12,$V$12)*$G$56/100)/$H$56,0)))</f>
        <v>0</v>
      </c>
      <c r="M151">
        <f>IF(OR($B$56="",$B$13=""),0,IF($E$56&gt;0,CHOOSE($D$56,$G$13,$L$13,$Q$13,$V$13)*$E$56/100,IFERROR((CHOOSE($D$56,$G$13,$L$13,$Q$13,$V$13)-CHOOSE($D$56,$G$13,$L$13,$Q$13,$V$13)*$G$56/100)/$H$56,0)))</f>
        <v>0</v>
      </c>
      <c r="N151">
        <f>IF(OR($B$56="",$B$14=""),0,IF($E$56&gt;0,CHOOSE($D$56,$G$14,$L$14,$Q$14,$V$14)*$E$56/100,IFERROR((CHOOSE($D$56,$G$14,$L$14,$Q$14,$V$14)-CHOOSE($D$56,$G$14,$L$14,$Q$14,$V$14)*$G$56/100)/$H$56,0)))</f>
        <v>0</v>
      </c>
      <c r="O151">
        <f>IF(OR($B$56="",$B$15=""),0,IF($E$56&gt;0,CHOOSE($D$56,$G$15,$L$15,$Q$15,$V$15)*$E$56/100,IFERROR((CHOOSE($D$56,$G$15,$L$15,$Q$15,$V$15)-CHOOSE($D$56,$G$15,$L$15,$Q$15,$V$15)*$G$56/100)/$H$56,0)))</f>
        <v>0</v>
      </c>
      <c r="P151">
        <f>IF(OR($B$56="",$B$16=""),0,IF($E$56&gt;0,CHOOSE($D$56,$G$16,$L$16,$Q$16,$V$16)*$E$56/100,IFERROR((CHOOSE($D$56,$G$16,$L$16,$Q$16,$V$16)-CHOOSE($D$56,$G$16,$L$16,$Q$16,$V$16)*$G$56/100)/$H$56,0)))</f>
        <v>0</v>
      </c>
      <c r="Q151">
        <f>IF(OR($B$56="",$B$17=""),0,IF($E$56&gt;0,CHOOSE($D$56,$G$17,$L$17,$Q$17,$V$17)*$E$56/100,IFERROR((CHOOSE($D$56,$G$17,$L$17,$Q$17,$V$17)-CHOOSE($D$56,$G$17,$L$17,$Q$17,$V$17)*$G$56/100)/$H$56,0)))</f>
        <v>0</v>
      </c>
      <c r="R151">
        <f>IF(OR($B$56="",$B$18=""),0,IF($E$56&gt;0,CHOOSE($D$56,$G$18,$L$18,$Q$18,$V$18)*$E$56/100,IFERROR((CHOOSE($D$56,$G$18,$L$18,$Q$18,$V$18)-CHOOSE($D$56,$G$18,$L$18,$Q$18,$V$18)*$G$56/100)/$H$56,0)))</f>
        <v>0</v>
      </c>
      <c r="S151">
        <f>IF(OR($B$56="",$B$19=""),0,IF($E$56&gt;0,CHOOSE($D$56,$G$19,$L$19,$Q$19,$V$19)*$E$56/100,IFERROR((CHOOSE($D$56,$G$19,$L$19,$Q$19,$V$19)-CHOOSE($D$56,$G$19,$L$19,$Q$19,$V$19)*$G$56/100)/$H$56,0)))</f>
        <v>0</v>
      </c>
      <c r="T151">
        <f>IF(OR($B$56="",$B$20=""),0,IF($E$56&gt;0,CHOOSE($D$56,$G$20,$L$20,$Q$20,$V$20)*$E$56/100,IFERROR((CHOOSE($D$56,$G$20,$L$20,$Q$20,$V$20)-CHOOSE($D$56,$G$20,$L$20,$Q$20,$V$20)*$G$56/100)/$H$56,0)))</f>
        <v>0</v>
      </c>
      <c r="U151">
        <f>IF(OR($B$56="",$B$21=""),0,IF($E$56&gt;0,CHOOSE($D$56,$G$21,$L$21,$Q$21,$V$21)*$E$56/100,IFERROR((CHOOSE($D$56,$G$21,$L$21,$Q$21,$V$21)-CHOOSE($D$56,$G$21,$L$21,$Q$21,$V$21)*$G$56/100)/$H$56,0)))</f>
        <v>0</v>
      </c>
      <c r="V151">
        <f>IF(OR($B$56="",$B$22=""),0,IF($E$56&gt;0,CHOOSE($D$56,$G$22,$L$22,$Q$22,$V$22)*$E$56/100,IFERROR((CHOOSE($D$56,$G$22,$L$22,$Q$22,$V$22)-CHOOSE($D$56,$G$22,$L$22,$Q$22,$V$22)*$G$56/100)/$H$56,0)))</f>
        <v>0</v>
      </c>
    </row>
    <row r="152" spans="1:22" x14ac:dyDescent="0.3">
      <c r="A152">
        <v>19</v>
      </c>
      <c r="B152" t="str">
        <f t="shared" si="13"/>
        <v/>
      </c>
      <c r="C152">
        <f>IF(OR($B$57="",$B$3=""),0,IF($E$57&gt;0,CHOOSE($D$57,$G$3,$L$3,$Q$3,$V$3)*$E$57/100,IFERROR((CHOOSE($D$57,$G$3,$L$3,$Q$3,$V$3)-CHOOSE($D$57,$G$3,$L$3,$Q$3,$V$3)*$G$57/100)/$H$57,0)))</f>
        <v>0</v>
      </c>
      <c r="D152">
        <f>IF(OR($B$57="",$B$4=""),0,IF($E$57&gt;0,CHOOSE($D$57,$G$4,$L$4,$Q$4,$V$4)*$E$57/100,IFERROR((CHOOSE($D$57,$G$4,$L$4,$Q$4,$V$4)-CHOOSE($D$57,$G$4,$L$4,$Q$4,$V$4)*$G$57/100)/$H$57,0)))</f>
        <v>0</v>
      </c>
      <c r="E152">
        <f>IF(OR($B$57="",$B$5=""),0,IF($E$57&gt;0,CHOOSE($D$57,$G$5,$L$5,$Q$5,$V$5)*$E$57/100,IFERROR((CHOOSE($D$57,$G$5,$L$5,$Q$5,$V$5)-CHOOSE($D$57,$G$5,$L$5,$Q$5,$V$5)*$G$57/100)/$H$57,0)))</f>
        <v>0</v>
      </c>
      <c r="F152">
        <f>IF(OR($B$57="",$B$6=""),0,IF($E$57&gt;0,CHOOSE($D$57,$G$6,$L$6,$Q$6,$V$6)*$E$57/100,IFERROR((CHOOSE($D$57,$G$6,$L$6,$Q$6,$V$6)-CHOOSE($D$57,$G$6,$L$6,$Q$6,$V$6)*$G$57/100)/$H$57,0)))</f>
        <v>0</v>
      </c>
      <c r="G152">
        <f>IF(OR($B$57="",$B$7=""),0,IF($E$57&gt;0,CHOOSE($D$57,$G$7,$L$7,$Q$7,$V$7)*$E$57/100,IFERROR((CHOOSE($D$57,$G$7,$L$7,$Q$7,$V$7)-CHOOSE($D$57,$G$7,$L$7,$Q$7,$V$7)*$G$57/100)/$H$57,0)))</f>
        <v>0</v>
      </c>
      <c r="H152">
        <f>IF(OR($B$57="",$B$8=""),0,IF($E$57&gt;0,CHOOSE($D$57,$G$8,$L$8,$Q$8,$V$8)*$E$57/100,IFERROR((CHOOSE($D$57,$G$8,$L$8,$Q$8,$V$8)-CHOOSE($D$57,$G$8,$L$8,$Q$8,$V$8)*$G$57/100)/$H$57,0)))</f>
        <v>0</v>
      </c>
      <c r="I152">
        <f>IF(OR($B$57="",$B$9=""),0,IF($E$57&gt;0,CHOOSE($D$57,$G$9,$L$9,$Q$9,$V$9)*$E$57/100,IFERROR((CHOOSE($D$57,$G$9,$L$9,$Q$9,$V$9)-CHOOSE($D$57,$G$9,$L$9,$Q$9,$V$9)*$G$57/100)/$H$57,0)))</f>
        <v>0</v>
      </c>
      <c r="J152">
        <f>IF(OR($B$57="",$B$10=""),0,IF($E$57&gt;0,CHOOSE($D$57,$G$10,$L$10,$Q$10,$V$10)*$E$57/100,IFERROR((CHOOSE($D$57,$G$10,$L$10,$Q$10,$V$10)-CHOOSE($D$57,$G$10,$L$10,$Q$10,$V$10)*$G$57/100)/$H$57,0)))</f>
        <v>0</v>
      </c>
      <c r="K152">
        <f>IF(OR($B$57="",$B$11=""),0,IF($E$57&gt;0,CHOOSE($D$57,$G$11,$L$11,$Q$11,$V$11)*$E$57/100,IFERROR((CHOOSE($D$57,$G$11,$L$11,$Q$11,$V$11)-CHOOSE($D$57,$G$11,$L$11,$Q$11,$V$11)*$G$57/100)/$H$57,0)))</f>
        <v>0</v>
      </c>
      <c r="L152">
        <f>IF(OR($B$57="",$B$12=""),0,IF($E$57&gt;0,CHOOSE($D$57,$G$12,$L$12,$Q$12,$V$12)*$E$57/100,IFERROR((CHOOSE($D$57,$G$12,$L$12,$Q$12,$V$12)-CHOOSE($D$57,$G$12,$L$12,$Q$12,$V$12)*$G$57/100)/$H$57,0)))</f>
        <v>0</v>
      </c>
      <c r="M152">
        <f>IF(OR($B$57="",$B$13=""),0,IF($E$57&gt;0,CHOOSE($D$57,$G$13,$L$13,$Q$13,$V$13)*$E$57/100,IFERROR((CHOOSE($D$57,$G$13,$L$13,$Q$13,$V$13)-CHOOSE($D$57,$G$13,$L$13,$Q$13,$V$13)*$G$57/100)/$H$57,0)))</f>
        <v>0</v>
      </c>
      <c r="N152">
        <f>IF(OR($B$57="",$B$14=""),0,IF($E$57&gt;0,CHOOSE($D$57,$G$14,$L$14,$Q$14,$V$14)*$E$57/100,IFERROR((CHOOSE($D$57,$G$14,$L$14,$Q$14,$V$14)-CHOOSE($D$57,$G$14,$L$14,$Q$14,$V$14)*$G$57/100)/$H$57,0)))</f>
        <v>0</v>
      </c>
      <c r="O152">
        <f>IF(OR($B$57="",$B$15=""),0,IF($E$57&gt;0,CHOOSE($D$57,$G$15,$L$15,$Q$15,$V$15)*$E$57/100,IFERROR((CHOOSE($D$57,$G$15,$L$15,$Q$15,$V$15)-CHOOSE($D$57,$G$15,$L$15,$Q$15,$V$15)*$G$57/100)/$H$57,0)))</f>
        <v>0</v>
      </c>
      <c r="P152">
        <f>IF(OR($B$57="",$B$16=""),0,IF($E$57&gt;0,CHOOSE($D$57,$G$16,$L$16,$Q$16,$V$16)*$E$57/100,IFERROR((CHOOSE($D$57,$G$16,$L$16,$Q$16,$V$16)-CHOOSE($D$57,$G$16,$L$16,$Q$16,$V$16)*$G$57/100)/$H$57,0)))</f>
        <v>0</v>
      </c>
      <c r="Q152">
        <f>IF(OR($B$57="",$B$17=""),0,IF($E$57&gt;0,CHOOSE($D$57,$G$17,$L$17,$Q$17,$V$17)*$E$57/100,IFERROR((CHOOSE($D$57,$G$17,$L$17,$Q$17,$V$17)-CHOOSE($D$57,$G$17,$L$17,$Q$17,$V$17)*$G$57/100)/$H$57,0)))</f>
        <v>0</v>
      </c>
      <c r="R152">
        <f>IF(OR($B$57="",$B$18=""),0,IF($E$57&gt;0,CHOOSE($D$57,$G$18,$L$18,$Q$18,$V$18)*$E$57/100,IFERROR((CHOOSE($D$57,$G$18,$L$18,$Q$18,$V$18)-CHOOSE($D$57,$G$18,$L$18,$Q$18,$V$18)*$G$57/100)/$H$57,0)))</f>
        <v>0</v>
      </c>
      <c r="S152">
        <f>IF(OR($B$57="",$B$19=""),0,IF($E$57&gt;0,CHOOSE($D$57,$G$19,$L$19,$Q$19,$V$19)*$E$57/100,IFERROR((CHOOSE($D$57,$G$19,$L$19,$Q$19,$V$19)-CHOOSE($D$57,$G$19,$L$19,$Q$19,$V$19)*$G$57/100)/$H$57,0)))</f>
        <v>0</v>
      </c>
      <c r="T152">
        <f>IF(OR($B$57="",$B$20=""),0,IF($E$57&gt;0,CHOOSE($D$57,$G$20,$L$20,$Q$20,$V$20)*$E$57/100,IFERROR((CHOOSE($D$57,$G$20,$L$20,$Q$20,$V$20)-CHOOSE($D$57,$G$20,$L$20,$Q$20,$V$20)*$G$57/100)/$H$57,0)))</f>
        <v>0</v>
      </c>
      <c r="U152">
        <f>IF(OR($B$57="",$B$21=""),0,IF($E$57&gt;0,CHOOSE($D$57,$G$21,$L$21,$Q$21,$V$21)*$E$57/100,IFERROR((CHOOSE($D$57,$G$21,$L$21,$Q$21,$V$21)-CHOOSE($D$57,$G$21,$L$21,$Q$21,$V$21)*$G$57/100)/$H$57,0)))</f>
        <v>0</v>
      </c>
      <c r="V152">
        <f>IF(OR($B$57="",$B$22=""),0,IF($E$57&gt;0,CHOOSE($D$57,$G$22,$L$22,$Q$22,$V$22)*$E$57/100,IFERROR((CHOOSE($D$57,$G$22,$L$22,$Q$22,$V$22)-CHOOSE($D$57,$G$22,$L$22,$Q$22,$V$22)*$G$57/100)/$H$57,0)))</f>
        <v>0</v>
      </c>
    </row>
    <row r="153" spans="1:22" x14ac:dyDescent="0.3">
      <c r="A153">
        <v>20</v>
      </c>
      <c r="B153" t="str">
        <f t="shared" si="13"/>
        <v/>
      </c>
      <c r="C153">
        <f>IF(OR($B$58="",$B$3=""),0,IF($E$58&gt;0,CHOOSE($D$58,$G$3,$L$3,$Q$3,$V$3)*$E$58/100,IFERROR((CHOOSE($D$58,$G$3,$L$3,$Q$3,$V$3)-CHOOSE($D$58,$G$3,$L$3,$Q$3,$V$3)*$G$58/100)/$H$58,0)))</f>
        <v>0</v>
      </c>
      <c r="D153">
        <f>IF(OR($B$58="",$B$4=""),0,IF($E$58&gt;0,CHOOSE($D$58,$G$4,$L$4,$Q$4,$V$4)*$E$58/100,IFERROR((CHOOSE($D$58,$G$4,$L$4,$Q$4,$V$4)-CHOOSE($D$58,$G$4,$L$4,$Q$4,$V$4)*$G$58/100)/$H$58,0)))</f>
        <v>0</v>
      </c>
      <c r="E153">
        <f>IF(OR($B$58="",$B$5=""),0,IF($E$58&gt;0,CHOOSE($D$58,$G$5,$L$5,$Q$5,$V$5)*$E$58/100,IFERROR((CHOOSE($D$58,$G$5,$L$5,$Q$5,$V$5)-CHOOSE($D$58,$G$5,$L$5,$Q$5,$V$5)*$G$58/100)/$H$58,0)))</f>
        <v>0</v>
      </c>
      <c r="F153">
        <f>IF(OR($B$58="",$B$6=""),0,IF($E$58&gt;0,CHOOSE($D$58,$G$6,$L$6,$Q$6,$V$6)*$E$58/100,IFERROR((CHOOSE($D$58,$G$6,$L$6,$Q$6,$V$6)-CHOOSE($D$58,$G$6,$L$6,$Q$6,$V$6)*$G$58/100)/$H$58,0)))</f>
        <v>0</v>
      </c>
      <c r="G153">
        <f>IF(OR($B$58="",$B$7=""),0,IF($E$58&gt;0,CHOOSE($D$58,$G$7,$L$7,$Q$7,$V$7)*$E$58/100,IFERROR((CHOOSE($D$58,$G$7,$L$7,$Q$7,$V$7)-CHOOSE($D$58,$G$7,$L$7,$Q$7,$V$7)*$G$58/100)/$H$58,0)))</f>
        <v>0</v>
      </c>
      <c r="H153">
        <f>IF(OR($B$58="",$B$8=""),0,IF($E$58&gt;0,CHOOSE($D$58,$G$8,$L$8,$Q$8,$V$8)*$E$58/100,IFERROR((CHOOSE($D$58,$G$8,$L$8,$Q$8,$V$8)-CHOOSE($D$58,$G$8,$L$8,$Q$8,$V$8)*$G$58/100)/$H$58,0)))</f>
        <v>0</v>
      </c>
      <c r="I153">
        <f>IF(OR($B$58="",$B$9=""),0,IF($E$58&gt;0,CHOOSE($D$58,$G$9,$L$9,$Q$9,$V$9)*$E$58/100,IFERROR((CHOOSE($D$58,$G$9,$L$9,$Q$9,$V$9)-CHOOSE($D$58,$G$9,$L$9,$Q$9,$V$9)*$G$58/100)/$H$58,0)))</f>
        <v>0</v>
      </c>
      <c r="J153">
        <f>IF(OR($B$58="",$B$10=""),0,IF($E$58&gt;0,CHOOSE($D$58,$G$10,$L$10,$Q$10,$V$10)*$E$58/100,IFERROR((CHOOSE($D$58,$G$10,$L$10,$Q$10,$V$10)-CHOOSE($D$58,$G$10,$L$10,$Q$10,$V$10)*$G$58/100)/$H$58,0)))</f>
        <v>0</v>
      </c>
      <c r="K153">
        <f>IF(OR($B$58="",$B$11=""),0,IF($E$58&gt;0,CHOOSE($D$58,$G$11,$L$11,$Q$11,$V$11)*$E$58/100,IFERROR((CHOOSE($D$58,$G$11,$L$11,$Q$11,$V$11)-CHOOSE($D$58,$G$11,$L$11,$Q$11,$V$11)*$G$58/100)/$H$58,0)))</f>
        <v>0</v>
      </c>
      <c r="L153">
        <f>IF(OR($B$58="",$B$12=""),0,IF($E$58&gt;0,CHOOSE($D$58,$G$12,$L$12,$Q$12,$V$12)*$E$58/100,IFERROR((CHOOSE($D$58,$G$12,$L$12,$Q$12,$V$12)-CHOOSE($D$58,$G$12,$L$12,$Q$12,$V$12)*$G$58/100)/$H$58,0)))</f>
        <v>0</v>
      </c>
      <c r="M153">
        <f>IF(OR($B$58="",$B$13=""),0,IF($E$58&gt;0,CHOOSE($D$58,$G$13,$L$13,$Q$13,$V$13)*$E$58/100,IFERROR((CHOOSE($D$58,$G$13,$L$13,$Q$13,$V$13)-CHOOSE($D$58,$G$13,$L$13,$Q$13,$V$13)*$G$58/100)/$H$58,0)))</f>
        <v>0</v>
      </c>
      <c r="N153">
        <f>IF(OR($B$58="",$B$14=""),0,IF($E$58&gt;0,CHOOSE($D$58,$G$14,$L$14,$Q$14,$V$14)*$E$58/100,IFERROR((CHOOSE($D$58,$G$14,$L$14,$Q$14,$V$14)-CHOOSE($D$58,$G$14,$L$14,$Q$14,$V$14)*$G$58/100)/$H$58,0)))</f>
        <v>0</v>
      </c>
      <c r="O153">
        <f>IF(OR($B$58="",$B$15=""),0,IF($E$58&gt;0,CHOOSE($D$58,$G$15,$L$15,$Q$15,$V$15)*$E$58/100,IFERROR((CHOOSE($D$58,$G$15,$L$15,$Q$15,$V$15)-CHOOSE($D$58,$G$15,$L$15,$Q$15,$V$15)*$G$58/100)/$H$58,0)))</f>
        <v>0</v>
      </c>
      <c r="P153">
        <f>IF(OR($B$58="",$B$16=""),0,IF($E$58&gt;0,CHOOSE($D$58,$G$16,$L$16,$Q$16,$V$16)*$E$58/100,IFERROR((CHOOSE($D$58,$G$16,$L$16,$Q$16,$V$16)-CHOOSE($D$58,$G$16,$L$16,$Q$16,$V$16)*$G$58/100)/$H$58,0)))</f>
        <v>0</v>
      </c>
      <c r="Q153">
        <f>IF(OR($B$58="",$B$17=""),0,IF($E$58&gt;0,CHOOSE($D$58,$G$17,$L$17,$Q$17,$V$17)*$E$58/100,IFERROR((CHOOSE($D$58,$G$17,$L$17,$Q$17,$V$17)-CHOOSE($D$58,$G$17,$L$17,$Q$17,$V$17)*$G$58/100)/$H$58,0)))</f>
        <v>0</v>
      </c>
      <c r="R153">
        <f>IF(OR($B$58="",$B$18=""),0,IF($E$58&gt;0,CHOOSE($D$58,$G$18,$L$18,$Q$18,$V$18)*$E$58/100,IFERROR((CHOOSE($D$58,$G$18,$L$18,$Q$18,$V$18)-CHOOSE($D$58,$G$18,$L$18,$Q$18,$V$18)*$G$58/100)/$H$58,0)))</f>
        <v>0</v>
      </c>
      <c r="S153">
        <f>IF(OR($B$58="",$B$19=""),0,IF($E$58&gt;0,CHOOSE($D$58,$G$19,$L$19,$Q$19,$V$19)*$E$58/100,IFERROR((CHOOSE($D$58,$G$19,$L$19,$Q$19,$V$19)-CHOOSE($D$58,$G$19,$L$19,$Q$19,$V$19)*$G$58/100)/$H$58,0)))</f>
        <v>0</v>
      </c>
      <c r="T153">
        <f>IF(OR($B$58="",$B$20=""),0,IF($E$58&gt;0,CHOOSE($D$58,$G$20,$L$20,$Q$20,$V$20)*$E$58/100,IFERROR((CHOOSE($D$58,$G$20,$L$20,$Q$20,$V$20)-CHOOSE($D$58,$G$20,$L$20,$Q$20,$V$20)*$G$58/100)/$H$58,0)))</f>
        <v>0</v>
      </c>
      <c r="U153">
        <f>IF(OR($B$58="",$B$21=""),0,IF($E$58&gt;0,CHOOSE($D$58,$G$21,$L$21,$Q$21,$V$21)*$E$58/100,IFERROR((CHOOSE($D$58,$G$21,$L$21,$Q$21,$V$21)-CHOOSE($D$58,$G$21,$L$21,$Q$21,$V$21)*$G$58/100)/$H$58,0)))</f>
        <v>0</v>
      </c>
      <c r="V153">
        <f>IF(OR($B$58="",$B$22=""),0,IF($E$58&gt;0,CHOOSE($D$58,$G$22,$L$22,$Q$22,$V$22)*$E$58/100,IFERROR((CHOOSE($D$58,$G$22,$L$22,$Q$22,$V$22)-CHOOSE($D$58,$G$22,$L$22,$Q$22,$V$22)*$G$58/100)/$H$58,0)))</f>
        <v>0</v>
      </c>
    </row>
    <row r="154" spans="1:22" x14ac:dyDescent="0.3">
      <c r="A154">
        <v>21</v>
      </c>
      <c r="B154" t="str">
        <f t="shared" si="13"/>
        <v/>
      </c>
      <c r="C154">
        <f>IF(OR($B$59="",$B$3=""),0,IF($E$59&gt;0,CHOOSE($D$59,$G$3,$L$3,$Q$3,$V$3)*$E$59/100,IFERROR((CHOOSE($D$59,$G$3,$L$3,$Q$3,$V$3)-CHOOSE($D$59,$G$3,$L$3,$Q$3,$V$3)*$G$59/100)/$H$59,0)))</f>
        <v>0</v>
      </c>
      <c r="D154">
        <f>IF(OR($B$59="",$B$4=""),0,IF($E$59&gt;0,CHOOSE($D$59,$G$4,$L$4,$Q$4,$V$4)*$E$59/100,IFERROR((CHOOSE($D$59,$G$4,$L$4,$Q$4,$V$4)-CHOOSE($D$59,$G$4,$L$4,$Q$4,$V$4)*$G$59/100)/$H$59,0)))</f>
        <v>0</v>
      </c>
      <c r="E154">
        <f>IF(OR($B$59="",$B$5=""),0,IF($E$59&gt;0,CHOOSE($D$59,$G$5,$L$5,$Q$5,$V$5)*$E$59/100,IFERROR((CHOOSE($D$59,$G$5,$L$5,$Q$5,$V$5)-CHOOSE($D$59,$G$5,$L$5,$Q$5,$V$5)*$G$59/100)/$H$59,0)))</f>
        <v>0</v>
      </c>
      <c r="F154">
        <f>IF(OR($B$59="",$B$6=""),0,IF($E$59&gt;0,CHOOSE($D$59,$G$6,$L$6,$Q$6,$V$6)*$E$59/100,IFERROR((CHOOSE($D$59,$G$6,$L$6,$Q$6,$V$6)-CHOOSE($D$59,$G$6,$L$6,$Q$6,$V$6)*$G$59/100)/$H$59,0)))</f>
        <v>0</v>
      </c>
      <c r="G154">
        <f>IF(OR($B$59="",$B$7=""),0,IF($E$59&gt;0,CHOOSE($D$59,$G$7,$L$7,$Q$7,$V$7)*$E$59/100,IFERROR((CHOOSE($D$59,$G$7,$L$7,$Q$7,$V$7)-CHOOSE($D$59,$G$7,$L$7,$Q$7,$V$7)*$G$59/100)/$H$59,0)))</f>
        <v>0</v>
      </c>
      <c r="H154">
        <f>IF(OR($B$59="",$B$8=""),0,IF($E$59&gt;0,CHOOSE($D$59,$G$8,$L$8,$Q$8,$V$8)*$E$59/100,IFERROR((CHOOSE($D$59,$G$8,$L$8,$Q$8,$V$8)-CHOOSE($D$59,$G$8,$L$8,$Q$8,$V$8)*$G$59/100)/$H$59,0)))</f>
        <v>0</v>
      </c>
      <c r="I154">
        <f>IF(OR($B$59="",$B$9=""),0,IF($E$59&gt;0,CHOOSE($D$59,$G$9,$L$9,$Q$9,$V$9)*$E$59/100,IFERROR((CHOOSE($D$59,$G$9,$L$9,$Q$9,$V$9)-CHOOSE($D$59,$G$9,$L$9,$Q$9,$V$9)*$G$59/100)/$H$59,0)))</f>
        <v>0</v>
      </c>
      <c r="J154">
        <f>IF(OR($B$59="",$B$10=""),0,IF($E$59&gt;0,CHOOSE($D$59,$G$10,$L$10,$Q$10,$V$10)*$E$59/100,IFERROR((CHOOSE($D$59,$G$10,$L$10,$Q$10,$V$10)-CHOOSE($D$59,$G$10,$L$10,$Q$10,$V$10)*$G$59/100)/$H$59,0)))</f>
        <v>0</v>
      </c>
      <c r="K154">
        <f>IF(OR($B$59="",$B$11=""),0,IF($E$59&gt;0,CHOOSE($D$59,$G$11,$L$11,$Q$11,$V$11)*$E$59/100,IFERROR((CHOOSE($D$59,$G$11,$L$11,$Q$11,$V$11)-CHOOSE($D$59,$G$11,$L$11,$Q$11,$V$11)*$G$59/100)/$H$59,0)))</f>
        <v>0</v>
      </c>
      <c r="L154">
        <f>IF(OR($B$59="",$B$12=""),0,IF($E$59&gt;0,CHOOSE($D$59,$G$12,$L$12,$Q$12,$V$12)*$E$59/100,IFERROR((CHOOSE($D$59,$G$12,$L$12,$Q$12,$V$12)-CHOOSE($D$59,$G$12,$L$12,$Q$12,$V$12)*$G$59/100)/$H$59,0)))</f>
        <v>0</v>
      </c>
      <c r="M154">
        <f>IF(OR($B$59="",$B$13=""),0,IF($E$59&gt;0,CHOOSE($D$59,$G$13,$L$13,$Q$13,$V$13)*$E$59/100,IFERROR((CHOOSE($D$59,$G$13,$L$13,$Q$13,$V$13)-CHOOSE($D$59,$G$13,$L$13,$Q$13,$V$13)*$G$59/100)/$H$59,0)))</f>
        <v>0</v>
      </c>
      <c r="N154">
        <f>IF(OR($B$59="",$B$14=""),0,IF($E$59&gt;0,CHOOSE($D$59,$G$14,$L$14,$Q$14,$V$14)*$E$59/100,IFERROR((CHOOSE($D$59,$G$14,$L$14,$Q$14,$V$14)-CHOOSE($D$59,$G$14,$L$14,$Q$14,$V$14)*$G$59/100)/$H$59,0)))</f>
        <v>0</v>
      </c>
      <c r="O154">
        <f>IF(OR($B$59="",$B$15=""),0,IF($E$59&gt;0,CHOOSE($D$59,$G$15,$L$15,$Q$15,$V$15)*$E$59/100,IFERROR((CHOOSE($D$59,$G$15,$L$15,$Q$15,$V$15)-CHOOSE($D$59,$G$15,$L$15,$Q$15,$V$15)*$G$59/100)/$H$59,0)))</f>
        <v>0</v>
      </c>
      <c r="P154">
        <f>IF(OR($B$59="",$B$16=""),0,IF($E$59&gt;0,CHOOSE($D$59,$G$16,$L$16,$Q$16,$V$16)*$E$59/100,IFERROR((CHOOSE($D$59,$G$16,$L$16,$Q$16,$V$16)-CHOOSE($D$59,$G$16,$L$16,$Q$16,$V$16)*$G$59/100)/$H$59,0)))</f>
        <v>0</v>
      </c>
      <c r="Q154">
        <f>IF(OR($B$59="",$B$17=""),0,IF($E$59&gt;0,CHOOSE($D$59,$G$17,$L$17,$Q$17,$V$17)*$E$59/100,IFERROR((CHOOSE($D$59,$G$17,$L$17,$Q$17,$V$17)-CHOOSE($D$59,$G$17,$L$17,$Q$17,$V$17)*$G$59/100)/$H$59,0)))</f>
        <v>0</v>
      </c>
      <c r="R154">
        <f>IF(OR($B$59="",$B$18=""),0,IF($E$59&gt;0,CHOOSE($D$59,$G$18,$L$18,$Q$18,$V$18)*$E$59/100,IFERROR((CHOOSE($D$59,$G$18,$L$18,$Q$18,$V$18)-CHOOSE($D$59,$G$18,$L$18,$Q$18,$V$18)*$G$59/100)/$H$59,0)))</f>
        <v>0</v>
      </c>
      <c r="S154">
        <f>IF(OR($B$59="",$B$19=""),0,IF($E$59&gt;0,CHOOSE($D$59,$G$19,$L$19,$Q$19,$V$19)*$E$59/100,IFERROR((CHOOSE($D$59,$G$19,$L$19,$Q$19,$V$19)-CHOOSE($D$59,$G$19,$L$19,$Q$19,$V$19)*$G$59/100)/$H$59,0)))</f>
        <v>0</v>
      </c>
      <c r="T154">
        <f>IF(OR($B$59="",$B$20=""),0,IF($E$59&gt;0,CHOOSE($D$59,$G$20,$L$20,$Q$20,$V$20)*$E$59/100,IFERROR((CHOOSE($D$59,$G$20,$L$20,$Q$20,$V$20)-CHOOSE($D$59,$G$20,$L$20,$Q$20,$V$20)*$G$59/100)/$H$59,0)))</f>
        <v>0</v>
      </c>
      <c r="U154">
        <f>IF(OR($B$59="",$B$21=""),0,IF($E$59&gt;0,CHOOSE($D$59,$G$21,$L$21,$Q$21,$V$21)*$E$59/100,IFERROR((CHOOSE($D$59,$G$21,$L$21,$Q$21,$V$21)-CHOOSE($D$59,$G$21,$L$21,$Q$21,$V$21)*$G$59/100)/$H$59,0)))</f>
        <v>0</v>
      </c>
      <c r="V154">
        <f>IF(OR($B$59="",$B$22=""),0,IF($E$59&gt;0,CHOOSE($D$59,$G$22,$L$22,$Q$22,$V$22)*$E$59/100,IFERROR((CHOOSE($D$59,$G$22,$L$22,$Q$22,$V$22)-CHOOSE($D$59,$G$22,$L$22,$Q$22,$V$22)*$G$59/100)/$H$59,0)))</f>
        <v>0</v>
      </c>
    </row>
    <row r="155" spans="1:22" x14ac:dyDescent="0.3">
      <c r="A155">
        <v>22</v>
      </c>
      <c r="B155" t="str">
        <f t="shared" si="13"/>
        <v/>
      </c>
      <c r="C155">
        <f>IF(OR($B$60="",$B$3=""),0,IF($E$60&gt;0,CHOOSE($D$60,$G$3,$L$3,$Q$3,$V$3)*$E$60/100,IFERROR((CHOOSE($D$60,$G$3,$L$3,$Q$3,$V$3)-CHOOSE($D$60,$G$3,$L$3,$Q$3,$V$3)*$G$60/100)/$H$60,0)))</f>
        <v>0</v>
      </c>
      <c r="D155">
        <f>IF(OR($B$60="",$B$4=""),0,IF($E$60&gt;0,CHOOSE($D$60,$G$4,$L$4,$Q$4,$V$4)*$E$60/100,IFERROR((CHOOSE($D$60,$G$4,$L$4,$Q$4,$V$4)-CHOOSE($D$60,$G$4,$L$4,$Q$4,$V$4)*$G$60/100)/$H$60,0)))</f>
        <v>0</v>
      </c>
      <c r="E155">
        <f>IF(OR($B$60="",$B$5=""),0,IF($E$60&gt;0,CHOOSE($D$60,$G$5,$L$5,$Q$5,$V$5)*$E$60/100,IFERROR((CHOOSE($D$60,$G$5,$L$5,$Q$5,$V$5)-CHOOSE($D$60,$G$5,$L$5,$Q$5,$V$5)*$G$60/100)/$H$60,0)))</f>
        <v>0</v>
      </c>
      <c r="F155">
        <f>IF(OR($B$60="",$B$6=""),0,IF($E$60&gt;0,CHOOSE($D$60,$G$6,$L$6,$Q$6,$V$6)*$E$60/100,IFERROR((CHOOSE($D$60,$G$6,$L$6,$Q$6,$V$6)-CHOOSE($D$60,$G$6,$L$6,$Q$6,$V$6)*$G$60/100)/$H$60,0)))</f>
        <v>0</v>
      </c>
      <c r="G155">
        <f>IF(OR($B$60="",$B$7=""),0,IF($E$60&gt;0,CHOOSE($D$60,$G$7,$L$7,$Q$7,$V$7)*$E$60/100,IFERROR((CHOOSE($D$60,$G$7,$L$7,$Q$7,$V$7)-CHOOSE($D$60,$G$7,$L$7,$Q$7,$V$7)*$G$60/100)/$H$60,0)))</f>
        <v>0</v>
      </c>
      <c r="H155">
        <f>IF(OR($B$60="",$B$8=""),0,IF($E$60&gt;0,CHOOSE($D$60,$G$8,$L$8,$Q$8,$V$8)*$E$60/100,IFERROR((CHOOSE($D$60,$G$8,$L$8,$Q$8,$V$8)-CHOOSE($D$60,$G$8,$L$8,$Q$8,$V$8)*$G$60/100)/$H$60,0)))</f>
        <v>0</v>
      </c>
      <c r="I155">
        <f>IF(OR($B$60="",$B$9=""),0,IF($E$60&gt;0,CHOOSE($D$60,$G$9,$L$9,$Q$9,$V$9)*$E$60/100,IFERROR((CHOOSE($D$60,$G$9,$L$9,$Q$9,$V$9)-CHOOSE($D$60,$G$9,$L$9,$Q$9,$V$9)*$G$60/100)/$H$60,0)))</f>
        <v>0</v>
      </c>
      <c r="J155">
        <f>IF(OR($B$60="",$B$10=""),0,IF($E$60&gt;0,CHOOSE($D$60,$G$10,$L$10,$Q$10,$V$10)*$E$60/100,IFERROR((CHOOSE($D$60,$G$10,$L$10,$Q$10,$V$10)-CHOOSE($D$60,$G$10,$L$10,$Q$10,$V$10)*$G$60/100)/$H$60,0)))</f>
        <v>0</v>
      </c>
      <c r="K155">
        <f>IF(OR($B$60="",$B$11=""),0,IF($E$60&gt;0,CHOOSE($D$60,$G$11,$L$11,$Q$11,$V$11)*$E$60/100,IFERROR((CHOOSE($D$60,$G$11,$L$11,$Q$11,$V$11)-CHOOSE($D$60,$G$11,$L$11,$Q$11,$V$11)*$G$60/100)/$H$60,0)))</f>
        <v>0</v>
      </c>
      <c r="L155">
        <f>IF(OR($B$60="",$B$12=""),0,IF($E$60&gt;0,CHOOSE($D$60,$G$12,$L$12,$Q$12,$V$12)*$E$60/100,IFERROR((CHOOSE($D$60,$G$12,$L$12,$Q$12,$V$12)-CHOOSE($D$60,$G$12,$L$12,$Q$12,$V$12)*$G$60/100)/$H$60,0)))</f>
        <v>0</v>
      </c>
      <c r="M155">
        <f>IF(OR($B$60="",$B$13=""),0,IF($E$60&gt;0,CHOOSE($D$60,$G$13,$L$13,$Q$13,$V$13)*$E$60/100,IFERROR((CHOOSE($D$60,$G$13,$L$13,$Q$13,$V$13)-CHOOSE($D$60,$G$13,$L$13,$Q$13,$V$13)*$G$60/100)/$H$60,0)))</f>
        <v>0</v>
      </c>
      <c r="N155">
        <f>IF(OR($B$60="",$B$14=""),0,IF($E$60&gt;0,CHOOSE($D$60,$G$14,$L$14,$Q$14,$V$14)*$E$60/100,IFERROR((CHOOSE($D$60,$G$14,$L$14,$Q$14,$V$14)-CHOOSE($D$60,$G$14,$L$14,$Q$14,$V$14)*$G$60/100)/$H$60,0)))</f>
        <v>0</v>
      </c>
      <c r="O155">
        <f>IF(OR($B$60="",$B$15=""),0,IF($E$60&gt;0,CHOOSE($D$60,$G$15,$L$15,$Q$15,$V$15)*$E$60/100,IFERROR((CHOOSE($D$60,$G$15,$L$15,$Q$15,$V$15)-CHOOSE($D$60,$G$15,$L$15,$Q$15,$V$15)*$G$60/100)/$H$60,0)))</f>
        <v>0</v>
      </c>
      <c r="P155">
        <f>IF(OR($B$60="",$B$16=""),0,IF($E$60&gt;0,CHOOSE($D$60,$G$16,$L$16,$Q$16,$V$16)*$E$60/100,IFERROR((CHOOSE($D$60,$G$16,$L$16,$Q$16,$V$16)-CHOOSE($D$60,$G$16,$L$16,$Q$16,$V$16)*$G$60/100)/$H$60,0)))</f>
        <v>0</v>
      </c>
      <c r="Q155">
        <f>IF(OR($B$60="",$B$17=""),0,IF($E$60&gt;0,CHOOSE($D$60,$G$17,$L$17,$Q$17,$V$17)*$E$60/100,IFERROR((CHOOSE($D$60,$G$17,$L$17,$Q$17,$V$17)-CHOOSE($D$60,$G$17,$L$17,$Q$17,$V$17)*$G$60/100)/$H$60,0)))</f>
        <v>0</v>
      </c>
      <c r="R155">
        <f>IF(OR($B$60="",$B$18=""),0,IF($E$60&gt;0,CHOOSE($D$60,$G$18,$L$18,$Q$18,$V$18)*$E$60/100,IFERROR((CHOOSE($D$60,$G$18,$L$18,$Q$18,$V$18)-CHOOSE($D$60,$G$18,$L$18,$Q$18,$V$18)*$G$60/100)/$H$60,0)))</f>
        <v>0</v>
      </c>
      <c r="S155">
        <f>IF(OR($B$60="",$B$19=""),0,IF($E$60&gt;0,CHOOSE($D$60,$G$19,$L$19,$Q$19,$V$19)*$E$60/100,IFERROR((CHOOSE($D$60,$G$19,$L$19,$Q$19,$V$19)-CHOOSE($D$60,$G$19,$L$19,$Q$19,$V$19)*$G$60/100)/$H$60,0)))</f>
        <v>0</v>
      </c>
      <c r="T155">
        <f>IF(OR($B$60="",$B$20=""),0,IF($E$60&gt;0,CHOOSE($D$60,$G$20,$L$20,$Q$20,$V$20)*$E$60/100,IFERROR((CHOOSE($D$60,$G$20,$L$20,$Q$20,$V$20)-CHOOSE($D$60,$G$20,$L$20,$Q$20,$V$20)*$G$60/100)/$H$60,0)))</f>
        <v>0</v>
      </c>
      <c r="U155">
        <f>IF(OR($B$60="",$B$21=""),0,IF($E$60&gt;0,CHOOSE($D$60,$G$21,$L$21,$Q$21,$V$21)*$E$60/100,IFERROR((CHOOSE($D$60,$G$21,$L$21,$Q$21,$V$21)-CHOOSE($D$60,$G$21,$L$21,$Q$21,$V$21)*$G$60/100)/$H$60,0)))</f>
        <v>0</v>
      </c>
      <c r="V155">
        <f>IF(OR($B$60="",$B$22=""),0,IF($E$60&gt;0,CHOOSE($D$60,$G$22,$L$22,$Q$22,$V$22)*$E$60/100,IFERROR((CHOOSE($D$60,$G$22,$L$22,$Q$22,$V$22)-CHOOSE($D$60,$G$22,$L$22,$Q$22,$V$22)*$G$60/100)/$H$60,0)))</f>
        <v>0</v>
      </c>
    </row>
    <row r="156" spans="1:22" x14ac:dyDescent="0.3">
      <c r="A156">
        <v>23</v>
      </c>
      <c r="B156" t="str">
        <f t="shared" si="13"/>
        <v/>
      </c>
      <c r="C156">
        <f>IF(OR($B$61="",$B$3=""),0,IF($E$61&gt;0,CHOOSE($D$61,$G$3,$L$3,$Q$3,$V$3)*$E$61/100,IFERROR((CHOOSE($D$61,$G$3,$L$3,$Q$3,$V$3)-CHOOSE($D$61,$G$3,$L$3,$Q$3,$V$3)*$G$61/100)/$H$61,0)))</f>
        <v>0</v>
      </c>
      <c r="D156">
        <f>IF(OR($B$61="",$B$4=""),0,IF($E$61&gt;0,CHOOSE($D$61,$G$4,$L$4,$Q$4,$V$4)*$E$61/100,IFERROR((CHOOSE($D$61,$G$4,$L$4,$Q$4,$V$4)-CHOOSE($D$61,$G$4,$L$4,$Q$4,$V$4)*$G$61/100)/$H$61,0)))</f>
        <v>0</v>
      </c>
      <c r="E156">
        <f>IF(OR($B$61="",$B$5=""),0,IF($E$61&gt;0,CHOOSE($D$61,$G$5,$L$5,$Q$5,$V$5)*$E$61/100,IFERROR((CHOOSE($D$61,$G$5,$L$5,$Q$5,$V$5)-CHOOSE($D$61,$G$5,$L$5,$Q$5,$V$5)*$G$61/100)/$H$61,0)))</f>
        <v>0</v>
      </c>
      <c r="F156">
        <f>IF(OR($B$61="",$B$6=""),0,IF($E$61&gt;0,CHOOSE($D$61,$G$6,$L$6,$Q$6,$V$6)*$E$61/100,IFERROR((CHOOSE($D$61,$G$6,$L$6,$Q$6,$V$6)-CHOOSE($D$61,$G$6,$L$6,$Q$6,$V$6)*$G$61/100)/$H$61,0)))</f>
        <v>0</v>
      </c>
      <c r="G156">
        <f>IF(OR($B$61="",$B$7=""),0,IF($E$61&gt;0,CHOOSE($D$61,$G$7,$L$7,$Q$7,$V$7)*$E$61/100,IFERROR((CHOOSE($D$61,$G$7,$L$7,$Q$7,$V$7)-CHOOSE($D$61,$G$7,$L$7,$Q$7,$V$7)*$G$61/100)/$H$61,0)))</f>
        <v>0</v>
      </c>
      <c r="H156">
        <f>IF(OR($B$61="",$B$8=""),0,IF($E$61&gt;0,CHOOSE($D$61,$G$8,$L$8,$Q$8,$V$8)*$E$61/100,IFERROR((CHOOSE($D$61,$G$8,$L$8,$Q$8,$V$8)-CHOOSE($D$61,$G$8,$L$8,$Q$8,$V$8)*$G$61/100)/$H$61,0)))</f>
        <v>0</v>
      </c>
      <c r="I156">
        <f>IF(OR($B$61="",$B$9=""),0,IF($E$61&gt;0,CHOOSE($D$61,$G$9,$L$9,$Q$9,$V$9)*$E$61/100,IFERROR((CHOOSE($D$61,$G$9,$L$9,$Q$9,$V$9)-CHOOSE($D$61,$G$9,$L$9,$Q$9,$V$9)*$G$61/100)/$H$61,0)))</f>
        <v>0</v>
      </c>
      <c r="J156">
        <f>IF(OR($B$61="",$B$10=""),0,IF($E$61&gt;0,CHOOSE($D$61,$G$10,$L$10,$Q$10,$V$10)*$E$61/100,IFERROR((CHOOSE($D$61,$G$10,$L$10,$Q$10,$V$10)-CHOOSE($D$61,$G$10,$L$10,$Q$10,$V$10)*$G$61/100)/$H$61,0)))</f>
        <v>0</v>
      </c>
      <c r="K156">
        <f>IF(OR($B$61="",$B$11=""),0,IF($E$61&gt;0,CHOOSE($D$61,$G$11,$L$11,$Q$11,$V$11)*$E$61/100,IFERROR((CHOOSE($D$61,$G$11,$L$11,$Q$11,$V$11)-CHOOSE($D$61,$G$11,$L$11,$Q$11,$V$11)*$G$61/100)/$H$61,0)))</f>
        <v>0</v>
      </c>
      <c r="L156">
        <f>IF(OR($B$61="",$B$12=""),0,IF($E$61&gt;0,CHOOSE($D$61,$G$12,$L$12,$Q$12,$V$12)*$E$61/100,IFERROR((CHOOSE($D$61,$G$12,$L$12,$Q$12,$V$12)-CHOOSE($D$61,$G$12,$L$12,$Q$12,$V$12)*$G$61/100)/$H$61,0)))</f>
        <v>0</v>
      </c>
      <c r="M156">
        <f>IF(OR($B$61="",$B$13=""),0,IF($E$61&gt;0,CHOOSE($D$61,$G$13,$L$13,$Q$13,$V$13)*$E$61/100,IFERROR((CHOOSE($D$61,$G$13,$L$13,$Q$13,$V$13)-CHOOSE($D$61,$G$13,$L$13,$Q$13,$V$13)*$G$61/100)/$H$61,0)))</f>
        <v>0</v>
      </c>
      <c r="N156">
        <f>IF(OR($B$61="",$B$14=""),0,IF($E$61&gt;0,CHOOSE($D$61,$G$14,$L$14,$Q$14,$V$14)*$E$61/100,IFERROR((CHOOSE($D$61,$G$14,$L$14,$Q$14,$V$14)-CHOOSE($D$61,$G$14,$L$14,$Q$14,$V$14)*$G$61/100)/$H$61,0)))</f>
        <v>0</v>
      </c>
      <c r="O156">
        <f>IF(OR($B$61="",$B$15=""),0,IF($E$61&gt;0,CHOOSE($D$61,$G$15,$L$15,$Q$15,$V$15)*$E$61/100,IFERROR((CHOOSE($D$61,$G$15,$L$15,$Q$15,$V$15)-CHOOSE($D$61,$G$15,$L$15,$Q$15,$V$15)*$G$61/100)/$H$61,0)))</f>
        <v>0</v>
      </c>
      <c r="P156">
        <f>IF(OR($B$61="",$B$16=""),0,IF($E$61&gt;0,CHOOSE($D$61,$G$16,$L$16,$Q$16,$V$16)*$E$61/100,IFERROR((CHOOSE($D$61,$G$16,$L$16,$Q$16,$V$16)-CHOOSE($D$61,$G$16,$L$16,$Q$16,$V$16)*$G$61/100)/$H$61,0)))</f>
        <v>0</v>
      </c>
      <c r="Q156">
        <f>IF(OR($B$61="",$B$17=""),0,IF($E$61&gt;0,CHOOSE($D$61,$G$17,$L$17,$Q$17,$V$17)*$E$61/100,IFERROR((CHOOSE($D$61,$G$17,$L$17,$Q$17,$V$17)-CHOOSE($D$61,$G$17,$L$17,$Q$17,$V$17)*$G$61/100)/$H$61,0)))</f>
        <v>0</v>
      </c>
      <c r="R156">
        <f>IF(OR($B$61="",$B$18=""),0,IF($E$61&gt;0,CHOOSE($D$61,$G$18,$L$18,$Q$18,$V$18)*$E$61/100,IFERROR((CHOOSE($D$61,$G$18,$L$18,$Q$18,$V$18)-CHOOSE($D$61,$G$18,$L$18,$Q$18,$V$18)*$G$61/100)/$H$61,0)))</f>
        <v>0</v>
      </c>
      <c r="S156">
        <f>IF(OR($B$61="",$B$19=""),0,IF($E$61&gt;0,CHOOSE($D$61,$G$19,$L$19,$Q$19,$V$19)*$E$61/100,IFERROR((CHOOSE($D$61,$G$19,$L$19,$Q$19,$V$19)-CHOOSE($D$61,$G$19,$L$19,$Q$19,$V$19)*$G$61/100)/$H$61,0)))</f>
        <v>0</v>
      </c>
      <c r="T156">
        <f>IF(OR($B$61="",$B$20=""),0,IF($E$61&gt;0,CHOOSE($D$61,$G$20,$L$20,$Q$20,$V$20)*$E$61/100,IFERROR((CHOOSE($D$61,$G$20,$L$20,$Q$20,$V$20)-CHOOSE($D$61,$G$20,$L$20,$Q$20,$V$20)*$G$61/100)/$H$61,0)))</f>
        <v>0</v>
      </c>
      <c r="U156">
        <f>IF(OR($B$61="",$B$21=""),0,IF($E$61&gt;0,CHOOSE($D$61,$G$21,$L$21,$Q$21,$V$21)*$E$61/100,IFERROR((CHOOSE($D$61,$G$21,$L$21,$Q$21,$V$21)-CHOOSE($D$61,$G$21,$L$21,$Q$21,$V$21)*$G$61/100)/$H$61,0)))</f>
        <v>0</v>
      </c>
      <c r="V156">
        <f>IF(OR($B$61="",$B$22=""),0,IF($E$61&gt;0,CHOOSE($D$61,$G$22,$L$22,$Q$22,$V$22)*$E$61/100,IFERROR((CHOOSE($D$61,$G$22,$L$22,$Q$22,$V$22)-CHOOSE($D$61,$G$22,$L$22,$Q$22,$V$22)*$G$61/100)/$H$61,0)))</f>
        <v>0</v>
      </c>
    </row>
    <row r="157" spans="1:22" x14ac:dyDescent="0.3">
      <c r="A157">
        <v>24</v>
      </c>
      <c r="B157" t="str">
        <f t="shared" si="13"/>
        <v/>
      </c>
      <c r="C157">
        <f>IF(OR($B$62="",$B$3=""),0,IF($E$62&gt;0,CHOOSE($D$62,$G$3,$L$3,$Q$3,$V$3)*$E$62/100,IFERROR((CHOOSE($D$62,$G$3,$L$3,$Q$3,$V$3)-CHOOSE($D$62,$G$3,$L$3,$Q$3,$V$3)*$G$62/100)/$H$62,0)))</f>
        <v>0</v>
      </c>
      <c r="D157">
        <f>IF(OR($B$62="",$B$4=""),0,IF($E$62&gt;0,CHOOSE($D$62,$G$4,$L$4,$Q$4,$V$4)*$E$62/100,IFERROR((CHOOSE($D$62,$G$4,$L$4,$Q$4,$V$4)-CHOOSE($D$62,$G$4,$L$4,$Q$4,$V$4)*$G$62/100)/$H$62,0)))</f>
        <v>0</v>
      </c>
      <c r="E157">
        <f>IF(OR($B$62="",$B$5=""),0,IF($E$62&gt;0,CHOOSE($D$62,$G$5,$L$5,$Q$5,$V$5)*$E$62/100,IFERROR((CHOOSE($D$62,$G$5,$L$5,$Q$5,$V$5)-CHOOSE($D$62,$G$5,$L$5,$Q$5,$V$5)*$G$62/100)/$H$62,0)))</f>
        <v>0</v>
      </c>
      <c r="F157">
        <f>IF(OR($B$62="",$B$6=""),0,IF($E$62&gt;0,CHOOSE($D$62,$G$6,$L$6,$Q$6,$V$6)*$E$62/100,IFERROR((CHOOSE($D$62,$G$6,$L$6,$Q$6,$V$6)-CHOOSE($D$62,$G$6,$L$6,$Q$6,$V$6)*$G$62/100)/$H$62,0)))</f>
        <v>0</v>
      </c>
      <c r="G157">
        <f>IF(OR($B$62="",$B$7=""),0,IF($E$62&gt;0,CHOOSE($D$62,$G$7,$L$7,$Q$7,$V$7)*$E$62/100,IFERROR((CHOOSE($D$62,$G$7,$L$7,$Q$7,$V$7)-CHOOSE($D$62,$G$7,$L$7,$Q$7,$V$7)*$G$62/100)/$H$62,0)))</f>
        <v>0</v>
      </c>
      <c r="H157">
        <f>IF(OR($B$62="",$B$8=""),0,IF($E$62&gt;0,CHOOSE($D$62,$G$8,$L$8,$Q$8,$V$8)*$E$62/100,IFERROR((CHOOSE($D$62,$G$8,$L$8,$Q$8,$V$8)-CHOOSE($D$62,$G$8,$L$8,$Q$8,$V$8)*$G$62/100)/$H$62,0)))</f>
        <v>0</v>
      </c>
      <c r="I157">
        <f>IF(OR($B$62="",$B$9=""),0,IF($E$62&gt;0,CHOOSE($D$62,$G$9,$L$9,$Q$9,$V$9)*$E$62/100,IFERROR((CHOOSE($D$62,$G$9,$L$9,$Q$9,$V$9)-CHOOSE($D$62,$G$9,$L$9,$Q$9,$V$9)*$G$62/100)/$H$62,0)))</f>
        <v>0</v>
      </c>
      <c r="J157">
        <f>IF(OR($B$62="",$B$10=""),0,IF($E$62&gt;0,CHOOSE($D$62,$G$10,$L$10,$Q$10,$V$10)*$E$62/100,IFERROR((CHOOSE($D$62,$G$10,$L$10,$Q$10,$V$10)-CHOOSE($D$62,$G$10,$L$10,$Q$10,$V$10)*$G$62/100)/$H$62,0)))</f>
        <v>0</v>
      </c>
      <c r="K157">
        <f>IF(OR($B$62="",$B$11=""),0,IF($E$62&gt;0,CHOOSE($D$62,$G$11,$L$11,$Q$11,$V$11)*$E$62/100,IFERROR((CHOOSE($D$62,$G$11,$L$11,$Q$11,$V$11)-CHOOSE($D$62,$G$11,$L$11,$Q$11,$V$11)*$G$62/100)/$H$62,0)))</f>
        <v>0</v>
      </c>
      <c r="L157">
        <f>IF(OR($B$62="",$B$12=""),0,IF($E$62&gt;0,CHOOSE($D$62,$G$12,$L$12,$Q$12,$V$12)*$E$62/100,IFERROR((CHOOSE($D$62,$G$12,$L$12,$Q$12,$V$12)-CHOOSE($D$62,$G$12,$L$12,$Q$12,$V$12)*$G$62/100)/$H$62,0)))</f>
        <v>0</v>
      </c>
      <c r="M157">
        <f>IF(OR($B$62="",$B$13=""),0,IF($E$62&gt;0,CHOOSE($D$62,$G$13,$L$13,$Q$13,$V$13)*$E$62/100,IFERROR((CHOOSE($D$62,$G$13,$L$13,$Q$13,$V$13)-CHOOSE($D$62,$G$13,$L$13,$Q$13,$V$13)*$G$62/100)/$H$62,0)))</f>
        <v>0</v>
      </c>
      <c r="N157">
        <f>IF(OR($B$62="",$B$14=""),0,IF($E$62&gt;0,CHOOSE($D$62,$G$14,$L$14,$Q$14,$V$14)*$E$62/100,IFERROR((CHOOSE($D$62,$G$14,$L$14,$Q$14,$V$14)-CHOOSE($D$62,$G$14,$L$14,$Q$14,$V$14)*$G$62/100)/$H$62,0)))</f>
        <v>0</v>
      </c>
      <c r="O157">
        <f>IF(OR($B$62="",$B$15=""),0,IF($E$62&gt;0,CHOOSE($D$62,$G$15,$L$15,$Q$15,$V$15)*$E$62/100,IFERROR((CHOOSE($D$62,$G$15,$L$15,$Q$15,$V$15)-CHOOSE($D$62,$G$15,$L$15,$Q$15,$V$15)*$G$62/100)/$H$62,0)))</f>
        <v>0</v>
      </c>
      <c r="P157">
        <f>IF(OR($B$62="",$B$16=""),0,IF($E$62&gt;0,CHOOSE($D$62,$G$16,$L$16,$Q$16,$V$16)*$E$62/100,IFERROR((CHOOSE($D$62,$G$16,$L$16,$Q$16,$V$16)-CHOOSE($D$62,$G$16,$L$16,$Q$16,$V$16)*$G$62/100)/$H$62,0)))</f>
        <v>0</v>
      </c>
      <c r="Q157">
        <f>IF(OR($B$62="",$B$17=""),0,IF($E$62&gt;0,CHOOSE($D$62,$G$17,$L$17,$Q$17,$V$17)*$E$62/100,IFERROR((CHOOSE($D$62,$G$17,$L$17,$Q$17,$V$17)-CHOOSE($D$62,$G$17,$L$17,$Q$17,$V$17)*$G$62/100)/$H$62,0)))</f>
        <v>0</v>
      </c>
      <c r="R157">
        <f>IF(OR($B$62="",$B$18=""),0,IF($E$62&gt;0,CHOOSE($D$62,$G$18,$L$18,$Q$18,$V$18)*$E$62/100,IFERROR((CHOOSE($D$62,$G$18,$L$18,$Q$18,$V$18)-CHOOSE($D$62,$G$18,$L$18,$Q$18,$V$18)*$G$62/100)/$H$62,0)))</f>
        <v>0</v>
      </c>
      <c r="S157">
        <f>IF(OR($B$62="",$B$19=""),0,IF($E$62&gt;0,CHOOSE($D$62,$G$19,$L$19,$Q$19,$V$19)*$E$62/100,IFERROR((CHOOSE($D$62,$G$19,$L$19,$Q$19,$V$19)-CHOOSE($D$62,$G$19,$L$19,$Q$19,$V$19)*$G$62/100)/$H$62,0)))</f>
        <v>0</v>
      </c>
      <c r="T157">
        <f>IF(OR($B$62="",$B$20=""),0,IF($E$62&gt;0,CHOOSE($D$62,$G$20,$L$20,$Q$20,$V$20)*$E$62/100,IFERROR((CHOOSE($D$62,$G$20,$L$20,$Q$20,$V$20)-CHOOSE($D$62,$G$20,$L$20,$Q$20,$V$20)*$G$62/100)/$H$62,0)))</f>
        <v>0</v>
      </c>
      <c r="U157">
        <f>IF(OR($B$62="",$B$21=""),0,IF($E$62&gt;0,CHOOSE($D$62,$G$21,$L$21,$Q$21,$V$21)*$E$62/100,IFERROR((CHOOSE($D$62,$G$21,$L$21,$Q$21,$V$21)-CHOOSE($D$62,$G$21,$L$21,$Q$21,$V$21)*$G$62/100)/$H$62,0)))</f>
        <v>0</v>
      </c>
      <c r="V157">
        <f>IF(OR($B$62="",$B$22=""),0,IF($E$62&gt;0,CHOOSE($D$62,$G$22,$L$22,$Q$22,$V$22)*$E$62/100,IFERROR((CHOOSE($D$62,$G$22,$L$22,$Q$22,$V$22)-CHOOSE($D$62,$G$22,$L$22,$Q$22,$V$22)*$G$62/100)/$H$62,0)))</f>
        <v>0</v>
      </c>
    </row>
    <row r="158" spans="1:22" x14ac:dyDescent="0.3">
      <c r="A158">
        <v>25</v>
      </c>
      <c r="B158" t="str">
        <f t="shared" si="13"/>
        <v/>
      </c>
      <c r="C158">
        <f>IF(OR($B$63="",$B$3=""),0,IF($E$63&gt;0,CHOOSE($D$63,$G$3,$L$3,$Q$3,$V$3)*$E$63/100,IFERROR((CHOOSE($D$63,$G$3,$L$3,$Q$3,$V$3)-CHOOSE($D$63,$G$3,$L$3,$Q$3,$V$3)*$G$63/100)/$H$63,0)))</f>
        <v>0</v>
      </c>
      <c r="D158">
        <f>IF(OR($B$63="",$B$4=""),0,IF($E$63&gt;0,CHOOSE($D$63,$G$4,$L$4,$Q$4,$V$4)*$E$63/100,IFERROR((CHOOSE($D$63,$G$4,$L$4,$Q$4,$V$4)-CHOOSE($D$63,$G$4,$L$4,$Q$4,$V$4)*$G$63/100)/$H$63,0)))</f>
        <v>0</v>
      </c>
      <c r="E158">
        <f>IF(OR($B$63="",$B$5=""),0,IF($E$63&gt;0,CHOOSE($D$63,$G$5,$L$5,$Q$5,$V$5)*$E$63/100,IFERROR((CHOOSE($D$63,$G$5,$L$5,$Q$5,$V$5)-CHOOSE($D$63,$G$5,$L$5,$Q$5,$V$5)*$G$63/100)/$H$63,0)))</f>
        <v>0</v>
      </c>
      <c r="F158">
        <f>IF(OR($B$63="",$B$6=""),0,IF($E$63&gt;0,CHOOSE($D$63,$G$6,$L$6,$Q$6,$V$6)*$E$63/100,IFERROR((CHOOSE($D$63,$G$6,$L$6,$Q$6,$V$6)-CHOOSE($D$63,$G$6,$L$6,$Q$6,$V$6)*$G$63/100)/$H$63,0)))</f>
        <v>0</v>
      </c>
      <c r="G158">
        <f>IF(OR($B$63="",$B$7=""),0,IF($E$63&gt;0,CHOOSE($D$63,$G$7,$L$7,$Q$7,$V$7)*$E$63/100,IFERROR((CHOOSE($D$63,$G$7,$L$7,$Q$7,$V$7)-CHOOSE($D$63,$G$7,$L$7,$Q$7,$V$7)*$G$63/100)/$H$63,0)))</f>
        <v>0</v>
      </c>
      <c r="H158">
        <f>IF(OR($B$63="",$B$8=""),0,IF($E$63&gt;0,CHOOSE($D$63,$G$8,$L$8,$Q$8,$V$8)*$E$63/100,IFERROR((CHOOSE($D$63,$G$8,$L$8,$Q$8,$V$8)-CHOOSE($D$63,$G$8,$L$8,$Q$8,$V$8)*$G$63/100)/$H$63,0)))</f>
        <v>0</v>
      </c>
      <c r="I158">
        <f>IF(OR($B$63="",$B$9=""),0,IF($E$63&gt;0,CHOOSE($D$63,$G$9,$L$9,$Q$9,$V$9)*$E$63/100,IFERROR((CHOOSE($D$63,$G$9,$L$9,$Q$9,$V$9)-CHOOSE($D$63,$G$9,$L$9,$Q$9,$V$9)*$G$63/100)/$H$63,0)))</f>
        <v>0</v>
      </c>
      <c r="J158">
        <f>IF(OR($B$63="",$B$10=""),0,IF($E$63&gt;0,CHOOSE($D$63,$G$10,$L$10,$Q$10,$V$10)*$E$63/100,IFERROR((CHOOSE($D$63,$G$10,$L$10,$Q$10,$V$10)-CHOOSE($D$63,$G$10,$L$10,$Q$10,$V$10)*$G$63/100)/$H$63,0)))</f>
        <v>0</v>
      </c>
      <c r="K158">
        <f>IF(OR($B$63="",$B$11=""),0,IF($E$63&gt;0,CHOOSE($D$63,$G$11,$L$11,$Q$11,$V$11)*$E$63/100,IFERROR((CHOOSE($D$63,$G$11,$L$11,$Q$11,$V$11)-CHOOSE($D$63,$G$11,$L$11,$Q$11,$V$11)*$G$63/100)/$H$63,0)))</f>
        <v>0</v>
      </c>
      <c r="L158">
        <f>IF(OR($B$63="",$B$12=""),0,IF($E$63&gt;0,CHOOSE($D$63,$G$12,$L$12,$Q$12,$V$12)*$E$63/100,IFERROR((CHOOSE($D$63,$G$12,$L$12,$Q$12,$V$12)-CHOOSE($D$63,$G$12,$L$12,$Q$12,$V$12)*$G$63/100)/$H$63,0)))</f>
        <v>0</v>
      </c>
      <c r="M158">
        <f>IF(OR($B$63="",$B$13=""),0,IF($E$63&gt;0,CHOOSE($D$63,$G$13,$L$13,$Q$13,$V$13)*$E$63/100,IFERROR((CHOOSE($D$63,$G$13,$L$13,$Q$13,$V$13)-CHOOSE($D$63,$G$13,$L$13,$Q$13,$V$13)*$G$63/100)/$H$63,0)))</f>
        <v>0</v>
      </c>
      <c r="N158">
        <f>IF(OR($B$63="",$B$14=""),0,IF($E$63&gt;0,CHOOSE($D$63,$G$14,$L$14,$Q$14,$V$14)*$E$63/100,IFERROR((CHOOSE($D$63,$G$14,$L$14,$Q$14,$V$14)-CHOOSE($D$63,$G$14,$L$14,$Q$14,$V$14)*$G$63/100)/$H$63,0)))</f>
        <v>0</v>
      </c>
      <c r="O158">
        <f>IF(OR($B$63="",$B$15=""),0,IF($E$63&gt;0,CHOOSE($D$63,$G$15,$L$15,$Q$15,$V$15)*$E$63/100,IFERROR((CHOOSE($D$63,$G$15,$L$15,$Q$15,$V$15)-CHOOSE($D$63,$G$15,$L$15,$Q$15,$V$15)*$G$63/100)/$H$63,0)))</f>
        <v>0</v>
      </c>
      <c r="P158">
        <f>IF(OR($B$63="",$B$16=""),0,IF($E$63&gt;0,CHOOSE($D$63,$G$16,$L$16,$Q$16,$V$16)*$E$63/100,IFERROR((CHOOSE($D$63,$G$16,$L$16,$Q$16,$V$16)-CHOOSE($D$63,$G$16,$L$16,$Q$16,$V$16)*$G$63/100)/$H$63,0)))</f>
        <v>0</v>
      </c>
      <c r="Q158">
        <f>IF(OR($B$63="",$B$17=""),0,IF($E$63&gt;0,CHOOSE($D$63,$G$17,$L$17,$Q$17,$V$17)*$E$63/100,IFERROR((CHOOSE($D$63,$G$17,$L$17,$Q$17,$V$17)-CHOOSE($D$63,$G$17,$L$17,$Q$17,$V$17)*$G$63/100)/$H$63,0)))</f>
        <v>0</v>
      </c>
      <c r="R158">
        <f>IF(OR($B$63="",$B$18=""),0,IF($E$63&gt;0,CHOOSE($D$63,$G$18,$L$18,$Q$18,$V$18)*$E$63/100,IFERROR((CHOOSE($D$63,$G$18,$L$18,$Q$18,$V$18)-CHOOSE($D$63,$G$18,$L$18,$Q$18,$V$18)*$G$63/100)/$H$63,0)))</f>
        <v>0</v>
      </c>
      <c r="S158">
        <f>IF(OR($B$63="",$B$19=""),0,IF($E$63&gt;0,CHOOSE($D$63,$G$19,$L$19,$Q$19,$V$19)*$E$63/100,IFERROR((CHOOSE($D$63,$G$19,$L$19,$Q$19,$V$19)-CHOOSE($D$63,$G$19,$L$19,$Q$19,$V$19)*$G$63/100)/$H$63,0)))</f>
        <v>0</v>
      </c>
      <c r="T158">
        <f>IF(OR($B$63="",$B$20=""),0,IF($E$63&gt;0,CHOOSE($D$63,$G$20,$L$20,$Q$20,$V$20)*$E$63/100,IFERROR((CHOOSE($D$63,$G$20,$L$20,$Q$20,$V$20)-CHOOSE($D$63,$G$20,$L$20,$Q$20,$V$20)*$G$63/100)/$H$63,0)))</f>
        <v>0</v>
      </c>
      <c r="U158">
        <f>IF(OR($B$63="",$B$21=""),0,IF($E$63&gt;0,CHOOSE($D$63,$G$21,$L$21,$Q$21,$V$21)*$E$63/100,IFERROR((CHOOSE($D$63,$G$21,$L$21,$Q$21,$V$21)-CHOOSE($D$63,$G$21,$L$21,$Q$21,$V$21)*$G$63/100)/$H$63,0)))</f>
        <v>0</v>
      </c>
      <c r="V158">
        <f>IF(OR($B$63="",$B$22=""),0,IF($E$63&gt;0,CHOOSE($D$63,$G$22,$L$22,$Q$22,$V$22)*$E$63/100,IFERROR((CHOOSE($D$63,$G$22,$L$22,$Q$22,$V$22)-CHOOSE($D$63,$G$22,$L$22,$Q$22,$V$22)*$G$63/100)/$H$63,0)))</f>
        <v>0</v>
      </c>
    </row>
    <row r="159" spans="1:22" x14ac:dyDescent="0.3">
      <c r="A159">
        <v>26</v>
      </c>
      <c r="B159" t="str">
        <f t="shared" si="13"/>
        <v/>
      </c>
      <c r="C159">
        <f>IF(OR($B$64="",$B$3=""),0,IF($E$64&gt;0,CHOOSE($D$64,$G$3,$L$3,$Q$3,$V$3)*$E$64/100,IFERROR((CHOOSE($D$64,$G$3,$L$3,$Q$3,$V$3)-CHOOSE($D$64,$G$3,$L$3,$Q$3,$V$3)*$G$64/100)/$H$64,0)))</f>
        <v>0</v>
      </c>
      <c r="D159">
        <f>IF(OR($B$64="",$B$4=""),0,IF($E$64&gt;0,CHOOSE($D$64,$G$4,$L$4,$Q$4,$V$4)*$E$64/100,IFERROR((CHOOSE($D$64,$G$4,$L$4,$Q$4,$V$4)-CHOOSE($D$64,$G$4,$L$4,$Q$4,$V$4)*$G$64/100)/$H$64,0)))</f>
        <v>0</v>
      </c>
      <c r="E159">
        <f>IF(OR($B$64="",$B$5=""),0,IF($E$64&gt;0,CHOOSE($D$64,$G$5,$L$5,$Q$5,$V$5)*$E$64/100,IFERROR((CHOOSE($D$64,$G$5,$L$5,$Q$5,$V$5)-CHOOSE($D$64,$G$5,$L$5,$Q$5,$V$5)*$G$64/100)/$H$64,0)))</f>
        <v>0</v>
      </c>
      <c r="F159">
        <f>IF(OR($B$64="",$B$6=""),0,IF($E$64&gt;0,CHOOSE($D$64,$G$6,$L$6,$Q$6,$V$6)*$E$64/100,IFERROR((CHOOSE($D$64,$G$6,$L$6,$Q$6,$V$6)-CHOOSE($D$64,$G$6,$L$6,$Q$6,$V$6)*$G$64/100)/$H$64,0)))</f>
        <v>0</v>
      </c>
      <c r="G159">
        <f>IF(OR($B$64="",$B$7=""),0,IF($E$64&gt;0,CHOOSE($D$64,$G$7,$L$7,$Q$7,$V$7)*$E$64/100,IFERROR((CHOOSE($D$64,$G$7,$L$7,$Q$7,$V$7)-CHOOSE($D$64,$G$7,$L$7,$Q$7,$V$7)*$G$64/100)/$H$64,0)))</f>
        <v>0</v>
      </c>
      <c r="H159">
        <f>IF(OR($B$64="",$B$8=""),0,IF($E$64&gt;0,CHOOSE($D$64,$G$8,$L$8,$Q$8,$V$8)*$E$64/100,IFERROR((CHOOSE($D$64,$G$8,$L$8,$Q$8,$V$8)-CHOOSE($D$64,$G$8,$L$8,$Q$8,$V$8)*$G$64/100)/$H$64,0)))</f>
        <v>0</v>
      </c>
      <c r="I159">
        <f>IF(OR($B$64="",$B$9=""),0,IF($E$64&gt;0,CHOOSE($D$64,$G$9,$L$9,$Q$9,$V$9)*$E$64/100,IFERROR((CHOOSE($D$64,$G$9,$L$9,$Q$9,$V$9)-CHOOSE($D$64,$G$9,$L$9,$Q$9,$V$9)*$G$64/100)/$H$64,0)))</f>
        <v>0</v>
      </c>
      <c r="J159">
        <f>IF(OR($B$64="",$B$10=""),0,IF($E$64&gt;0,CHOOSE($D$64,$G$10,$L$10,$Q$10,$V$10)*$E$64/100,IFERROR((CHOOSE($D$64,$G$10,$L$10,$Q$10,$V$10)-CHOOSE($D$64,$G$10,$L$10,$Q$10,$V$10)*$G$64/100)/$H$64,0)))</f>
        <v>0</v>
      </c>
      <c r="K159">
        <f>IF(OR($B$64="",$B$11=""),0,IF($E$64&gt;0,CHOOSE($D$64,$G$11,$L$11,$Q$11,$V$11)*$E$64/100,IFERROR((CHOOSE($D$64,$G$11,$L$11,$Q$11,$V$11)-CHOOSE($D$64,$G$11,$L$11,$Q$11,$V$11)*$G$64/100)/$H$64,0)))</f>
        <v>0</v>
      </c>
      <c r="L159">
        <f>IF(OR($B$64="",$B$12=""),0,IF($E$64&gt;0,CHOOSE($D$64,$G$12,$L$12,$Q$12,$V$12)*$E$64/100,IFERROR((CHOOSE($D$64,$G$12,$L$12,$Q$12,$V$12)-CHOOSE($D$64,$G$12,$L$12,$Q$12,$V$12)*$G$64/100)/$H$64,0)))</f>
        <v>0</v>
      </c>
      <c r="M159">
        <f>IF(OR($B$64="",$B$13=""),0,IF($E$64&gt;0,CHOOSE($D$64,$G$13,$L$13,$Q$13,$V$13)*$E$64/100,IFERROR((CHOOSE($D$64,$G$13,$L$13,$Q$13,$V$13)-CHOOSE($D$64,$G$13,$L$13,$Q$13,$V$13)*$G$64/100)/$H$64,0)))</f>
        <v>0</v>
      </c>
      <c r="N159">
        <f>IF(OR($B$64="",$B$14=""),0,IF($E$64&gt;0,CHOOSE($D$64,$G$14,$L$14,$Q$14,$V$14)*$E$64/100,IFERROR((CHOOSE($D$64,$G$14,$L$14,$Q$14,$V$14)-CHOOSE($D$64,$G$14,$L$14,$Q$14,$V$14)*$G$64/100)/$H$64,0)))</f>
        <v>0</v>
      </c>
      <c r="O159">
        <f>IF(OR($B$64="",$B$15=""),0,IF($E$64&gt;0,CHOOSE($D$64,$G$15,$L$15,$Q$15,$V$15)*$E$64/100,IFERROR((CHOOSE($D$64,$G$15,$L$15,$Q$15,$V$15)-CHOOSE($D$64,$G$15,$L$15,$Q$15,$V$15)*$G$64/100)/$H$64,0)))</f>
        <v>0</v>
      </c>
      <c r="P159">
        <f>IF(OR($B$64="",$B$16=""),0,IF($E$64&gt;0,CHOOSE($D$64,$G$16,$L$16,$Q$16,$V$16)*$E$64/100,IFERROR((CHOOSE($D$64,$G$16,$L$16,$Q$16,$V$16)-CHOOSE($D$64,$G$16,$L$16,$Q$16,$V$16)*$G$64/100)/$H$64,0)))</f>
        <v>0</v>
      </c>
      <c r="Q159">
        <f>IF(OR($B$64="",$B$17=""),0,IF($E$64&gt;0,CHOOSE($D$64,$G$17,$L$17,$Q$17,$V$17)*$E$64/100,IFERROR((CHOOSE($D$64,$G$17,$L$17,$Q$17,$V$17)-CHOOSE($D$64,$G$17,$L$17,$Q$17,$V$17)*$G$64/100)/$H$64,0)))</f>
        <v>0</v>
      </c>
      <c r="R159">
        <f>IF(OR($B$64="",$B$18=""),0,IF($E$64&gt;0,CHOOSE($D$64,$G$18,$L$18,$Q$18,$V$18)*$E$64/100,IFERROR((CHOOSE($D$64,$G$18,$L$18,$Q$18,$V$18)-CHOOSE($D$64,$G$18,$L$18,$Q$18,$V$18)*$G$64/100)/$H$64,0)))</f>
        <v>0</v>
      </c>
      <c r="S159">
        <f>IF(OR($B$64="",$B$19=""),0,IF($E$64&gt;0,CHOOSE($D$64,$G$19,$L$19,$Q$19,$V$19)*$E$64/100,IFERROR((CHOOSE($D$64,$G$19,$L$19,$Q$19,$V$19)-CHOOSE($D$64,$G$19,$L$19,$Q$19,$V$19)*$G$64/100)/$H$64,0)))</f>
        <v>0</v>
      </c>
      <c r="T159">
        <f>IF(OR($B$64="",$B$20=""),0,IF($E$64&gt;0,CHOOSE($D$64,$G$20,$L$20,$Q$20,$V$20)*$E$64/100,IFERROR((CHOOSE($D$64,$G$20,$L$20,$Q$20,$V$20)-CHOOSE($D$64,$G$20,$L$20,$Q$20,$V$20)*$G$64/100)/$H$64,0)))</f>
        <v>0</v>
      </c>
      <c r="U159">
        <f>IF(OR($B$64="",$B$21=""),0,IF($E$64&gt;0,CHOOSE($D$64,$G$21,$L$21,$Q$21,$V$21)*$E$64/100,IFERROR((CHOOSE($D$64,$G$21,$L$21,$Q$21,$V$21)-CHOOSE($D$64,$G$21,$L$21,$Q$21,$V$21)*$G$64/100)/$H$64,0)))</f>
        <v>0</v>
      </c>
      <c r="V159">
        <f>IF(OR($B$64="",$B$22=""),0,IF($E$64&gt;0,CHOOSE($D$64,$G$22,$L$22,$Q$22,$V$22)*$E$64/100,IFERROR((CHOOSE($D$64,$G$22,$L$22,$Q$22,$V$22)-CHOOSE($D$64,$G$22,$L$22,$Q$22,$V$22)*$G$64/100)/$H$64,0)))</f>
        <v>0</v>
      </c>
    </row>
    <row r="160" spans="1:22" x14ac:dyDescent="0.3">
      <c r="A160">
        <v>27</v>
      </c>
      <c r="B160" t="str">
        <f t="shared" si="13"/>
        <v/>
      </c>
      <c r="C160">
        <f>IF(OR($B$65="",$B$3=""),0,IF($E$65&gt;0,CHOOSE($D$65,$G$3,$L$3,$Q$3,$V$3)*$E$65/100,IFERROR((CHOOSE($D$65,$G$3,$L$3,$Q$3,$V$3)-CHOOSE($D$65,$G$3,$L$3,$Q$3,$V$3)*$G$65/100)/$H$65,0)))</f>
        <v>0</v>
      </c>
      <c r="D160">
        <f>IF(OR($B$65="",$B$4=""),0,IF($E$65&gt;0,CHOOSE($D$65,$G$4,$L$4,$Q$4,$V$4)*$E$65/100,IFERROR((CHOOSE($D$65,$G$4,$L$4,$Q$4,$V$4)-CHOOSE($D$65,$G$4,$L$4,$Q$4,$V$4)*$G$65/100)/$H$65,0)))</f>
        <v>0</v>
      </c>
      <c r="E160">
        <f>IF(OR($B$65="",$B$5=""),0,IF($E$65&gt;0,CHOOSE($D$65,$G$5,$L$5,$Q$5,$V$5)*$E$65/100,IFERROR((CHOOSE($D$65,$G$5,$L$5,$Q$5,$V$5)-CHOOSE($D$65,$G$5,$L$5,$Q$5,$V$5)*$G$65/100)/$H$65,0)))</f>
        <v>0</v>
      </c>
      <c r="F160">
        <f>IF(OR($B$65="",$B$6=""),0,IF($E$65&gt;0,CHOOSE($D$65,$G$6,$L$6,$Q$6,$V$6)*$E$65/100,IFERROR((CHOOSE($D$65,$G$6,$L$6,$Q$6,$V$6)-CHOOSE($D$65,$G$6,$L$6,$Q$6,$V$6)*$G$65/100)/$H$65,0)))</f>
        <v>0</v>
      </c>
      <c r="G160">
        <f>IF(OR($B$65="",$B$7=""),0,IF($E$65&gt;0,CHOOSE($D$65,$G$7,$L$7,$Q$7,$V$7)*$E$65/100,IFERROR((CHOOSE($D$65,$G$7,$L$7,$Q$7,$V$7)-CHOOSE($D$65,$G$7,$L$7,$Q$7,$V$7)*$G$65/100)/$H$65,0)))</f>
        <v>0</v>
      </c>
      <c r="H160">
        <f>IF(OR($B$65="",$B$8=""),0,IF($E$65&gt;0,CHOOSE($D$65,$G$8,$L$8,$Q$8,$V$8)*$E$65/100,IFERROR((CHOOSE($D$65,$G$8,$L$8,$Q$8,$V$8)-CHOOSE($D$65,$G$8,$L$8,$Q$8,$V$8)*$G$65/100)/$H$65,0)))</f>
        <v>0</v>
      </c>
      <c r="I160">
        <f>IF(OR($B$65="",$B$9=""),0,IF($E$65&gt;0,CHOOSE($D$65,$G$9,$L$9,$Q$9,$V$9)*$E$65/100,IFERROR((CHOOSE($D$65,$G$9,$L$9,$Q$9,$V$9)-CHOOSE($D$65,$G$9,$L$9,$Q$9,$V$9)*$G$65/100)/$H$65,0)))</f>
        <v>0</v>
      </c>
      <c r="J160">
        <f>IF(OR($B$65="",$B$10=""),0,IF($E$65&gt;0,CHOOSE($D$65,$G$10,$L$10,$Q$10,$V$10)*$E$65/100,IFERROR((CHOOSE($D$65,$G$10,$L$10,$Q$10,$V$10)-CHOOSE($D$65,$G$10,$L$10,$Q$10,$V$10)*$G$65/100)/$H$65,0)))</f>
        <v>0</v>
      </c>
      <c r="K160">
        <f>IF(OR($B$65="",$B$11=""),0,IF($E$65&gt;0,CHOOSE($D$65,$G$11,$L$11,$Q$11,$V$11)*$E$65/100,IFERROR((CHOOSE($D$65,$G$11,$L$11,$Q$11,$V$11)-CHOOSE($D$65,$G$11,$L$11,$Q$11,$V$11)*$G$65/100)/$H$65,0)))</f>
        <v>0</v>
      </c>
      <c r="L160">
        <f>IF(OR($B$65="",$B$12=""),0,IF($E$65&gt;0,CHOOSE($D$65,$G$12,$L$12,$Q$12,$V$12)*$E$65/100,IFERROR((CHOOSE($D$65,$G$12,$L$12,$Q$12,$V$12)-CHOOSE($D$65,$G$12,$L$12,$Q$12,$V$12)*$G$65/100)/$H$65,0)))</f>
        <v>0</v>
      </c>
      <c r="M160">
        <f>IF(OR($B$65="",$B$13=""),0,IF($E$65&gt;0,CHOOSE($D$65,$G$13,$L$13,$Q$13,$V$13)*$E$65/100,IFERROR((CHOOSE($D$65,$G$13,$L$13,$Q$13,$V$13)-CHOOSE($D$65,$G$13,$L$13,$Q$13,$V$13)*$G$65/100)/$H$65,0)))</f>
        <v>0</v>
      </c>
      <c r="N160">
        <f>IF(OR($B$65="",$B$14=""),0,IF($E$65&gt;0,CHOOSE($D$65,$G$14,$L$14,$Q$14,$V$14)*$E$65/100,IFERROR((CHOOSE($D$65,$G$14,$L$14,$Q$14,$V$14)-CHOOSE($D$65,$G$14,$L$14,$Q$14,$V$14)*$G$65/100)/$H$65,0)))</f>
        <v>0</v>
      </c>
      <c r="O160">
        <f>IF(OR($B$65="",$B$15=""),0,IF($E$65&gt;0,CHOOSE($D$65,$G$15,$L$15,$Q$15,$V$15)*$E$65/100,IFERROR((CHOOSE($D$65,$G$15,$L$15,$Q$15,$V$15)-CHOOSE($D$65,$G$15,$L$15,$Q$15,$V$15)*$G$65/100)/$H$65,0)))</f>
        <v>0</v>
      </c>
      <c r="P160">
        <f>IF(OR($B$65="",$B$16=""),0,IF($E$65&gt;0,CHOOSE($D$65,$G$16,$L$16,$Q$16,$V$16)*$E$65/100,IFERROR((CHOOSE($D$65,$G$16,$L$16,$Q$16,$V$16)-CHOOSE($D$65,$G$16,$L$16,$Q$16,$V$16)*$G$65/100)/$H$65,0)))</f>
        <v>0</v>
      </c>
      <c r="Q160">
        <f>IF(OR($B$65="",$B$17=""),0,IF($E$65&gt;0,CHOOSE($D$65,$G$17,$L$17,$Q$17,$V$17)*$E$65/100,IFERROR((CHOOSE($D$65,$G$17,$L$17,$Q$17,$V$17)-CHOOSE($D$65,$G$17,$L$17,$Q$17,$V$17)*$G$65/100)/$H$65,0)))</f>
        <v>0</v>
      </c>
      <c r="R160">
        <f>IF(OR($B$65="",$B$18=""),0,IF($E$65&gt;0,CHOOSE($D$65,$G$18,$L$18,$Q$18,$V$18)*$E$65/100,IFERROR((CHOOSE($D$65,$G$18,$L$18,$Q$18,$V$18)-CHOOSE($D$65,$G$18,$L$18,$Q$18,$V$18)*$G$65/100)/$H$65,0)))</f>
        <v>0</v>
      </c>
      <c r="S160">
        <f>IF(OR($B$65="",$B$19=""),0,IF($E$65&gt;0,CHOOSE($D$65,$G$19,$L$19,$Q$19,$V$19)*$E$65/100,IFERROR((CHOOSE($D$65,$G$19,$L$19,$Q$19,$V$19)-CHOOSE($D$65,$G$19,$L$19,$Q$19,$V$19)*$G$65/100)/$H$65,0)))</f>
        <v>0</v>
      </c>
      <c r="T160">
        <f>IF(OR($B$65="",$B$20=""),0,IF($E$65&gt;0,CHOOSE($D$65,$G$20,$L$20,$Q$20,$V$20)*$E$65/100,IFERROR((CHOOSE($D$65,$G$20,$L$20,$Q$20,$V$20)-CHOOSE($D$65,$G$20,$L$20,$Q$20,$V$20)*$G$65/100)/$H$65,0)))</f>
        <v>0</v>
      </c>
      <c r="U160">
        <f>IF(OR($B$65="",$B$21=""),0,IF($E$65&gt;0,CHOOSE($D$65,$G$21,$L$21,$Q$21,$V$21)*$E$65/100,IFERROR((CHOOSE($D$65,$G$21,$L$21,$Q$21,$V$21)-CHOOSE($D$65,$G$21,$L$21,$Q$21,$V$21)*$G$65/100)/$H$65,0)))</f>
        <v>0</v>
      </c>
      <c r="V160">
        <f>IF(OR($B$65="",$B$22=""),0,IF($E$65&gt;0,CHOOSE($D$65,$G$22,$L$22,$Q$22,$V$22)*$E$65/100,IFERROR((CHOOSE($D$65,$G$22,$L$22,$Q$22,$V$22)-CHOOSE($D$65,$G$22,$L$22,$Q$22,$V$22)*$G$65/100)/$H$65,0)))</f>
        <v>0</v>
      </c>
    </row>
    <row r="161" spans="1:22" x14ac:dyDescent="0.3">
      <c r="A161">
        <v>28</v>
      </c>
      <c r="B161" t="str">
        <f t="shared" si="13"/>
        <v/>
      </c>
      <c r="C161">
        <f>IF(OR($B$66="",$B$3=""),0,IF($E$66&gt;0,CHOOSE($D$66,$G$3,$L$3,$Q$3,$V$3)*$E$66/100,IFERROR((CHOOSE($D$66,$G$3,$L$3,$Q$3,$V$3)-CHOOSE($D$66,$G$3,$L$3,$Q$3,$V$3)*$G$66/100)/$H$66,0)))</f>
        <v>0</v>
      </c>
      <c r="D161">
        <f>IF(OR($B$66="",$B$4=""),0,IF($E$66&gt;0,CHOOSE($D$66,$G$4,$L$4,$Q$4,$V$4)*$E$66/100,IFERROR((CHOOSE($D$66,$G$4,$L$4,$Q$4,$V$4)-CHOOSE($D$66,$G$4,$L$4,$Q$4,$V$4)*$G$66/100)/$H$66,0)))</f>
        <v>0</v>
      </c>
      <c r="E161">
        <f>IF(OR($B$66="",$B$5=""),0,IF($E$66&gt;0,CHOOSE($D$66,$G$5,$L$5,$Q$5,$V$5)*$E$66/100,IFERROR((CHOOSE($D$66,$G$5,$L$5,$Q$5,$V$5)-CHOOSE($D$66,$G$5,$L$5,$Q$5,$V$5)*$G$66/100)/$H$66,0)))</f>
        <v>0</v>
      </c>
      <c r="F161">
        <f>IF(OR($B$66="",$B$6=""),0,IF($E$66&gt;0,CHOOSE($D$66,$G$6,$L$6,$Q$6,$V$6)*$E$66/100,IFERROR((CHOOSE($D$66,$G$6,$L$6,$Q$6,$V$6)-CHOOSE($D$66,$G$6,$L$6,$Q$6,$V$6)*$G$66/100)/$H$66,0)))</f>
        <v>0</v>
      </c>
      <c r="G161">
        <f>IF(OR($B$66="",$B$7=""),0,IF($E$66&gt;0,CHOOSE($D$66,$G$7,$L$7,$Q$7,$V$7)*$E$66/100,IFERROR((CHOOSE($D$66,$G$7,$L$7,$Q$7,$V$7)-CHOOSE($D$66,$G$7,$L$7,$Q$7,$V$7)*$G$66/100)/$H$66,0)))</f>
        <v>0</v>
      </c>
      <c r="H161">
        <f>IF(OR($B$66="",$B$8=""),0,IF($E$66&gt;0,CHOOSE($D$66,$G$8,$L$8,$Q$8,$V$8)*$E$66/100,IFERROR((CHOOSE($D$66,$G$8,$L$8,$Q$8,$V$8)-CHOOSE($D$66,$G$8,$L$8,$Q$8,$V$8)*$G$66/100)/$H$66,0)))</f>
        <v>0</v>
      </c>
      <c r="I161">
        <f>IF(OR($B$66="",$B$9=""),0,IF($E$66&gt;0,CHOOSE($D$66,$G$9,$L$9,$Q$9,$V$9)*$E$66/100,IFERROR((CHOOSE($D$66,$G$9,$L$9,$Q$9,$V$9)-CHOOSE($D$66,$G$9,$L$9,$Q$9,$V$9)*$G$66/100)/$H$66,0)))</f>
        <v>0</v>
      </c>
      <c r="J161">
        <f>IF(OR($B$66="",$B$10=""),0,IF($E$66&gt;0,CHOOSE($D$66,$G$10,$L$10,$Q$10,$V$10)*$E$66/100,IFERROR((CHOOSE($D$66,$G$10,$L$10,$Q$10,$V$10)-CHOOSE($D$66,$G$10,$L$10,$Q$10,$V$10)*$G$66/100)/$H$66,0)))</f>
        <v>0</v>
      </c>
      <c r="K161">
        <f>IF(OR($B$66="",$B$11=""),0,IF($E$66&gt;0,CHOOSE($D$66,$G$11,$L$11,$Q$11,$V$11)*$E$66/100,IFERROR((CHOOSE($D$66,$G$11,$L$11,$Q$11,$V$11)-CHOOSE($D$66,$G$11,$L$11,$Q$11,$V$11)*$G$66/100)/$H$66,0)))</f>
        <v>0</v>
      </c>
      <c r="L161">
        <f>IF(OR($B$66="",$B$12=""),0,IF($E$66&gt;0,CHOOSE($D$66,$G$12,$L$12,$Q$12,$V$12)*$E$66/100,IFERROR((CHOOSE($D$66,$G$12,$L$12,$Q$12,$V$12)-CHOOSE($D$66,$G$12,$L$12,$Q$12,$V$12)*$G$66/100)/$H$66,0)))</f>
        <v>0</v>
      </c>
      <c r="M161">
        <f>IF(OR($B$66="",$B$13=""),0,IF($E$66&gt;0,CHOOSE($D$66,$G$13,$L$13,$Q$13,$V$13)*$E$66/100,IFERROR((CHOOSE($D$66,$G$13,$L$13,$Q$13,$V$13)-CHOOSE($D$66,$G$13,$L$13,$Q$13,$V$13)*$G$66/100)/$H$66,0)))</f>
        <v>0</v>
      </c>
      <c r="N161">
        <f>IF(OR($B$66="",$B$14=""),0,IF($E$66&gt;0,CHOOSE($D$66,$G$14,$L$14,$Q$14,$V$14)*$E$66/100,IFERROR((CHOOSE($D$66,$G$14,$L$14,$Q$14,$V$14)-CHOOSE($D$66,$G$14,$L$14,$Q$14,$V$14)*$G$66/100)/$H$66,0)))</f>
        <v>0</v>
      </c>
      <c r="O161">
        <f>IF(OR($B$66="",$B$15=""),0,IF($E$66&gt;0,CHOOSE($D$66,$G$15,$L$15,$Q$15,$V$15)*$E$66/100,IFERROR((CHOOSE($D$66,$G$15,$L$15,$Q$15,$V$15)-CHOOSE($D$66,$G$15,$L$15,$Q$15,$V$15)*$G$66/100)/$H$66,0)))</f>
        <v>0</v>
      </c>
      <c r="P161">
        <f>IF(OR($B$66="",$B$16=""),0,IF($E$66&gt;0,CHOOSE($D$66,$G$16,$L$16,$Q$16,$V$16)*$E$66/100,IFERROR((CHOOSE($D$66,$G$16,$L$16,$Q$16,$V$16)-CHOOSE($D$66,$G$16,$L$16,$Q$16,$V$16)*$G$66/100)/$H$66,0)))</f>
        <v>0</v>
      </c>
      <c r="Q161">
        <f>IF(OR($B$66="",$B$17=""),0,IF($E$66&gt;0,CHOOSE($D$66,$G$17,$L$17,$Q$17,$V$17)*$E$66/100,IFERROR((CHOOSE($D$66,$G$17,$L$17,$Q$17,$V$17)-CHOOSE($D$66,$G$17,$L$17,$Q$17,$V$17)*$G$66/100)/$H$66,0)))</f>
        <v>0</v>
      </c>
      <c r="R161">
        <f>IF(OR($B$66="",$B$18=""),0,IF($E$66&gt;0,CHOOSE($D$66,$G$18,$L$18,$Q$18,$V$18)*$E$66/100,IFERROR((CHOOSE($D$66,$G$18,$L$18,$Q$18,$V$18)-CHOOSE($D$66,$G$18,$L$18,$Q$18,$V$18)*$G$66/100)/$H$66,0)))</f>
        <v>0</v>
      </c>
      <c r="S161">
        <f>IF(OR($B$66="",$B$19=""),0,IF($E$66&gt;0,CHOOSE($D$66,$G$19,$L$19,$Q$19,$V$19)*$E$66/100,IFERROR((CHOOSE($D$66,$G$19,$L$19,$Q$19,$V$19)-CHOOSE($D$66,$G$19,$L$19,$Q$19,$V$19)*$G$66/100)/$H$66,0)))</f>
        <v>0</v>
      </c>
      <c r="T161">
        <f>IF(OR($B$66="",$B$20=""),0,IF($E$66&gt;0,CHOOSE($D$66,$G$20,$L$20,$Q$20,$V$20)*$E$66/100,IFERROR((CHOOSE($D$66,$G$20,$L$20,$Q$20,$V$20)-CHOOSE($D$66,$G$20,$L$20,$Q$20,$V$20)*$G$66/100)/$H$66,0)))</f>
        <v>0</v>
      </c>
      <c r="U161">
        <f>IF(OR($B$66="",$B$21=""),0,IF($E$66&gt;0,CHOOSE($D$66,$G$21,$L$21,$Q$21,$V$21)*$E$66/100,IFERROR((CHOOSE($D$66,$G$21,$L$21,$Q$21,$V$21)-CHOOSE($D$66,$G$21,$L$21,$Q$21,$V$21)*$G$66/100)/$H$66,0)))</f>
        <v>0</v>
      </c>
      <c r="V161">
        <f>IF(OR($B$66="",$B$22=""),0,IF($E$66&gt;0,CHOOSE($D$66,$G$22,$L$22,$Q$22,$V$22)*$E$66/100,IFERROR((CHOOSE($D$66,$G$22,$L$22,$Q$22,$V$22)-CHOOSE($D$66,$G$22,$L$22,$Q$22,$V$22)*$G$66/100)/$H$66,0)))</f>
        <v>0</v>
      </c>
    </row>
    <row r="162" spans="1:22" x14ac:dyDescent="0.3">
      <c r="A162">
        <v>29</v>
      </c>
      <c r="B162" t="str">
        <f t="shared" si="13"/>
        <v/>
      </c>
      <c r="C162">
        <f>IF(OR($B$67="",$B$3=""),0,IF($E$67&gt;0,CHOOSE($D$67,$G$3,$L$3,$Q$3,$V$3)*$E$67/100,IFERROR((CHOOSE($D$67,$G$3,$L$3,$Q$3,$V$3)-CHOOSE($D$67,$G$3,$L$3,$Q$3,$V$3)*$G$67/100)/$H$67,0)))</f>
        <v>0</v>
      </c>
      <c r="D162">
        <f>IF(OR($B$67="",$B$4=""),0,IF($E$67&gt;0,CHOOSE($D$67,$G$4,$L$4,$Q$4,$V$4)*$E$67/100,IFERROR((CHOOSE($D$67,$G$4,$L$4,$Q$4,$V$4)-CHOOSE($D$67,$G$4,$L$4,$Q$4,$V$4)*$G$67/100)/$H$67,0)))</f>
        <v>0</v>
      </c>
      <c r="E162">
        <f>IF(OR($B$67="",$B$5=""),0,IF($E$67&gt;0,CHOOSE($D$67,$G$5,$L$5,$Q$5,$V$5)*$E$67/100,IFERROR((CHOOSE($D$67,$G$5,$L$5,$Q$5,$V$5)-CHOOSE($D$67,$G$5,$L$5,$Q$5,$V$5)*$G$67/100)/$H$67,0)))</f>
        <v>0</v>
      </c>
      <c r="F162">
        <f>IF(OR($B$67="",$B$6=""),0,IF($E$67&gt;0,CHOOSE($D$67,$G$6,$L$6,$Q$6,$V$6)*$E$67/100,IFERROR((CHOOSE($D$67,$G$6,$L$6,$Q$6,$V$6)-CHOOSE($D$67,$G$6,$L$6,$Q$6,$V$6)*$G$67/100)/$H$67,0)))</f>
        <v>0</v>
      </c>
      <c r="G162">
        <f>IF(OR($B$67="",$B$7=""),0,IF($E$67&gt;0,CHOOSE($D$67,$G$7,$L$7,$Q$7,$V$7)*$E$67/100,IFERROR((CHOOSE($D$67,$G$7,$L$7,$Q$7,$V$7)-CHOOSE($D$67,$G$7,$L$7,$Q$7,$V$7)*$G$67/100)/$H$67,0)))</f>
        <v>0</v>
      </c>
      <c r="H162">
        <f>IF(OR($B$67="",$B$8=""),0,IF($E$67&gt;0,CHOOSE($D$67,$G$8,$L$8,$Q$8,$V$8)*$E$67/100,IFERROR((CHOOSE($D$67,$G$8,$L$8,$Q$8,$V$8)-CHOOSE($D$67,$G$8,$L$8,$Q$8,$V$8)*$G$67/100)/$H$67,0)))</f>
        <v>0</v>
      </c>
      <c r="I162">
        <f>IF(OR($B$67="",$B$9=""),0,IF($E$67&gt;0,CHOOSE($D$67,$G$9,$L$9,$Q$9,$V$9)*$E$67/100,IFERROR((CHOOSE($D$67,$G$9,$L$9,$Q$9,$V$9)-CHOOSE($D$67,$G$9,$L$9,$Q$9,$V$9)*$G$67/100)/$H$67,0)))</f>
        <v>0</v>
      </c>
      <c r="J162">
        <f>IF(OR($B$67="",$B$10=""),0,IF($E$67&gt;0,CHOOSE($D$67,$G$10,$L$10,$Q$10,$V$10)*$E$67/100,IFERROR((CHOOSE($D$67,$G$10,$L$10,$Q$10,$V$10)-CHOOSE($D$67,$G$10,$L$10,$Q$10,$V$10)*$G$67/100)/$H$67,0)))</f>
        <v>0</v>
      </c>
      <c r="K162">
        <f>IF(OR($B$67="",$B$11=""),0,IF($E$67&gt;0,CHOOSE($D$67,$G$11,$L$11,$Q$11,$V$11)*$E$67/100,IFERROR((CHOOSE($D$67,$G$11,$L$11,$Q$11,$V$11)-CHOOSE($D$67,$G$11,$L$11,$Q$11,$V$11)*$G$67/100)/$H$67,0)))</f>
        <v>0</v>
      </c>
      <c r="L162">
        <f>IF(OR($B$67="",$B$12=""),0,IF($E$67&gt;0,CHOOSE($D$67,$G$12,$L$12,$Q$12,$V$12)*$E$67/100,IFERROR((CHOOSE($D$67,$G$12,$L$12,$Q$12,$V$12)-CHOOSE($D$67,$G$12,$L$12,$Q$12,$V$12)*$G$67/100)/$H$67,0)))</f>
        <v>0</v>
      </c>
      <c r="M162">
        <f>IF(OR($B$67="",$B$13=""),0,IF($E$67&gt;0,CHOOSE($D$67,$G$13,$L$13,$Q$13,$V$13)*$E$67/100,IFERROR((CHOOSE($D$67,$G$13,$L$13,$Q$13,$V$13)-CHOOSE($D$67,$G$13,$L$13,$Q$13,$V$13)*$G$67/100)/$H$67,0)))</f>
        <v>0</v>
      </c>
      <c r="N162">
        <f>IF(OR($B$67="",$B$14=""),0,IF($E$67&gt;0,CHOOSE($D$67,$G$14,$L$14,$Q$14,$V$14)*$E$67/100,IFERROR((CHOOSE($D$67,$G$14,$L$14,$Q$14,$V$14)-CHOOSE($D$67,$G$14,$L$14,$Q$14,$V$14)*$G$67/100)/$H$67,0)))</f>
        <v>0</v>
      </c>
      <c r="O162">
        <f>IF(OR($B$67="",$B$15=""),0,IF($E$67&gt;0,CHOOSE($D$67,$G$15,$L$15,$Q$15,$V$15)*$E$67/100,IFERROR((CHOOSE($D$67,$G$15,$L$15,$Q$15,$V$15)-CHOOSE($D$67,$G$15,$L$15,$Q$15,$V$15)*$G$67/100)/$H$67,0)))</f>
        <v>0</v>
      </c>
      <c r="P162">
        <f>IF(OR($B$67="",$B$16=""),0,IF($E$67&gt;0,CHOOSE($D$67,$G$16,$L$16,$Q$16,$V$16)*$E$67/100,IFERROR((CHOOSE($D$67,$G$16,$L$16,$Q$16,$V$16)-CHOOSE($D$67,$G$16,$L$16,$Q$16,$V$16)*$G$67/100)/$H$67,0)))</f>
        <v>0</v>
      </c>
      <c r="Q162">
        <f>IF(OR($B$67="",$B$17=""),0,IF($E$67&gt;0,CHOOSE($D$67,$G$17,$L$17,$Q$17,$V$17)*$E$67/100,IFERROR((CHOOSE($D$67,$G$17,$L$17,$Q$17,$V$17)-CHOOSE($D$67,$G$17,$L$17,$Q$17,$V$17)*$G$67/100)/$H$67,0)))</f>
        <v>0</v>
      </c>
      <c r="R162">
        <f>IF(OR($B$67="",$B$18=""),0,IF($E$67&gt;0,CHOOSE($D$67,$G$18,$L$18,$Q$18,$V$18)*$E$67/100,IFERROR((CHOOSE($D$67,$G$18,$L$18,$Q$18,$V$18)-CHOOSE($D$67,$G$18,$L$18,$Q$18,$V$18)*$G$67/100)/$H$67,0)))</f>
        <v>0</v>
      </c>
      <c r="S162">
        <f>IF(OR($B$67="",$B$19=""),0,IF($E$67&gt;0,CHOOSE($D$67,$G$19,$L$19,$Q$19,$V$19)*$E$67/100,IFERROR((CHOOSE($D$67,$G$19,$L$19,$Q$19,$V$19)-CHOOSE($D$67,$G$19,$L$19,$Q$19,$V$19)*$G$67/100)/$H$67,0)))</f>
        <v>0</v>
      </c>
      <c r="T162">
        <f>IF(OR($B$67="",$B$20=""),0,IF($E$67&gt;0,CHOOSE($D$67,$G$20,$L$20,$Q$20,$V$20)*$E$67/100,IFERROR((CHOOSE($D$67,$G$20,$L$20,$Q$20,$V$20)-CHOOSE($D$67,$G$20,$L$20,$Q$20,$V$20)*$G$67/100)/$H$67,0)))</f>
        <v>0</v>
      </c>
      <c r="U162">
        <f>IF(OR($B$67="",$B$21=""),0,IF($E$67&gt;0,CHOOSE($D$67,$G$21,$L$21,$Q$21,$V$21)*$E$67/100,IFERROR((CHOOSE($D$67,$G$21,$L$21,$Q$21,$V$21)-CHOOSE($D$67,$G$21,$L$21,$Q$21,$V$21)*$G$67/100)/$H$67,0)))</f>
        <v>0</v>
      </c>
      <c r="V162">
        <f>IF(OR($B$67="",$B$22=""),0,IF($E$67&gt;0,CHOOSE($D$67,$G$22,$L$22,$Q$22,$V$22)*$E$67/100,IFERROR((CHOOSE($D$67,$G$22,$L$22,$Q$22,$V$22)-CHOOSE($D$67,$G$22,$L$22,$Q$22,$V$22)*$G$67/100)/$H$67,0)))</f>
        <v>0</v>
      </c>
    </row>
    <row r="163" spans="1:22" x14ac:dyDescent="0.3">
      <c r="A163">
        <v>30</v>
      </c>
      <c r="B163" t="str">
        <f t="shared" si="13"/>
        <v/>
      </c>
      <c r="C163">
        <f>IF(OR($B$68="",$B$3=""),0,IF($E$68&gt;0,CHOOSE($D$68,$G$3,$L$3,$Q$3,$V$3)*$E$68/100,IFERROR((CHOOSE($D$68,$G$3,$L$3,$Q$3,$V$3)-CHOOSE($D$68,$G$3,$L$3,$Q$3,$V$3)*$G$68/100)/$H$68,0)))</f>
        <v>0</v>
      </c>
      <c r="D163">
        <f>IF(OR($B$68="",$B$4=""),0,IF($E$68&gt;0,CHOOSE($D$68,$G$4,$L$4,$Q$4,$V$4)*$E$68/100,IFERROR((CHOOSE($D$68,$G$4,$L$4,$Q$4,$V$4)-CHOOSE($D$68,$G$4,$L$4,$Q$4,$V$4)*$G$68/100)/$H$68,0)))</f>
        <v>0</v>
      </c>
      <c r="E163">
        <f>IF(OR($B$68="",$B$5=""),0,IF($E$68&gt;0,CHOOSE($D$68,$G$5,$L$5,$Q$5,$V$5)*$E$68/100,IFERROR((CHOOSE($D$68,$G$5,$L$5,$Q$5,$V$5)-CHOOSE($D$68,$G$5,$L$5,$Q$5,$V$5)*$G$68/100)/$H$68,0)))</f>
        <v>0</v>
      </c>
      <c r="F163">
        <f>IF(OR($B$68="",$B$6=""),0,IF($E$68&gt;0,CHOOSE($D$68,$G$6,$L$6,$Q$6,$V$6)*$E$68/100,IFERROR((CHOOSE($D$68,$G$6,$L$6,$Q$6,$V$6)-CHOOSE($D$68,$G$6,$L$6,$Q$6,$V$6)*$G$68/100)/$H$68,0)))</f>
        <v>0</v>
      </c>
      <c r="G163">
        <f>IF(OR($B$68="",$B$7=""),0,IF($E$68&gt;0,CHOOSE($D$68,$G$7,$L$7,$Q$7,$V$7)*$E$68/100,IFERROR((CHOOSE($D$68,$G$7,$L$7,$Q$7,$V$7)-CHOOSE($D$68,$G$7,$L$7,$Q$7,$V$7)*$G$68/100)/$H$68,0)))</f>
        <v>0</v>
      </c>
      <c r="H163">
        <f>IF(OR($B$68="",$B$8=""),0,IF($E$68&gt;0,CHOOSE($D$68,$G$8,$L$8,$Q$8,$V$8)*$E$68/100,IFERROR((CHOOSE($D$68,$G$8,$L$8,$Q$8,$V$8)-CHOOSE($D$68,$G$8,$L$8,$Q$8,$V$8)*$G$68/100)/$H$68,0)))</f>
        <v>0</v>
      </c>
      <c r="I163">
        <f>IF(OR($B$68="",$B$9=""),0,IF($E$68&gt;0,CHOOSE($D$68,$G$9,$L$9,$Q$9,$V$9)*$E$68/100,IFERROR((CHOOSE($D$68,$G$9,$L$9,$Q$9,$V$9)-CHOOSE($D$68,$G$9,$L$9,$Q$9,$V$9)*$G$68/100)/$H$68,0)))</f>
        <v>0</v>
      </c>
      <c r="J163">
        <f>IF(OR($B$68="",$B$10=""),0,IF($E$68&gt;0,CHOOSE($D$68,$G$10,$L$10,$Q$10,$V$10)*$E$68/100,IFERROR((CHOOSE($D$68,$G$10,$L$10,$Q$10,$V$10)-CHOOSE($D$68,$G$10,$L$10,$Q$10,$V$10)*$G$68/100)/$H$68,0)))</f>
        <v>0</v>
      </c>
      <c r="K163">
        <f>IF(OR($B$68="",$B$11=""),0,IF($E$68&gt;0,CHOOSE($D$68,$G$11,$L$11,$Q$11,$V$11)*$E$68/100,IFERROR((CHOOSE($D$68,$G$11,$L$11,$Q$11,$V$11)-CHOOSE($D$68,$G$11,$L$11,$Q$11,$V$11)*$G$68/100)/$H$68,0)))</f>
        <v>0</v>
      </c>
      <c r="L163">
        <f>IF(OR($B$68="",$B$12=""),0,IF($E$68&gt;0,CHOOSE($D$68,$G$12,$L$12,$Q$12,$V$12)*$E$68/100,IFERROR((CHOOSE($D$68,$G$12,$L$12,$Q$12,$V$12)-CHOOSE($D$68,$G$12,$L$12,$Q$12,$V$12)*$G$68/100)/$H$68,0)))</f>
        <v>0</v>
      </c>
      <c r="M163">
        <f>IF(OR($B$68="",$B$13=""),0,IF($E$68&gt;0,CHOOSE($D$68,$G$13,$L$13,$Q$13,$V$13)*$E$68/100,IFERROR((CHOOSE($D$68,$G$13,$L$13,$Q$13,$V$13)-CHOOSE($D$68,$G$13,$L$13,$Q$13,$V$13)*$G$68/100)/$H$68,0)))</f>
        <v>0</v>
      </c>
      <c r="N163">
        <f>IF(OR($B$68="",$B$14=""),0,IF($E$68&gt;0,CHOOSE($D$68,$G$14,$L$14,$Q$14,$V$14)*$E$68/100,IFERROR((CHOOSE($D$68,$G$14,$L$14,$Q$14,$V$14)-CHOOSE($D$68,$G$14,$L$14,$Q$14,$V$14)*$G$68/100)/$H$68,0)))</f>
        <v>0</v>
      </c>
      <c r="O163">
        <f>IF(OR($B$68="",$B$15=""),0,IF($E$68&gt;0,CHOOSE($D$68,$G$15,$L$15,$Q$15,$V$15)*$E$68/100,IFERROR((CHOOSE($D$68,$G$15,$L$15,$Q$15,$V$15)-CHOOSE($D$68,$G$15,$L$15,$Q$15,$V$15)*$G$68/100)/$H$68,0)))</f>
        <v>0</v>
      </c>
      <c r="P163">
        <f>IF(OR($B$68="",$B$16=""),0,IF($E$68&gt;0,CHOOSE($D$68,$G$16,$L$16,$Q$16,$V$16)*$E$68/100,IFERROR((CHOOSE($D$68,$G$16,$L$16,$Q$16,$V$16)-CHOOSE($D$68,$G$16,$L$16,$Q$16,$V$16)*$G$68/100)/$H$68,0)))</f>
        <v>0</v>
      </c>
      <c r="Q163">
        <f>IF(OR($B$68="",$B$17=""),0,IF($E$68&gt;0,CHOOSE($D$68,$G$17,$L$17,$Q$17,$V$17)*$E$68/100,IFERROR((CHOOSE($D$68,$G$17,$L$17,$Q$17,$V$17)-CHOOSE($D$68,$G$17,$L$17,$Q$17,$V$17)*$G$68/100)/$H$68,0)))</f>
        <v>0</v>
      </c>
      <c r="R163">
        <f>IF(OR($B$68="",$B$18=""),0,IF($E$68&gt;0,CHOOSE($D$68,$G$18,$L$18,$Q$18,$V$18)*$E$68/100,IFERROR((CHOOSE($D$68,$G$18,$L$18,$Q$18,$V$18)-CHOOSE($D$68,$G$18,$L$18,$Q$18,$V$18)*$G$68/100)/$H$68,0)))</f>
        <v>0</v>
      </c>
      <c r="S163">
        <f>IF(OR($B$68="",$B$19=""),0,IF($E$68&gt;0,CHOOSE($D$68,$G$19,$L$19,$Q$19,$V$19)*$E$68/100,IFERROR((CHOOSE($D$68,$G$19,$L$19,$Q$19,$V$19)-CHOOSE($D$68,$G$19,$L$19,$Q$19,$V$19)*$G$68/100)/$H$68,0)))</f>
        <v>0</v>
      </c>
      <c r="T163">
        <f>IF(OR($B$68="",$B$20=""),0,IF($E$68&gt;0,CHOOSE($D$68,$G$20,$L$20,$Q$20,$V$20)*$E$68/100,IFERROR((CHOOSE($D$68,$G$20,$L$20,$Q$20,$V$20)-CHOOSE($D$68,$G$20,$L$20,$Q$20,$V$20)*$G$68/100)/$H$68,0)))</f>
        <v>0</v>
      </c>
      <c r="U163">
        <f>IF(OR($B$68="",$B$21=""),0,IF($E$68&gt;0,CHOOSE($D$68,$G$21,$L$21,$Q$21,$V$21)*$E$68/100,IFERROR((CHOOSE($D$68,$G$21,$L$21,$Q$21,$V$21)-CHOOSE($D$68,$G$21,$L$21,$Q$21,$V$21)*$G$68/100)/$H$68,0)))</f>
        <v>0</v>
      </c>
      <c r="V163">
        <f>IF(OR($B$68="",$B$22=""),0,IF($E$68&gt;0,CHOOSE($D$68,$G$22,$L$22,$Q$22,$V$22)*$E$68/100,IFERROR((CHOOSE($D$68,$G$22,$L$22,$Q$22,$V$22)-CHOOSE($D$68,$G$22,$L$22,$Q$22,$V$22)*$G$68/100)/$H$68,0)))</f>
        <v>0</v>
      </c>
    </row>
    <row r="164" spans="1:22" x14ac:dyDescent="0.3">
      <c r="A164">
        <v>31</v>
      </c>
      <c r="B164" t="str">
        <f t="shared" si="13"/>
        <v/>
      </c>
      <c r="C164">
        <f>IF(OR($B$69="",$B$3=""),0,IF($E$69&gt;0,CHOOSE($D$69,$G$3,$L$3,$Q$3,$V$3)*$E$69/100,IFERROR((CHOOSE($D$69,$G$3,$L$3,$Q$3,$V$3)-CHOOSE($D$69,$G$3,$L$3,$Q$3,$V$3)*$G$69/100)/$H$69,0)))</f>
        <v>0</v>
      </c>
      <c r="D164">
        <f>IF(OR($B$69="",$B$4=""),0,IF($E$69&gt;0,CHOOSE($D$69,$G$4,$L$4,$Q$4,$V$4)*$E$69/100,IFERROR((CHOOSE($D$69,$G$4,$L$4,$Q$4,$V$4)-CHOOSE($D$69,$G$4,$L$4,$Q$4,$V$4)*$G$69/100)/$H$69,0)))</f>
        <v>0</v>
      </c>
      <c r="E164">
        <f>IF(OR($B$69="",$B$5=""),0,IF($E$69&gt;0,CHOOSE($D$69,$G$5,$L$5,$Q$5,$V$5)*$E$69/100,IFERROR((CHOOSE($D$69,$G$5,$L$5,$Q$5,$V$5)-CHOOSE($D$69,$G$5,$L$5,$Q$5,$V$5)*$G$69/100)/$H$69,0)))</f>
        <v>0</v>
      </c>
      <c r="F164">
        <f>IF(OR($B$69="",$B$6=""),0,IF($E$69&gt;0,CHOOSE($D$69,$G$6,$L$6,$Q$6,$V$6)*$E$69/100,IFERROR((CHOOSE($D$69,$G$6,$L$6,$Q$6,$V$6)-CHOOSE($D$69,$G$6,$L$6,$Q$6,$V$6)*$G$69/100)/$H$69,0)))</f>
        <v>0</v>
      </c>
      <c r="G164">
        <f>IF(OR($B$69="",$B$7=""),0,IF($E$69&gt;0,CHOOSE($D$69,$G$7,$L$7,$Q$7,$V$7)*$E$69/100,IFERROR((CHOOSE($D$69,$G$7,$L$7,$Q$7,$V$7)-CHOOSE($D$69,$G$7,$L$7,$Q$7,$V$7)*$G$69/100)/$H$69,0)))</f>
        <v>0</v>
      </c>
      <c r="H164">
        <f>IF(OR($B$69="",$B$8=""),0,IF($E$69&gt;0,CHOOSE($D$69,$G$8,$L$8,$Q$8,$V$8)*$E$69/100,IFERROR((CHOOSE($D$69,$G$8,$L$8,$Q$8,$V$8)-CHOOSE($D$69,$G$8,$L$8,$Q$8,$V$8)*$G$69/100)/$H$69,0)))</f>
        <v>0</v>
      </c>
      <c r="I164">
        <f>IF(OR($B$69="",$B$9=""),0,IF($E$69&gt;0,CHOOSE($D$69,$G$9,$L$9,$Q$9,$V$9)*$E$69/100,IFERROR((CHOOSE($D$69,$G$9,$L$9,$Q$9,$V$9)-CHOOSE($D$69,$G$9,$L$9,$Q$9,$V$9)*$G$69/100)/$H$69,0)))</f>
        <v>0</v>
      </c>
      <c r="J164">
        <f>IF(OR($B$69="",$B$10=""),0,IF($E$69&gt;0,CHOOSE($D$69,$G$10,$L$10,$Q$10,$V$10)*$E$69/100,IFERROR((CHOOSE($D$69,$G$10,$L$10,$Q$10,$V$10)-CHOOSE($D$69,$G$10,$L$10,$Q$10,$V$10)*$G$69/100)/$H$69,0)))</f>
        <v>0</v>
      </c>
      <c r="K164">
        <f>IF(OR($B$69="",$B$11=""),0,IF($E$69&gt;0,CHOOSE($D$69,$G$11,$L$11,$Q$11,$V$11)*$E$69/100,IFERROR((CHOOSE($D$69,$G$11,$L$11,$Q$11,$V$11)-CHOOSE($D$69,$G$11,$L$11,$Q$11,$V$11)*$G$69/100)/$H$69,0)))</f>
        <v>0</v>
      </c>
      <c r="L164">
        <f>IF(OR($B$69="",$B$12=""),0,IF($E$69&gt;0,CHOOSE($D$69,$G$12,$L$12,$Q$12,$V$12)*$E$69/100,IFERROR((CHOOSE($D$69,$G$12,$L$12,$Q$12,$V$12)-CHOOSE($D$69,$G$12,$L$12,$Q$12,$V$12)*$G$69/100)/$H$69,0)))</f>
        <v>0</v>
      </c>
      <c r="M164">
        <f>IF(OR($B$69="",$B$13=""),0,IF($E$69&gt;0,CHOOSE($D$69,$G$13,$L$13,$Q$13,$V$13)*$E$69/100,IFERROR((CHOOSE($D$69,$G$13,$L$13,$Q$13,$V$13)-CHOOSE($D$69,$G$13,$L$13,$Q$13,$V$13)*$G$69/100)/$H$69,0)))</f>
        <v>0</v>
      </c>
      <c r="N164">
        <f>IF(OR($B$69="",$B$14=""),0,IF($E$69&gt;0,CHOOSE($D$69,$G$14,$L$14,$Q$14,$V$14)*$E$69/100,IFERROR((CHOOSE($D$69,$G$14,$L$14,$Q$14,$V$14)-CHOOSE($D$69,$G$14,$L$14,$Q$14,$V$14)*$G$69/100)/$H$69,0)))</f>
        <v>0</v>
      </c>
      <c r="O164">
        <f>IF(OR($B$69="",$B$15=""),0,IF($E$69&gt;0,CHOOSE($D$69,$G$15,$L$15,$Q$15,$V$15)*$E$69/100,IFERROR((CHOOSE($D$69,$G$15,$L$15,$Q$15,$V$15)-CHOOSE($D$69,$G$15,$L$15,$Q$15,$V$15)*$G$69/100)/$H$69,0)))</f>
        <v>0</v>
      </c>
      <c r="P164">
        <f>IF(OR($B$69="",$B$16=""),0,IF($E$69&gt;0,CHOOSE($D$69,$G$16,$L$16,$Q$16,$V$16)*$E$69/100,IFERROR((CHOOSE($D$69,$G$16,$L$16,$Q$16,$V$16)-CHOOSE($D$69,$G$16,$L$16,$Q$16,$V$16)*$G$69/100)/$H$69,0)))</f>
        <v>0</v>
      </c>
      <c r="Q164">
        <f>IF(OR($B$69="",$B$17=""),0,IF($E$69&gt;0,CHOOSE($D$69,$G$17,$L$17,$Q$17,$V$17)*$E$69/100,IFERROR((CHOOSE($D$69,$G$17,$L$17,$Q$17,$V$17)-CHOOSE($D$69,$G$17,$L$17,$Q$17,$V$17)*$G$69/100)/$H$69,0)))</f>
        <v>0</v>
      </c>
      <c r="R164">
        <f>IF(OR($B$69="",$B$18=""),0,IF($E$69&gt;0,CHOOSE($D$69,$G$18,$L$18,$Q$18,$V$18)*$E$69/100,IFERROR((CHOOSE($D$69,$G$18,$L$18,$Q$18,$V$18)-CHOOSE($D$69,$G$18,$L$18,$Q$18,$V$18)*$G$69/100)/$H$69,0)))</f>
        <v>0</v>
      </c>
      <c r="S164">
        <f>IF(OR($B$69="",$B$19=""),0,IF($E$69&gt;0,CHOOSE($D$69,$G$19,$L$19,$Q$19,$V$19)*$E$69/100,IFERROR((CHOOSE($D$69,$G$19,$L$19,$Q$19,$V$19)-CHOOSE($D$69,$G$19,$L$19,$Q$19,$V$19)*$G$69/100)/$H$69,0)))</f>
        <v>0</v>
      </c>
      <c r="T164">
        <f>IF(OR($B$69="",$B$20=""),0,IF($E$69&gt;0,CHOOSE($D$69,$G$20,$L$20,$Q$20,$V$20)*$E$69/100,IFERROR((CHOOSE($D$69,$G$20,$L$20,$Q$20,$V$20)-CHOOSE($D$69,$G$20,$L$20,$Q$20,$V$20)*$G$69/100)/$H$69,0)))</f>
        <v>0</v>
      </c>
      <c r="U164">
        <f>IF(OR($B$69="",$B$21=""),0,IF($E$69&gt;0,CHOOSE($D$69,$G$21,$L$21,$Q$21,$V$21)*$E$69/100,IFERROR((CHOOSE($D$69,$G$21,$L$21,$Q$21,$V$21)-CHOOSE($D$69,$G$21,$L$21,$Q$21,$V$21)*$G$69/100)/$H$69,0)))</f>
        <v>0</v>
      </c>
      <c r="V164">
        <f>IF(OR($B$69="",$B$22=""),0,IF($E$69&gt;0,CHOOSE($D$69,$G$22,$L$22,$Q$22,$V$22)*$E$69/100,IFERROR((CHOOSE($D$69,$G$22,$L$22,$Q$22,$V$22)-CHOOSE($D$69,$G$22,$L$22,$Q$22,$V$22)*$G$69/100)/$H$69,0)))</f>
        <v>0</v>
      </c>
    </row>
    <row r="165" spans="1:22" x14ac:dyDescent="0.3">
      <c r="A165">
        <v>32</v>
      </c>
      <c r="B165" t="str">
        <f t="shared" si="13"/>
        <v/>
      </c>
      <c r="C165">
        <f>IF(OR($B$70="",$B$3=""),0,IF($E$70&gt;0,CHOOSE($D$70,$G$3,$L$3,$Q$3,$V$3)*$E$70/100,IFERROR((CHOOSE($D$70,$G$3,$L$3,$Q$3,$V$3)-CHOOSE($D$70,$G$3,$L$3,$Q$3,$V$3)*$G$70/100)/$H$70,0)))</f>
        <v>0</v>
      </c>
      <c r="D165">
        <f>IF(OR($B$70="",$B$4=""),0,IF($E$70&gt;0,CHOOSE($D$70,$G$4,$L$4,$Q$4,$V$4)*$E$70/100,IFERROR((CHOOSE($D$70,$G$4,$L$4,$Q$4,$V$4)-CHOOSE($D$70,$G$4,$L$4,$Q$4,$V$4)*$G$70/100)/$H$70,0)))</f>
        <v>0</v>
      </c>
      <c r="E165">
        <f>IF(OR($B$70="",$B$5=""),0,IF($E$70&gt;0,CHOOSE($D$70,$G$5,$L$5,$Q$5,$V$5)*$E$70/100,IFERROR((CHOOSE($D$70,$G$5,$L$5,$Q$5,$V$5)-CHOOSE($D$70,$G$5,$L$5,$Q$5,$V$5)*$G$70/100)/$H$70,0)))</f>
        <v>0</v>
      </c>
      <c r="F165">
        <f>IF(OR($B$70="",$B$6=""),0,IF($E$70&gt;0,CHOOSE($D$70,$G$6,$L$6,$Q$6,$V$6)*$E$70/100,IFERROR((CHOOSE($D$70,$G$6,$L$6,$Q$6,$V$6)-CHOOSE($D$70,$G$6,$L$6,$Q$6,$V$6)*$G$70/100)/$H$70,0)))</f>
        <v>0</v>
      </c>
      <c r="G165">
        <f>IF(OR($B$70="",$B$7=""),0,IF($E$70&gt;0,CHOOSE($D$70,$G$7,$L$7,$Q$7,$V$7)*$E$70/100,IFERROR((CHOOSE($D$70,$G$7,$L$7,$Q$7,$V$7)-CHOOSE($D$70,$G$7,$L$7,$Q$7,$V$7)*$G$70/100)/$H$70,0)))</f>
        <v>0</v>
      </c>
      <c r="H165">
        <f>IF(OR($B$70="",$B$8=""),0,IF($E$70&gt;0,CHOOSE($D$70,$G$8,$L$8,$Q$8,$V$8)*$E$70/100,IFERROR((CHOOSE($D$70,$G$8,$L$8,$Q$8,$V$8)-CHOOSE($D$70,$G$8,$L$8,$Q$8,$V$8)*$G$70/100)/$H$70,0)))</f>
        <v>0</v>
      </c>
      <c r="I165">
        <f>IF(OR($B$70="",$B$9=""),0,IF($E$70&gt;0,CHOOSE($D$70,$G$9,$L$9,$Q$9,$V$9)*$E$70/100,IFERROR((CHOOSE($D$70,$G$9,$L$9,$Q$9,$V$9)-CHOOSE($D$70,$G$9,$L$9,$Q$9,$V$9)*$G$70/100)/$H$70,0)))</f>
        <v>0</v>
      </c>
      <c r="J165">
        <f>IF(OR($B$70="",$B$10=""),0,IF($E$70&gt;0,CHOOSE($D$70,$G$10,$L$10,$Q$10,$V$10)*$E$70/100,IFERROR((CHOOSE($D$70,$G$10,$L$10,$Q$10,$V$10)-CHOOSE($D$70,$G$10,$L$10,$Q$10,$V$10)*$G$70/100)/$H$70,0)))</f>
        <v>0</v>
      </c>
      <c r="K165">
        <f>IF(OR($B$70="",$B$11=""),0,IF($E$70&gt;0,CHOOSE($D$70,$G$11,$L$11,$Q$11,$V$11)*$E$70/100,IFERROR((CHOOSE($D$70,$G$11,$L$11,$Q$11,$V$11)-CHOOSE($D$70,$G$11,$L$11,$Q$11,$V$11)*$G$70/100)/$H$70,0)))</f>
        <v>0</v>
      </c>
      <c r="L165">
        <f>IF(OR($B$70="",$B$12=""),0,IF($E$70&gt;0,CHOOSE($D$70,$G$12,$L$12,$Q$12,$V$12)*$E$70/100,IFERROR((CHOOSE($D$70,$G$12,$L$12,$Q$12,$V$12)-CHOOSE($D$70,$G$12,$L$12,$Q$12,$V$12)*$G$70/100)/$H$70,0)))</f>
        <v>0</v>
      </c>
      <c r="M165">
        <f>IF(OR($B$70="",$B$13=""),0,IF($E$70&gt;0,CHOOSE($D$70,$G$13,$L$13,$Q$13,$V$13)*$E$70/100,IFERROR((CHOOSE($D$70,$G$13,$L$13,$Q$13,$V$13)-CHOOSE($D$70,$G$13,$L$13,$Q$13,$V$13)*$G$70/100)/$H$70,0)))</f>
        <v>0</v>
      </c>
      <c r="N165">
        <f>IF(OR($B$70="",$B$14=""),0,IF($E$70&gt;0,CHOOSE($D$70,$G$14,$L$14,$Q$14,$V$14)*$E$70/100,IFERROR((CHOOSE($D$70,$G$14,$L$14,$Q$14,$V$14)-CHOOSE($D$70,$G$14,$L$14,$Q$14,$V$14)*$G$70/100)/$H$70,0)))</f>
        <v>0</v>
      </c>
      <c r="O165">
        <f>IF(OR($B$70="",$B$15=""),0,IF($E$70&gt;0,CHOOSE($D$70,$G$15,$L$15,$Q$15,$V$15)*$E$70/100,IFERROR((CHOOSE($D$70,$G$15,$L$15,$Q$15,$V$15)-CHOOSE($D$70,$G$15,$L$15,$Q$15,$V$15)*$G$70/100)/$H$70,0)))</f>
        <v>0</v>
      </c>
      <c r="P165">
        <f>IF(OR($B$70="",$B$16=""),0,IF($E$70&gt;0,CHOOSE($D$70,$G$16,$L$16,$Q$16,$V$16)*$E$70/100,IFERROR((CHOOSE($D$70,$G$16,$L$16,$Q$16,$V$16)-CHOOSE($D$70,$G$16,$L$16,$Q$16,$V$16)*$G$70/100)/$H$70,0)))</f>
        <v>0</v>
      </c>
      <c r="Q165">
        <f>IF(OR($B$70="",$B$17=""),0,IF($E$70&gt;0,CHOOSE($D$70,$G$17,$L$17,$Q$17,$V$17)*$E$70/100,IFERROR((CHOOSE($D$70,$G$17,$L$17,$Q$17,$V$17)-CHOOSE($D$70,$G$17,$L$17,$Q$17,$V$17)*$G$70/100)/$H$70,0)))</f>
        <v>0</v>
      </c>
      <c r="R165">
        <f>IF(OR($B$70="",$B$18=""),0,IF($E$70&gt;0,CHOOSE($D$70,$G$18,$L$18,$Q$18,$V$18)*$E$70/100,IFERROR((CHOOSE($D$70,$G$18,$L$18,$Q$18,$V$18)-CHOOSE($D$70,$G$18,$L$18,$Q$18,$V$18)*$G$70/100)/$H$70,0)))</f>
        <v>0</v>
      </c>
      <c r="S165">
        <f>IF(OR($B$70="",$B$19=""),0,IF($E$70&gt;0,CHOOSE($D$70,$G$19,$L$19,$Q$19,$V$19)*$E$70/100,IFERROR((CHOOSE($D$70,$G$19,$L$19,$Q$19,$V$19)-CHOOSE($D$70,$G$19,$L$19,$Q$19,$V$19)*$G$70/100)/$H$70,0)))</f>
        <v>0</v>
      </c>
      <c r="T165">
        <f>IF(OR($B$70="",$B$20=""),0,IF($E$70&gt;0,CHOOSE($D$70,$G$20,$L$20,$Q$20,$V$20)*$E$70/100,IFERROR((CHOOSE($D$70,$G$20,$L$20,$Q$20,$V$20)-CHOOSE($D$70,$G$20,$L$20,$Q$20,$V$20)*$G$70/100)/$H$70,0)))</f>
        <v>0</v>
      </c>
      <c r="U165">
        <f>IF(OR($B$70="",$B$21=""),0,IF($E$70&gt;0,CHOOSE($D$70,$G$21,$L$21,$Q$21,$V$21)*$E$70/100,IFERROR((CHOOSE($D$70,$G$21,$L$21,$Q$21,$V$21)-CHOOSE($D$70,$G$21,$L$21,$Q$21,$V$21)*$G$70/100)/$H$70,0)))</f>
        <v>0</v>
      </c>
      <c r="V165">
        <f>IF(OR($B$70="",$B$22=""),0,IF($E$70&gt;0,CHOOSE($D$70,$G$22,$L$22,$Q$22,$V$22)*$E$70/100,IFERROR((CHOOSE($D$70,$G$22,$L$22,$Q$22,$V$22)-CHOOSE($D$70,$G$22,$L$22,$Q$22,$V$22)*$G$70/100)/$H$70,0)))</f>
        <v>0</v>
      </c>
    </row>
    <row r="166" spans="1:22" x14ac:dyDescent="0.3">
      <c r="A166">
        <v>33</v>
      </c>
      <c r="B166" t="str">
        <f t="shared" si="13"/>
        <v/>
      </c>
      <c r="C166">
        <f>IF(OR($B$71="",$B$3=""),0,IF($E$71&gt;0,CHOOSE($D$71,$G$3,$L$3,$Q$3,$V$3)*$E$71/100,IFERROR((CHOOSE($D$71,$G$3,$L$3,$Q$3,$V$3)-CHOOSE($D$71,$G$3,$L$3,$Q$3,$V$3)*$G$71/100)/$H$71,0)))</f>
        <v>0</v>
      </c>
      <c r="D166">
        <f>IF(OR($B$71="",$B$4=""),0,IF($E$71&gt;0,CHOOSE($D$71,$G$4,$L$4,$Q$4,$V$4)*$E$71/100,IFERROR((CHOOSE($D$71,$G$4,$L$4,$Q$4,$V$4)-CHOOSE($D$71,$G$4,$L$4,$Q$4,$V$4)*$G$71/100)/$H$71,0)))</f>
        <v>0</v>
      </c>
      <c r="E166">
        <f>IF(OR($B$71="",$B$5=""),0,IF($E$71&gt;0,CHOOSE($D$71,$G$5,$L$5,$Q$5,$V$5)*$E$71/100,IFERROR((CHOOSE($D$71,$G$5,$L$5,$Q$5,$V$5)-CHOOSE($D$71,$G$5,$L$5,$Q$5,$V$5)*$G$71/100)/$H$71,0)))</f>
        <v>0</v>
      </c>
      <c r="F166">
        <f>IF(OR($B$71="",$B$6=""),0,IF($E$71&gt;0,CHOOSE($D$71,$G$6,$L$6,$Q$6,$V$6)*$E$71/100,IFERROR((CHOOSE($D$71,$G$6,$L$6,$Q$6,$V$6)-CHOOSE($D$71,$G$6,$L$6,$Q$6,$V$6)*$G$71/100)/$H$71,0)))</f>
        <v>0</v>
      </c>
      <c r="G166">
        <f>IF(OR($B$71="",$B$7=""),0,IF($E$71&gt;0,CHOOSE($D$71,$G$7,$L$7,$Q$7,$V$7)*$E$71/100,IFERROR((CHOOSE($D$71,$G$7,$L$7,$Q$7,$V$7)-CHOOSE($D$71,$G$7,$L$7,$Q$7,$V$7)*$G$71/100)/$H$71,0)))</f>
        <v>0</v>
      </c>
      <c r="H166">
        <f>IF(OR($B$71="",$B$8=""),0,IF($E$71&gt;0,CHOOSE($D$71,$G$8,$L$8,$Q$8,$V$8)*$E$71/100,IFERROR((CHOOSE($D$71,$G$8,$L$8,$Q$8,$V$8)-CHOOSE($D$71,$G$8,$L$8,$Q$8,$V$8)*$G$71/100)/$H$71,0)))</f>
        <v>0</v>
      </c>
      <c r="I166">
        <f>IF(OR($B$71="",$B$9=""),0,IF($E$71&gt;0,CHOOSE($D$71,$G$9,$L$9,$Q$9,$V$9)*$E$71/100,IFERROR((CHOOSE($D$71,$G$9,$L$9,$Q$9,$V$9)-CHOOSE($D$71,$G$9,$L$9,$Q$9,$V$9)*$G$71/100)/$H$71,0)))</f>
        <v>0</v>
      </c>
      <c r="J166">
        <f>IF(OR($B$71="",$B$10=""),0,IF($E$71&gt;0,CHOOSE($D$71,$G$10,$L$10,$Q$10,$V$10)*$E$71/100,IFERROR((CHOOSE($D$71,$G$10,$L$10,$Q$10,$V$10)-CHOOSE($D$71,$G$10,$L$10,$Q$10,$V$10)*$G$71/100)/$H$71,0)))</f>
        <v>0</v>
      </c>
      <c r="K166">
        <f>IF(OR($B$71="",$B$11=""),0,IF($E$71&gt;0,CHOOSE($D$71,$G$11,$L$11,$Q$11,$V$11)*$E$71/100,IFERROR((CHOOSE($D$71,$G$11,$L$11,$Q$11,$V$11)-CHOOSE($D$71,$G$11,$L$11,$Q$11,$V$11)*$G$71/100)/$H$71,0)))</f>
        <v>0</v>
      </c>
      <c r="L166">
        <f>IF(OR($B$71="",$B$12=""),0,IF($E$71&gt;0,CHOOSE($D$71,$G$12,$L$12,$Q$12,$V$12)*$E$71/100,IFERROR((CHOOSE($D$71,$G$12,$L$12,$Q$12,$V$12)-CHOOSE($D$71,$G$12,$L$12,$Q$12,$V$12)*$G$71/100)/$H$71,0)))</f>
        <v>0</v>
      </c>
      <c r="M166">
        <f>IF(OR($B$71="",$B$13=""),0,IF($E$71&gt;0,CHOOSE($D$71,$G$13,$L$13,$Q$13,$V$13)*$E$71/100,IFERROR((CHOOSE($D$71,$G$13,$L$13,$Q$13,$V$13)-CHOOSE($D$71,$G$13,$L$13,$Q$13,$V$13)*$G$71/100)/$H$71,0)))</f>
        <v>0</v>
      </c>
      <c r="N166">
        <f>IF(OR($B$71="",$B$14=""),0,IF($E$71&gt;0,CHOOSE($D$71,$G$14,$L$14,$Q$14,$V$14)*$E$71/100,IFERROR((CHOOSE($D$71,$G$14,$L$14,$Q$14,$V$14)-CHOOSE($D$71,$G$14,$L$14,$Q$14,$V$14)*$G$71/100)/$H$71,0)))</f>
        <v>0</v>
      </c>
      <c r="O166">
        <f>IF(OR($B$71="",$B$15=""),0,IF($E$71&gt;0,CHOOSE($D$71,$G$15,$L$15,$Q$15,$V$15)*$E$71/100,IFERROR((CHOOSE($D$71,$G$15,$L$15,$Q$15,$V$15)-CHOOSE($D$71,$G$15,$L$15,$Q$15,$V$15)*$G$71/100)/$H$71,0)))</f>
        <v>0</v>
      </c>
      <c r="P166">
        <f>IF(OR($B$71="",$B$16=""),0,IF($E$71&gt;0,CHOOSE($D$71,$G$16,$L$16,$Q$16,$V$16)*$E$71/100,IFERROR((CHOOSE($D$71,$G$16,$L$16,$Q$16,$V$16)-CHOOSE($D$71,$G$16,$L$16,$Q$16,$V$16)*$G$71/100)/$H$71,0)))</f>
        <v>0</v>
      </c>
      <c r="Q166">
        <f>IF(OR($B$71="",$B$17=""),0,IF($E$71&gt;0,CHOOSE($D$71,$G$17,$L$17,$Q$17,$V$17)*$E$71/100,IFERROR((CHOOSE($D$71,$G$17,$L$17,$Q$17,$V$17)-CHOOSE($D$71,$G$17,$L$17,$Q$17,$V$17)*$G$71/100)/$H$71,0)))</f>
        <v>0</v>
      </c>
      <c r="R166">
        <f>IF(OR($B$71="",$B$18=""),0,IF($E$71&gt;0,CHOOSE($D$71,$G$18,$L$18,$Q$18,$V$18)*$E$71/100,IFERROR((CHOOSE($D$71,$G$18,$L$18,$Q$18,$V$18)-CHOOSE($D$71,$G$18,$L$18,$Q$18,$V$18)*$G$71/100)/$H$71,0)))</f>
        <v>0</v>
      </c>
      <c r="S166">
        <f>IF(OR($B$71="",$B$19=""),0,IF($E$71&gt;0,CHOOSE($D$71,$G$19,$L$19,$Q$19,$V$19)*$E$71/100,IFERROR((CHOOSE($D$71,$G$19,$L$19,$Q$19,$V$19)-CHOOSE($D$71,$G$19,$L$19,$Q$19,$V$19)*$G$71/100)/$H$71,0)))</f>
        <v>0</v>
      </c>
      <c r="T166">
        <f>IF(OR($B$71="",$B$20=""),0,IF($E$71&gt;0,CHOOSE($D$71,$G$20,$L$20,$Q$20,$V$20)*$E$71/100,IFERROR((CHOOSE($D$71,$G$20,$L$20,$Q$20,$V$20)-CHOOSE($D$71,$G$20,$L$20,$Q$20,$V$20)*$G$71/100)/$H$71,0)))</f>
        <v>0</v>
      </c>
      <c r="U166">
        <f>IF(OR($B$71="",$B$21=""),0,IF($E$71&gt;0,CHOOSE($D$71,$G$21,$L$21,$Q$21,$V$21)*$E$71/100,IFERROR((CHOOSE($D$71,$G$21,$L$21,$Q$21,$V$21)-CHOOSE($D$71,$G$21,$L$21,$Q$21,$V$21)*$G$71/100)/$H$71,0)))</f>
        <v>0</v>
      </c>
      <c r="V166">
        <f>IF(OR($B$71="",$B$22=""),0,IF($E$71&gt;0,CHOOSE($D$71,$G$22,$L$22,$Q$22,$V$22)*$E$71/100,IFERROR((CHOOSE($D$71,$G$22,$L$22,$Q$22,$V$22)-CHOOSE($D$71,$G$22,$L$22,$Q$22,$V$22)*$G$71/100)/$H$71,0)))</f>
        <v>0</v>
      </c>
    </row>
    <row r="167" spans="1:22" x14ac:dyDescent="0.3">
      <c r="A167">
        <v>34</v>
      </c>
      <c r="B167" t="str">
        <f t="shared" si="13"/>
        <v/>
      </c>
      <c r="C167">
        <f>IF(OR($B$72="",$B$3=""),0,IF($E$72&gt;0,CHOOSE($D$72,$G$3,$L$3,$Q$3,$V$3)*$E$72/100,IFERROR((CHOOSE($D$72,$G$3,$L$3,$Q$3,$V$3)-CHOOSE($D$72,$G$3,$L$3,$Q$3,$V$3)*$G$72/100)/$H$72,0)))</f>
        <v>0</v>
      </c>
      <c r="D167">
        <f>IF(OR($B$72="",$B$4=""),0,IF($E$72&gt;0,CHOOSE($D$72,$G$4,$L$4,$Q$4,$V$4)*$E$72/100,IFERROR((CHOOSE($D$72,$G$4,$L$4,$Q$4,$V$4)-CHOOSE($D$72,$G$4,$L$4,$Q$4,$V$4)*$G$72/100)/$H$72,0)))</f>
        <v>0</v>
      </c>
      <c r="E167">
        <f>IF(OR($B$72="",$B$5=""),0,IF($E$72&gt;0,CHOOSE($D$72,$G$5,$L$5,$Q$5,$V$5)*$E$72/100,IFERROR((CHOOSE($D$72,$G$5,$L$5,$Q$5,$V$5)-CHOOSE($D$72,$G$5,$L$5,$Q$5,$V$5)*$G$72/100)/$H$72,0)))</f>
        <v>0</v>
      </c>
      <c r="F167">
        <f>IF(OR($B$72="",$B$6=""),0,IF($E$72&gt;0,CHOOSE($D$72,$G$6,$L$6,$Q$6,$V$6)*$E$72/100,IFERROR((CHOOSE($D$72,$G$6,$L$6,$Q$6,$V$6)-CHOOSE($D$72,$G$6,$L$6,$Q$6,$V$6)*$G$72/100)/$H$72,0)))</f>
        <v>0</v>
      </c>
      <c r="G167">
        <f>IF(OR($B$72="",$B$7=""),0,IF($E$72&gt;0,CHOOSE($D$72,$G$7,$L$7,$Q$7,$V$7)*$E$72/100,IFERROR((CHOOSE($D$72,$G$7,$L$7,$Q$7,$V$7)-CHOOSE($D$72,$G$7,$L$7,$Q$7,$V$7)*$G$72/100)/$H$72,0)))</f>
        <v>0</v>
      </c>
      <c r="H167">
        <f>IF(OR($B$72="",$B$8=""),0,IF($E$72&gt;0,CHOOSE($D$72,$G$8,$L$8,$Q$8,$V$8)*$E$72/100,IFERROR((CHOOSE($D$72,$G$8,$L$8,$Q$8,$V$8)-CHOOSE($D$72,$G$8,$L$8,$Q$8,$V$8)*$G$72/100)/$H$72,0)))</f>
        <v>0</v>
      </c>
      <c r="I167">
        <f>IF(OR($B$72="",$B$9=""),0,IF($E$72&gt;0,CHOOSE($D$72,$G$9,$L$9,$Q$9,$V$9)*$E$72/100,IFERROR((CHOOSE($D$72,$G$9,$L$9,$Q$9,$V$9)-CHOOSE($D$72,$G$9,$L$9,$Q$9,$V$9)*$G$72/100)/$H$72,0)))</f>
        <v>0</v>
      </c>
      <c r="J167">
        <f>IF(OR($B$72="",$B$10=""),0,IF($E$72&gt;0,CHOOSE($D$72,$G$10,$L$10,$Q$10,$V$10)*$E$72/100,IFERROR((CHOOSE($D$72,$G$10,$L$10,$Q$10,$V$10)-CHOOSE($D$72,$G$10,$L$10,$Q$10,$V$10)*$G$72/100)/$H$72,0)))</f>
        <v>0</v>
      </c>
      <c r="K167">
        <f>IF(OR($B$72="",$B$11=""),0,IF($E$72&gt;0,CHOOSE($D$72,$G$11,$L$11,$Q$11,$V$11)*$E$72/100,IFERROR((CHOOSE($D$72,$G$11,$L$11,$Q$11,$V$11)-CHOOSE($D$72,$G$11,$L$11,$Q$11,$V$11)*$G$72/100)/$H$72,0)))</f>
        <v>0</v>
      </c>
      <c r="L167">
        <f>IF(OR($B$72="",$B$12=""),0,IF($E$72&gt;0,CHOOSE($D$72,$G$12,$L$12,$Q$12,$V$12)*$E$72/100,IFERROR((CHOOSE($D$72,$G$12,$L$12,$Q$12,$V$12)-CHOOSE($D$72,$G$12,$L$12,$Q$12,$V$12)*$G$72/100)/$H$72,0)))</f>
        <v>0</v>
      </c>
      <c r="M167">
        <f>IF(OR($B$72="",$B$13=""),0,IF($E$72&gt;0,CHOOSE($D$72,$G$13,$L$13,$Q$13,$V$13)*$E$72/100,IFERROR((CHOOSE($D$72,$G$13,$L$13,$Q$13,$V$13)-CHOOSE($D$72,$G$13,$L$13,$Q$13,$V$13)*$G$72/100)/$H$72,0)))</f>
        <v>0</v>
      </c>
      <c r="N167">
        <f>IF(OR($B$72="",$B$14=""),0,IF($E$72&gt;0,CHOOSE($D$72,$G$14,$L$14,$Q$14,$V$14)*$E$72/100,IFERROR((CHOOSE($D$72,$G$14,$L$14,$Q$14,$V$14)-CHOOSE($D$72,$G$14,$L$14,$Q$14,$V$14)*$G$72/100)/$H$72,0)))</f>
        <v>0</v>
      </c>
      <c r="O167">
        <f>IF(OR($B$72="",$B$15=""),0,IF($E$72&gt;0,CHOOSE($D$72,$G$15,$L$15,$Q$15,$V$15)*$E$72/100,IFERROR((CHOOSE($D$72,$G$15,$L$15,$Q$15,$V$15)-CHOOSE($D$72,$G$15,$L$15,$Q$15,$V$15)*$G$72/100)/$H$72,0)))</f>
        <v>0</v>
      </c>
      <c r="P167">
        <f>IF(OR($B$72="",$B$16=""),0,IF($E$72&gt;0,CHOOSE($D$72,$G$16,$L$16,$Q$16,$V$16)*$E$72/100,IFERROR((CHOOSE($D$72,$G$16,$L$16,$Q$16,$V$16)-CHOOSE($D$72,$G$16,$L$16,$Q$16,$V$16)*$G$72/100)/$H$72,0)))</f>
        <v>0</v>
      </c>
      <c r="Q167">
        <f>IF(OR($B$72="",$B$17=""),0,IF($E$72&gt;0,CHOOSE($D$72,$G$17,$L$17,$Q$17,$V$17)*$E$72/100,IFERROR((CHOOSE($D$72,$G$17,$L$17,$Q$17,$V$17)-CHOOSE($D$72,$G$17,$L$17,$Q$17,$V$17)*$G$72/100)/$H$72,0)))</f>
        <v>0</v>
      </c>
      <c r="R167">
        <f>IF(OR($B$72="",$B$18=""),0,IF($E$72&gt;0,CHOOSE($D$72,$G$18,$L$18,$Q$18,$V$18)*$E$72/100,IFERROR((CHOOSE($D$72,$G$18,$L$18,$Q$18,$V$18)-CHOOSE($D$72,$G$18,$L$18,$Q$18,$V$18)*$G$72/100)/$H$72,0)))</f>
        <v>0</v>
      </c>
      <c r="S167">
        <f>IF(OR($B$72="",$B$19=""),0,IF($E$72&gt;0,CHOOSE($D$72,$G$19,$L$19,$Q$19,$V$19)*$E$72/100,IFERROR((CHOOSE($D$72,$G$19,$L$19,$Q$19,$V$19)-CHOOSE($D$72,$G$19,$L$19,$Q$19,$V$19)*$G$72/100)/$H$72,0)))</f>
        <v>0</v>
      </c>
      <c r="T167">
        <f>IF(OR($B$72="",$B$20=""),0,IF($E$72&gt;0,CHOOSE($D$72,$G$20,$L$20,$Q$20,$V$20)*$E$72/100,IFERROR((CHOOSE($D$72,$G$20,$L$20,$Q$20,$V$20)-CHOOSE($D$72,$G$20,$L$20,$Q$20,$V$20)*$G$72/100)/$H$72,0)))</f>
        <v>0</v>
      </c>
      <c r="U167">
        <f>IF(OR($B$72="",$B$21=""),0,IF($E$72&gt;0,CHOOSE($D$72,$G$21,$L$21,$Q$21,$V$21)*$E$72/100,IFERROR((CHOOSE($D$72,$G$21,$L$21,$Q$21,$V$21)-CHOOSE($D$72,$G$21,$L$21,$Q$21,$V$21)*$G$72/100)/$H$72,0)))</f>
        <v>0</v>
      </c>
      <c r="V167">
        <f>IF(OR($B$72="",$B$22=""),0,IF($E$72&gt;0,CHOOSE($D$72,$G$22,$L$22,$Q$22,$V$22)*$E$72/100,IFERROR((CHOOSE($D$72,$G$22,$L$22,$Q$22,$V$22)-CHOOSE($D$72,$G$22,$L$22,$Q$22,$V$22)*$G$72/100)/$H$72,0)))</f>
        <v>0</v>
      </c>
    </row>
    <row r="168" spans="1:22" x14ac:dyDescent="0.3">
      <c r="A168">
        <v>35</v>
      </c>
      <c r="B168" t="str">
        <f t="shared" si="13"/>
        <v/>
      </c>
      <c r="C168">
        <f>IF(OR($B$73="",$B$3=""),0,IF($E$73&gt;0,CHOOSE($D$73,$G$3,$L$3,$Q$3,$V$3)*$E$73/100,IFERROR((CHOOSE($D$73,$G$3,$L$3,$Q$3,$V$3)-CHOOSE($D$73,$G$3,$L$3,$Q$3,$V$3)*$G$73/100)/$H$73,0)))</f>
        <v>0</v>
      </c>
      <c r="D168">
        <f>IF(OR($B$73="",$B$4=""),0,IF($E$73&gt;0,CHOOSE($D$73,$G$4,$L$4,$Q$4,$V$4)*$E$73/100,IFERROR((CHOOSE($D$73,$G$4,$L$4,$Q$4,$V$4)-CHOOSE($D$73,$G$4,$L$4,$Q$4,$V$4)*$G$73/100)/$H$73,0)))</f>
        <v>0</v>
      </c>
      <c r="E168">
        <f>IF(OR($B$73="",$B$5=""),0,IF($E$73&gt;0,CHOOSE($D$73,$G$5,$L$5,$Q$5,$V$5)*$E$73/100,IFERROR((CHOOSE($D$73,$G$5,$L$5,$Q$5,$V$5)-CHOOSE($D$73,$G$5,$L$5,$Q$5,$V$5)*$G$73/100)/$H$73,0)))</f>
        <v>0</v>
      </c>
      <c r="F168">
        <f>IF(OR($B$73="",$B$6=""),0,IF($E$73&gt;0,CHOOSE($D$73,$G$6,$L$6,$Q$6,$V$6)*$E$73/100,IFERROR((CHOOSE($D$73,$G$6,$L$6,$Q$6,$V$6)-CHOOSE($D$73,$G$6,$L$6,$Q$6,$V$6)*$G$73/100)/$H$73,0)))</f>
        <v>0</v>
      </c>
      <c r="G168">
        <f>IF(OR($B$73="",$B$7=""),0,IF($E$73&gt;0,CHOOSE($D$73,$G$7,$L$7,$Q$7,$V$7)*$E$73/100,IFERROR((CHOOSE($D$73,$G$7,$L$7,$Q$7,$V$7)-CHOOSE($D$73,$G$7,$L$7,$Q$7,$V$7)*$G$73/100)/$H$73,0)))</f>
        <v>0</v>
      </c>
      <c r="H168">
        <f>IF(OR($B$73="",$B$8=""),0,IF($E$73&gt;0,CHOOSE($D$73,$G$8,$L$8,$Q$8,$V$8)*$E$73/100,IFERROR((CHOOSE($D$73,$G$8,$L$8,$Q$8,$V$8)-CHOOSE($D$73,$G$8,$L$8,$Q$8,$V$8)*$G$73/100)/$H$73,0)))</f>
        <v>0</v>
      </c>
      <c r="I168">
        <f>IF(OR($B$73="",$B$9=""),0,IF($E$73&gt;0,CHOOSE($D$73,$G$9,$L$9,$Q$9,$V$9)*$E$73/100,IFERROR((CHOOSE($D$73,$G$9,$L$9,$Q$9,$V$9)-CHOOSE($D$73,$G$9,$L$9,$Q$9,$V$9)*$G$73/100)/$H$73,0)))</f>
        <v>0</v>
      </c>
      <c r="J168">
        <f>IF(OR($B$73="",$B$10=""),0,IF($E$73&gt;0,CHOOSE($D$73,$G$10,$L$10,$Q$10,$V$10)*$E$73/100,IFERROR((CHOOSE($D$73,$G$10,$L$10,$Q$10,$V$10)-CHOOSE($D$73,$G$10,$L$10,$Q$10,$V$10)*$G$73/100)/$H$73,0)))</f>
        <v>0</v>
      </c>
      <c r="K168">
        <f>IF(OR($B$73="",$B$11=""),0,IF($E$73&gt;0,CHOOSE($D$73,$G$11,$L$11,$Q$11,$V$11)*$E$73/100,IFERROR((CHOOSE($D$73,$G$11,$L$11,$Q$11,$V$11)-CHOOSE($D$73,$G$11,$L$11,$Q$11,$V$11)*$G$73/100)/$H$73,0)))</f>
        <v>0</v>
      </c>
      <c r="L168">
        <f>IF(OR($B$73="",$B$12=""),0,IF($E$73&gt;0,CHOOSE($D$73,$G$12,$L$12,$Q$12,$V$12)*$E$73/100,IFERROR((CHOOSE($D$73,$G$12,$L$12,$Q$12,$V$12)-CHOOSE($D$73,$G$12,$L$12,$Q$12,$V$12)*$G$73/100)/$H$73,0)))</f>
        <v>0</v>
      </c>
      <c r="M168">
        <f>IF(OR($B$73="",$B$13=""),0,IF($E$73&gt;0,CHOOSE($D$73,$G$13,$L$13,$Q$13,$V$13)*$E$73/100,IFERROR((CHOOSE($D$73,$G$13,$L$13,$Q$13,$V$13)-CHOOSE($D$73,$G$13,$L$13,$Q$13,$V$13)*$G$73/100)/$H$73,0)))</f>
        <v>0</v>
      </c>
      <c r="N168">
        <f>IF(OR($B$73="",$B$14=""),0,IF($E$73&gt;0,CHOOSE($D$73,$G$14,$L$14,$Q$14,$V$14)*$E$73/100,IFERROR((CHOOSE($D$73,$G$14,$L$14,$Q$14,$V$14)-CHOOSE($D$73,$G$14,$L$14,$Q$14,$V$14)*$G$73/100)/$H$73,0)))</f>
        <v>0</v>
      </c>
      <c r="O168">
        <f>IF(OR($B$73="",$B$15=""),0,IF($E$73&gt;0,CHOOSE($D$73,$G$15,$L$15,$Q$15,$V$15)*$E$73/100,IFERROR((CHOOSE($D$73,$G$15,$L$15,$Q$15,$V$15)-CHOOSE($D$73,$G$15,$L$15,$Q$15,$V$15)*$G$73/100)/$H$73,0)))</f>
        <v>0</v>
      </c>
      <c r="P168">
        <f>IF(OR($B$73="",$B$16=""),0,IF($E$73&gt;0,CHOOSE($D$73,$G$16,$L$16,$Q$16,$V$16)*$E$73/100,IFERROR((CHOOSE($D$73,$G$16,$L$16,$Q$16,$V$16)-CHOOSE($D$73,$G$16,$L$16,$Q$16,$V$16)*$G$73/100)/$H$73,0)))</f>
        <v>0</v>
      </c>
      <c r="Q168">
        <f>IF(OR($B$73="",$B$17=""),0,IF($E$73&gt;0,CHOOSE($D$73,$G$17,$L$17,$Q$17,$V$17)*$E$73/100,IFERROR((CHOOSE($D$73,$G$17,$L$17,$Q$17,$V$17)-CHOOSE($D$73,$G$17,$L$17,$Q$17,$V$17)*$G$73/100)/$H$73,0)))</f>
        <v>0</v>
      </c>
      <c r="R168">
        <f>IF(OR($B$73="",$B$18=""),0,IF($E$73&gt;0,CHOOSE($D$73,$G$18,$L$18,$Q$18,$V$18)*$E$73/100,IFERROR((CHOOSE($D$73,$G$18,$L$18,$Q$18,$V$18)-CHOOSE($D$73,$G$18,$L$18,$Q$18,$V$18)*$G$73/100)/$H$73,0)))</f>
        <v>0</v>
      </c>
      <c r="S168">
        <f>IF(OR($B$73="",$B$19=""),0,IF($E$73&gt;0,CHOOSE($D$73,$G$19,$L$19,$Q$19,$V$19)*$E$73/100,IFERROR((CHOOSE($D$73,$G$19,$L$19,$Q$19,$V$19)-CHOOSE($D$73,$G$19,$L$19,$Q$19,$V$19)*$G$73/100)/$H$73,0)))</f>
        <v>0</v>
      </c>
      <c r="T168">
        <f>IF(OR($B$73="",$B$20=""),0,IF($E$73&gt;0,CHOOSE($D$73,$G$20,$L$20,$Q$20,$V$20)*$E$73/100,IFERROR((CHOOSE($D$73,$G$20,$L$20,$Q$20,$V$20)-CHOOSE($D$73,$G$20,$L$20,$Q$20,$V$20)*$G$73/100)/$H$73,0)))</f>
        <v>0</v>
      </c>
      <c r="U168">
        <f>IF(OR($B$73="",$B$21=""),0,IF($E$73&gt;0,CHOOSE($D$73,$G$21,$L$21,$Q$21,$V$21)*$E$73/100,IFERROR((CHOOSE($D$73,$G$21,$L$21,$Q$21,$V$21)-CHOOSE($D$73,$G$21,$L$21,$Q$21,$V$21)*$G$73/100)/$H$73,0)))</f>
        <v>0</v>
      </c>
      <c r="V168">
        <f>IF(OR($B$73="",$B$22=""),0,IF($E$73&gt;0,CHOOSE($D$73,$G$22,$L$22,$Q$22,$V$22)*$E$73/100,IFERROR((CHOOSE($D$73,$G$22,$L$22,$Q$22,$V$22)-CHOOSE($D$73,$G$22,$L$22,$Q$22,$V$22)*$G$73/100)/$H$73,0)))</f>
        <v>0</v>
      </c>
    </row>
    <row r="169" spans="1:22" x14ac:dyDescent="0.3">
      <c r="A169">
        <v>36</v>
      </c>
      <c r="B169" t="str">
        <f t="shared" si="13"/>
        <v/>
      </c>
      <c r="C169">
        <f>IF(OR($B$74="",$B$3=""),0,IF($E$74&gt;0,CHOOSE($D$74,$G$3,$L$3,$Q$3,$V$3)*$E$74/100,IFERROR((CHOOSE($D$74,$G$3,$L$3,$Q$3,$V$3)-CHOOSE($D$74,$G$3,$L$3,$Q$3,$V$3)*$G$74/100)/$H$74,0)))</f>
        <v>0</v>
      </c>
      <c r="D169">
        <f>IF(OR($B$74="",$B$4=""),0,IF($E$74&gt;0,CHOOSE($D$74,$G$4,$L$4,$Q$4,$V$4)*$E$74/100,IFERROR((CHOOSE($D$74,$G$4,$L$4,$Q$4,$V$4)-CHOOSE($D$74,$G$4,$L$4,$Q$4,$V$4)*$G$74/100)/$H$74,0)))</f>
        <v>0</v>
      </c>
      <c r="E169">
        <f>IF(OR($B$74="",$B$5=""),0,IF($E$74&gt;0,CHOOSE($D$74,$G$5,$L$5,$Q$5,$V$5)*$E$74/100,IFERROR((CHOOSE($D$74,$G$5,$L$5,$Q$5,$V$5)-CHOOSE($D$74,$G$5,$L$5,$Q$5,$V$5)*$G$74/100)/$H$74,0)))</f>
        <v>0</v>
      </c>
      <c r="F169">
        <f>IF(OR($B$74="",$B$6=""),0,IF($E$74&gt;0,CHOOSE($D$74,$G$6,$L$6,$Q$6,$V$6)*$E$74/100,IFERROR((CHOOSE($D$74,$G$6,$L$6,$Q$6,$V$6)-CHOOSE($D$74,$G$6,$L$6,$Q$6,$V$6)*$G$74/100)/$H$74,0)))</f>
        <v>0</v>
      </c>
      <c r="G169">
        <f>IF(OR($B$74="",$B$7=""),0,IF($E$74&gt;0,CHOOSE($D$74,$G$7,$L$7,$Q$7,$V$7)*$E$74/100,IFERROR((CHOOSE($D$74,$G$7,$L$7,$Q$7,$V$7)-CHOOSE($D$74,$G$7,$L$7,$Q$7,$V$7)*$G$74/100)/$H$74,0)))</f>
        <v>0</v>
      </c>
      <c r="H169">
        <f>IF(OR($B$74="",$B$8=""),0,IF($E$74&gt;0,CHOOSE($D$74,$G$8,$L$8,$Q$8,$V$8)*$E$74/100,IFERROR((CHOOSE($D$74,$G$8,$L$8,$Q$8,$V$8)-CHOOSE($D$74,$G$8,$L$8,$Q$8,$V$8)*$G$74/100)/$H$74,0)))</f>
        <v>0</v>
      </c>
      <c r="I169">
        <f>IF(OR($B$74="",$B$9=""),0,IF($E$74&gt;0,CHOOSE($D$74,$G$9,$L$9,$Q$9,$V$9)*$E$74/100,IFERROR((CHOOSE($D$74,$G$9,$L$9,$Q$9,$V$9)-CHOOSE($D$74,$G$9,$L$9,$Q$9,$V$9)*$G$74/100)/$H$74,0)))</f>
        <v>0</v>
      </c>
      <c r="J169">
        <f>IF(OR($B$74="",$B$10=""),0,IF($E$74&gt;0,CHOOSE($D$74,$G$10,$L$10,$Q$10,$V$10)*$E$74/100,IFERROR((CHOOSE($D$74,$G$10,$L$10,$Q$10,$V$10)-CHOOSE($D$74,$G$10,$L$10,$Q$10,$V$10)*$G$74/100)/$H$74,0)))</f>
        <v>0</v>
      </c>
      <c r="K169">
        <f>IF(OR($B$74="",$B$11=""),0,IF($E$74&gt;0,CHOOSE($D$74,$G$11,$L$11,$Q$11,$V$11)*$E$74/100,IFERROR((CHOOSE($D$74,$G$11,$L$11,$Q$11,$V$11)-CHOOSE($D$74,$G$11,$L$11,$Q$11,$V$11)*$G$74/100)/$H$74,0)))</f>
        <v>0</v>
      </c>
      <c r="L169">
        <f>IF(OR($B$74="",$B$12=""),0,IF($E$74&gt;0,CHOOSE($D$74,$G$12,$L$12,$Q$12,$V$12)*$E$74/100,IFERROR((CHOOSE($D$74,$G$12,$L$12,$Q$12,$V$12)-CHOOSE($D$74,$G$12,$L$12,$Q$12,$V$12)*$G$74/100)/$H$74,0)))</f>
        <v>0</v>
      </c>
      <c r="M169">
        <f>IF(OR($B$74="",$B$13=""),0,IF($E$74&gt;0,CHOOSE($D$74,$G$13,$L$13,$Q$13,$V$13)*$E$74/100,IFERROR((CHOOSE($D$74,$G$13,$L$13,$Q$13,$V$13)-CHOOSE($D$74,$G$13,$L$13,$Q$13,$V$13)*$G$74/100)/$H$74,0)))</f>
        <v>0</v>
      </c>
      <c r="N169">
        <f>IF(OR($B$74="",$B$14=""),0,IF($E$74&gt;0,CHOOSE($D$74,$G$14,$L$14,$Q$14,$V$14)*$E$74/100,IFERROR((CHOOSE($D$74,$G$14,$L$14,$Q$14,$V$14)-CHOOSE($D$74,$G$14,$L$14,$Q$14,$V$14)*$G$74/100)/$H$74,0)))</f>
        <v>0</v>
      </c>
      <c r="O169">
        <f>IF(OR($B$74="",$B$15=""),0,IF($E$74&gt;0,CHOOSE($D$74,$G$15,$L$15,$Q$15,$V$15)*$E$74/100,IFERROR((CHOOSE($D$74,$G$15,$L$15,$Q$15,$V$15)-CHOOSE($D$74,$G$15,$L$15,$Q$15,$V$15)*$G$74/100)/$H$74,0)))</f>
        <v>0</v>
      </c>
      <c r="P169">
        <f>IF(OR($B$74="",$B$16=""),0,IF($E$74&gt;0,CHOOSE($D$74,$G$16,$L$16,$Q$16,$V$16)*$E$74/100,IFERROR((CHOOSE($D$74,$G$16,$L$16,$Q$16,$V$16)-CHOOSE($D$74,$G$16,$L$16,$Q$16,$V$16)*$G$74/100)/$H$74,0)))</f>
        <v>0</v>
      </c>
      <c r="Q169">
        <f>IF(OR($B$74="",$B$17=""),0,IF($E$74&gt;0,CHOOSE($D$74,$G$17,$L$17,$Q$17,$V$17)*$E$74/100,IFERROR((CHOOSE($D$74,$G$17,$L$17,$Q$17,$V$17)-CHOOSE($D$74,$G$17,$L$17,$Q$17,$V$17)*$G$74/100)/$H$74,0)))</f>
        <v>0</v>
      </c>
      <c r="R169">
        <f>IF(OR($B$74="",$B$18=""),0,IF($E$74&gt;0,CHOOSE($D$74,$G$18,$L$18,$Q$18,$V$18)*$E$74/100,IFERROR((CHOOSE($D$74,$G$18,$L$18,$Q$18,$V$18)-CHOOSE($D$74,$G$18,$L$18,$Q$18,$V$18)*$G$74/100)/$H$74,0)))</f>
        <v>0</v>
      </c>
      <c r="S169">
        <f>IF(OR($B$74="",$B$19=""),0,IF($E$74&gt;0,CHOOSE($D$74,$G$19,$L$19,$Q$19,$V$19)*$E$74/100,IFERROR((CHOOSE($D$74,$G$19,$L$19,$Q$19,$V$19)-CHOOSE($D$74,$G$19,$L$19,$Q$19,$V$19)*$G$74/100)/$H$74,0)))</f>
        <v>0</v>
      </c>
      <c r="T169">
        <f>IF(OR($B$74="",$B$20=""),0,IF($E$74&gt;0,CHOOSE($D$74,$G$20,$L$20,$Q$20,$V$20)*$E$74/100,IFERROR((CHOOSE($D$74,$G$20,$L$20,$Q$20,$V$20)-CHOOSE($D$74,$G$20,$L$20,$Q$20,$V$20)*$G$74/100)/$H$74,0)))</f>
        <v>0</v>
      </c>
      <c r="U169">
        <f>IF(OR($B$74="",$B$21=""),0,IF($E$74&gt;0,CHOOSE($D$74,$G$21,$L$21,$Q$21,$V$21)*$E$74/100,IFERROR((CHOOSE($D$74,$G$21,$L$21,$Q$21,$V$21)-CHOOSE($D$74,$G$21,$L$21,$Q$21,$V$21)*$G$74/100)/$H$74,0)))</f>
        <v>0</v>
      </c>
      <c r="V169">
        <f>IF(OR($B$74="",$B$22=""),0,IF($E$74&gt;0,CHOOSE($D$74,$G$22,$L$22,$Q$22,$V$22)*$E$74/100,IFERROR((CHOOSE($D$74,$G$22,$L$22,$Q$22,$V$22)-CHOOSE($D$74,$G$22,$L$22,$Q$22,$V$22)*$G$74/100)/$H$74,0)))</f>
        <v>0</v>
      </c>
    </row>
    <row r="170" spans="1:22" x14ac:dyDescent="0.3">
      <c r="A170">
        <v>37</v>
      </c>
      <c r="B170" t="str">
        <f t="shared" si="13"/>
        <v/>
      </c>
      <c r="C170">
        <f>IF(OR($B$75="",$B$3=""),0,IF($E$75&gt;0,CHOOSE($D$75,$G$3,$L$3,$Q$3,$V$3)*$E$75/100,IFERROR((CHOOSE($D$75,$G$3,$L$3,$Q$3,$V$3)-CHOOSE($D$75,$G$3,$L$3,$Q$3,$V$3)*$G$75/100)/$H$75,0)))</f>
        <v>0</v>
      </c>
      <c r="D170">
        <f>IF(OR($B$75="",$B$4=""),0,IF($E$75&gt;0,CHOOSE($D$75,$G$4,$L$4,$Q$4,$V$4)*$E$75/100,IFERROR((CHOOSE($D$75,$G$4,$L$4,$Q$4,$V$4)-CHOOSE($D$75,$G$4,$L$4,$Q$4,$V$4)*$G$75/100)/$H$75,0)))</f>
        <v>0</v>
      </c>
      <c r="E170">
        <f>IF(OR($B$75="",$B$5=""),0,IF($E$75&gt;0,CHOOSE($D$75,$G$5,$L$5,$Q$5,$V$5)*$E$75/100,IFERROR((CHOOSE($D$75,$G$5,$L$5,$Q$5,$V$5)-CHOOSE($D$75,$G$5,$L$5,$Q$5,$V$5)*$G$75/100)/$H$75,0)))</f>
        <v>0</v>
      </c>
      <c r="F170">
        <f>IF(OR($B$75="",$B$6=""),0,IF($E$75&gt;0,CHOOSE($D$75,$G$6,$L$6,$Q$6,$V$6)*$E$75/100,IFERROR((CHOOSE($D$75,$G$6,$L$6,$Q$6,$V$6)-CHOOSE($D$75,$G$6,$L$6,$Q$6,$V$6)*$G$75/100)/$H$75,0)))</f>
        <v>0</v>
      </c>
      <c r="G170">
        <f>IF(OR($B$75="",$B$7=""),0,IF($E$75&gt;0,CHOOSE($D$75,$G$7,$L$7,$Q$7,$V$7)*$E$75/100,IFERROR((CHOOSE($D$75,$G$7,$L$7,$Q$7,$V$7)-CHOOSE($D$75,$G$7,$L$7,$Q$7,$V$7)*$G$75/100)/$H$75,0)))</f>
        <v>0</v>
      </c>
      <c r="H170">
        <f>IF(OR($B$75="",$B$8=""),0,IF($E$75&gt;0,CHOOSE($D$75,$G$8,$L$8,$Q$8,$V$8)*$E$75/100,IFERROR((CHOOSE($D$75,$G$8,$L$8,$Q$8,$V$8)-CHOOSE($D$75,$G$8,$L$8,$Q$8,$V$8)*$G$75/100)/$H$75,0)))</f>
        <v>0</v>
      </c>
      <c r="I170">
        <f>IF(OR($B$75="",$B$9=""),0,IF($E$75&gt;0,CHOOSE($D$75,$G$9,$L$9,$Q$9,$V$9)*$E$75/100,IFERROR((CHOOSE($D$75,$G$9,$L$9,$Q$9,$V$9)-CHOOSE($D$75,$G$9,$L$9,$Q$9,$V$9)*$G$75/100)/$H$75,0)))</f>
        <v>0</v>
      </c>
      <c r="J170">
        <f>IF(OR($B$75="",$B$10=""),0,IF($E$75&gt;0,CHOOSE($D$75,$G$10,$L$10,$Q$10,$V$10)*$E$75/100,IFERROR((CHOOSE($D$75,$G$10,$L$10,$Q$10,$V$10)-CHOOSE($D$75,$G$10,$L$10,$Q$10,$V$10)*$G$75/100)/$H$75,0)))</f>
        <v>0</v>
      </c>
      <c r="K170">
        <f>IF(OR($B$75="",$B$11=""),0,IF($E$75&gt;0,CHOOSE($D$75,$G$11,$L$11,$Q$11,$V$11)*$E$75/100,IFERROR((CHOOSE($D$75,$G$11,$L$11,$Q$11,$V$11)-CHOOSE($D$75,$G$11,$L$11,$Q$11,$V$11)*$G$75/100)/$H$75,0)))</f>
        <v>0</v>
      </c>
      <c r="L170">
        <f>IF(OR($B$75="",$B$12=""),0,IF($E$75&gt;0,CHOOSE($D$75,$G$12,$L$12,$Q$12,$V$12)*$E$75/100,IFERROR((CHOOSE($D$75,$G$12,$L$12,$Q$12,$V$12)-CHOOSE($D$75,$G$12,$L$12,$Q$12,$V$12)*$G$75/100)/$H$75,0)))</f>
        <v>0</v>
      </c>
      <c r="M170">
        <f>IF(OR($B$75="",$B$13=""),0,IF($E$75&gt;0,CHOOSE($D$75,$G$13,$L$13,$Q$13,$V$13)*$E$75/100,IFERROR((CHOOSE($D$75,$G$13,$L$13,$Q$13,$V$13)-CHOOSE($D$75,$G$13,$L$13,$Q$13,$V$13)*$G$75/100)/$H$75,0)))</f>
        <v>0</v>
      </c>
      <c r="N170">
        <f>IF(OR($B$75="",$B$14=""),0,IF($E$75&gt;0,CHOOSE($D$75,$G$14,$L$14,$Q$14,$V$14)*$E$75/100,IFERROR((CHOOSE($D$75,$G$14,$L$14,$Q$14,$V$14)-CHOOSE($D$75,$G$14,$L$14,$Q$14,$V$14)*$G$75/100)/$H$75,0)))</f>
        <v>0</v>
      </c>
      <c r="O170">
        <f>IF(OR($B$75="",$B$15=""),0,IF($E$75&gt;0,CHOOSE($D$75,$G$15,$L$15,$Q$15,$V$15)*$E$75/100,IFERROR((CHOOSE($D$75,$G$15,$L$15,$Q$15,$V$15)-CHOOSE($D$75,$G$15,$L$15,$Q$15,$V$15)*$G$75/100)/$H$75,0)))</f>
        <v>0</v>
      </c>
      <c r="P170">
        <f>IF(OR($B$75="",$B$16=""),0,IF($E$75&gt;0,CHOOSE($D$75,$G$16,$L$16,$Q$16,$V$16)*$E$75/100,IFERROR((CHOOSE($D$75,$G$16,$L$16,$Q$16,$V$16)-CHOOSE($D$75,$G$16,$L$16,$Q$16,$V$16)*$G$75/100)/$H$75,0)))</f>
        <v>0</v>
      </c>
      <c r="Q170">
        <f>IF(OR($B$75="",$B$17=""),0,IF($E$75&gt;0,CHOOSE($D$75,$G$17,$L$17,$Q$17,$V$17)*$E$75/100,IFERROR((CHOOSE($D$75,$G$17,$L$17,$Q$17,$V$17)-CHOOSE($D$75,$G$17,$L$17,$Q$17,$V$17)*$G$75/100)/$H$75,0)))</f>
        <v>0</v>
      </c>
      <c r="R170">
        <f>IF(OR($B$75="",$B$18=""),0,IF($E$75&gt;0,CHOOSE($D$75,$G$18,$L$18,$Q$18,$V$18)*$E$75/100,IFERROR((CHOOSE($D$75,$G$18,$L$18,$Q$18,$V$18)-CHOOSE($D$75,$G$18,$L$18,$Q$18,$V$18)*$G$75/100)/$H$75,0)))</f>
        <v>0</v>
      </c>
      <c r="S170">
        <f>IF(OR($B$75="",$B$19=""),0,IF($E$75&gt;0,CHOOSE($D$75,$G$19,$L$19,$Q$19,$V$19)*$E$75/100,IFERROR((CHOOSE($D$75,$G$19,$L$19,$Q$19,$V$19)-CHOOSE($D$75,$G$19,$L$19,$Q$19,$V$19)*$G$75/100)/$H$75,0)))</f>
        <v>0</v>
      </c>
      <c r="T170">
        <f>IF(OR($B$75="",$B$20=""),0,IF($E$75&gt;0,CHOOSE($D$75,$G$20,$L$20,$Q$20,$V$20)*$E$75/100,IFERROR((CHOOSE($D$75,$G$20,$L$20,$Q$20,$V$20)-CHOOSE($D$75,$G$20,$L$20,$Q$20,$V$20)*$G$75/100)/$H$75,0)))</f>
        <v>0</v>
      </c>
      <c r="U170">
        <f>IF(OR($B$75="",$B$21=""),0,IF($E$75&gt;0,CHOOSE($D$75,$G$21,$L$21,$Q$21,$V$21)*$E$75/100,IFERROR((CHOOSE($D$75,$G$21,$L$21,$Q$21,$V$21)-CHOOSE($D$75,$G$21,$L$21,$Q$21,$V$21)*$G$75/100)/$H$75,0)))</f>
        <v>0</v>
      </c>
      <c r="V170">
        <f>IF(OR($B$75="",$B$22=""),0,IF($E$75&gt;0,CHOOSE($D$75,$G$22,$L$22,$Q$22,$V$22)*$E$75/100,IFERROR((CHOOSE($D$75,$G$22,$L$22,$Q$22,$V$22)-CHOOSE($D$75,$G$22,$L$22,$Q$22,$V$22)*$G$75/100)/$H$75,0)))</f>
        <v>0</v>
      </c>
    </row>
    <row r="171" spans="1:22" x14ac:dyDescent="0.3">
      <c r="A171">
        <v>38</v>
      </c>
      <c r="B171" t="str">
        <f t="shared" si="13"/>
        <v/>
      </c>
      <c r="C171">
        <f>IF(OR($B$76="",$B$3=""),0,IF($E$76&gt;0,CHOOSE($D$76,$G$3,$L$3,$Q$3,$V$3)*$E$76/100,IFERROR((CHOOSE($D$76,$G$3,$L$3,$Q$3,$V$3)-CHOOSE($D$76,$G$3,$L$3,$Q$3,$V$3)*$G$76/100)/$H$76,0)))</f>
        <v>0</v>
      </c>
      <c r="D171">
        <f>IF(OR($B$76="",$B$4=""),0,IF($E$76&gt;0,CHOOSE($D$76,$G$4,$L$4,$Q$4,$V$4)*$E$76/100,IFERROR((CHOOSE($D$76,$G$4,$L$4,$Q$4,$V$4)-CHOOSE($D$76,$G$4,$L$4,$Q$4,$V$4)*$G$76/100)/$H$76,0)))</f>
        <v>0</v>
      </c>
      <c r="E171">
        <f>IF(OR($B$76="",$B$5=""),0,IF($E$76&gt;0,CHOOSE($D$76,$G$5,$L$5,$Q$5,$V$5)*$E$76/100,IFERROR((CHOOSE($D$76,$G$5,$L$5,$Q$5,$V$5)-CHOOSE($D$76,$G$5,$L$5,$Q$5,$V$5)*$G$76/100)/$H$76,0)))</f>
        <v>0</v>
      </c>
      <c r="F171">
        <f>IF(OR($B$76="",$B$6=""),0,IF($E$76&gt;0,CHOOSE($D$76,$G$6,$L$6,$Q$6,$V$6)*$E$76/100,IFERROR((CHOOSE($D$76,$G$6,$L$6,$Q$6,$V$6)-CHOOSE($D$76,$G$6,$L$6,$Q$6,$V$6)*$G$76/100)/$H$76,0)))</f>
        <v>0</v>
      </c>
      <c r="G171">
        <f>IF(OR($B$76="",$B$7=""),0,IF($E$76&gt;0,CHOOSE($D$76,$G$7,$L$7,$Q$7,$V$7)*$E$76/100,IFERROR((CHOOSE($D$76,$G$7,$L$7,$Q$7,$V$7)-CHOOSE($D$76,$G$7,$L$7,$Q$7,$V$7)*$G$76/100)/$H$76,0)))</f>
        <v>0</v>
      </c>
      <c r="H171">
        <f>IF(OR($B$76="",$B$8=""),0,IF($E$76&gt;0,CHOOSE($D$76,$G$8,$L$8,$Q$8,$V$8)*$E$76/100,IFERROR((CHOOSE($D$76,$G$8,$L$8,$Q$8,$V$8)-CHOOSE($D$76,$G$8,$L$8,$Q$8,$V$8)*$G$76/100)/$H$76,0)))</f>
        <v>0</v>
      </c>
      <c r="I171">
        <f>IF(OR($B$76="",$B$9=""),0,IF($E$76&gt;0,CHOOSE($D$76,$G$9,$L$9,$Q$9,$V$9)*$E$76/100,IFERROR((CHOOSE($D$76,$G$9,$L$9,$Q$9,$V$9)-CHOOSE($D$76,$G$9,$L$9,$Q$9,$V$9)*$G$76/100)/$H$76,0)))</f>
        <v>0</v>
      </c>
      <c r="J171">
        <f>IF(OR($B$76="",$B$10=""),0,IF($E$76&gt;0,CHOOSE($D$76,$G$10,$L$10,$Q$10,$V$10)*$E$76/100,IFERROR((CHOOSE($D$76,$G$10,$L$10,$Q$10,$V$10)-CHOOSE($D$76,$G$10,$L$10,$Q$10,$V$10)*$G$76/100)/$H$76,0)))</f>
        <v>0</v>
      </c>
      <c r="K171">
        <f>IF(OR($B$76="",$B$11=""),0,IF($E$76&gt;0,CHOOSE($D$76,$G$11,$L$11,$Q$11,$V$11)*$E$76/100,IFERROR((CHOOSE($D$76,$G$11,$L$11,$Q$11,$V$11)-CHOOSE($D$76,$G$11,$L$11,$Q$11,$V$11)*$G$76/100)/$H$76,0)))</f>
        <v>0</v>
      </c>
      <c r="L171">
        <f>IF(OR($B$76="",$B$12=""),0,IF($E$76&gt;0,CHOOSE($D$76,$G$12,$L$12,$Q$12,$V$12)*$E$76/100,IFERROR((CHOOSE($D$76,$G$12,$L$12,$Q$12,$V$12)-CHOOSE($D$76,$G$12,$L$12,$Q$12,$V$12)*$G$76/100)/$H$76,0)))</f>
        <v>0</v>
      </c>
      <c r="M171">
        <f>IF(OR($B$76="",$B$13=""),0,IF($E$76&gt;0,CHOOSE($D$76,$G$13,$L$13,$Q$13,$V$13)*$E$76/100,IFERROR((CHOOSE($D$76,$G$13,$L$13,$Q$13,$V$13)-CHOOSE($D$76,$G$13,$L$13,$Q$13,$V$13)*$G$76/100)/$H$76,0)))</f>
        <v>0</v>
      </c>
      <c r="N171">
        <f>IF(OR($B$76="",$B$14=""),0,IF($E$76&gt;0,CHOOSE($D$76,$G$14,$L$14,$Q$14,$V$14)*$E$76/100,IFERROR((CHOOSE($D$76,$G$14,$L$14,$Q$14,$V$14)-CHOOSE($D$76,$G$14,$L$14,$Q$14,$V$14)*$G$76/100)/$H$76,0)))</f>
        <v>0</v>
      </c>
      <c r="O171">
        <f>IF(OR($B$76="",$B$15=""),0,IF($E$76&gt;0,CHOOSE($D$76,$G$15,$L$15,$Q$15,$V$15)*$E$76/100,IFERROR((CHOOSE($D$76,$G$15,$L$15,$Q$15,$V$15)-CHOOSE($D$76,$G$15,$L$15,$Q$15,$V$15)*$G$76/100)/$H$76,0)))</f>
        <v>0</v>
      </c>
      <c r="P171">
        <f>IF(OR($B$76="",$B$16=""),0,IF($E$76&gt;0,CHOOSE($D$76,$G$16,$L$16,$Q$16,$V$16)*$E$76/100,IFERROR((CHOOSE($D$76,$G$16,$L$16,$Q$16,$V$16)-CHOOSE($D$76,$G$16,$L$16,$Q$16,$V$16)*$G$76/100)/$H$76,0)))</f>
        <v>0</v>
      </c>
      <c r="Q171">
        <f>IF(OR($B$76="",$B$17=""),0,IF($E$76&gt;0,CHOOSE($D$76,$G$17,$L$17,$Q$17,$V$17)*$E$76/100,IFERROR((CHOOSE($D$76,$G$17,$L$17,$Q$17,$V$17)-CHOOSE($D$76,$G$17,$L$17,$Q$17,$V$17)*$G$76/100)/$H$76,0)))</f>
        <v>0</v>
      </c>
      <c r="R171">
        <f>IF(OR($B$76="",$B$18=""),0,IF($E$76&gt;0,CHOOSE($D$76,$G$18,$L$18,$Q$18,$V$18)*$E$76/100,IFERROR((CHOOSE($D$76,$G$18,$L$18,$Q$18,$V$18)-CHOOSE($D$76,$G$18,$L$18,$Q$18,$V$18)*$G$76/100)/$H$76,0)))</f>
        <v>0</v>
      </c>
      <c r="S171">
        <f>IF(OR($B$76="",$B$19=""),0,IF($E$76&gt;0,CHOOSE($D$76,$G$19,$L$19,$Q$19,$V$19)*$E$76/100,IFERROR((CHOOSE($D$76,$G$19,$L$19,$Q$19,$V$19)-CHOOSE($D$76,$G$19,$L$19,$Q$19,$V$19)*$G$76/100)/$H$76,0)))</f>
        <v>0</v>
      </c>
      <c r="T171">
        <f>IF(OR($B$76="",$B$20=""),0,IF($E$76&gt;0,CHOOSE($D$76,$G$20,$L$20,$Q$20,$V$20)*$E$76/100,IFERROR((CHOOSE($D$76,$G$20,$L$20,$Q$20,$V$20)-CHOOSE($D$76,$G$20,$L$20,$Q$20,$V$20)*$G$76/100)/$H$76,0)))</f>
        <v>0</v>
      </c>
      <c r="U171">
        <f>IF(OR($B$76="",$B$21=""),0,IF($E$76&gt;0,CHOOSE($D$76,$G$21,$L$21,$Q$21,$V$21)*$E$76/100,IFERROR((CHOOSE($D$76,$G$21,$L$21,$Q$21,$V$21)-CHOOSE($D$76,$G$21,$L$21,$Q$21,$V$21)*$G$76/100)/$H$76,0)))</f>
        <v>0</v>
      </c>
      <c r="V171">
        <f>IF(OR($B$76="",$B$22=""),0,IF($E$76&gt;0,CHOOSE($D$76,$G$22,$L$22,$Q$22,$V$22)*$E$76/100,IFERROR((CHOOSE($D$76,$G$22,$L$22,$Q$22,$V$22)-CHOOSE($D$76,$G$22,$L$22,$Q$22,$V$22)*$G$76/100)/$H$76,0)))</f>
        <v>0</v>
      </c>
    </row>
    <row r="172" spans="1:22" x14ac:dyDescent="0.3">
      <c r="A172">
        <v>39</v>
      </c>
      <c r="B172" t="str">
        <f t="shared" si="13"/>
        <v/>
      </c>
      <c r="C172">
        <f>IF(OR($B$77="",$B$3=""),0,IF($E$77&gt;0,CHOOSE($D$77,$G$3,$L$3,$Q$3,$V$3)*$E$77/100,IFERROR((CHOOSE($D$77,$G$3,$L$3,$Q$3,$V$3)-CHOOSE($D$77,$G$3,$L$3,$Q$3,$V$3)*$G$77/100)/$H$77,0)))</f>
        <v>0</v>
      </c>
      <c r="D172">
        <f>IF(OR($B$77="",$B$4=""),0,IF($E$77&gt;0,CHOOSE($D$77,$G$4,$L$4,$Q$4,$V$4)*$E$77/100,IFERROR((CHOOSE($D$77,$G$4,$L$4,$Q$4,$V$4)-CHOOSE($D$77,$G$4,$L$4,$Q$4,$V$4)*$G$77/100)/$H$77,0)))</f>
        <v>0</v>
      </c>
      <c r="E172">
        <f>IF(OR($B$77="",$B$5=""),0,IF($E$77&gt;0,CHOOSE($D$77,$G$5,$L$5,$Q$5,$V$5)*$E$77/100,IFERROR((CHOOSE($D$77,$G$5,$L$5,$Q$5,$V$5)-CHOOSE($D$77,$G$5,$L$5,$Q$5,$V$5)*$G$77/100)/$H$77,0)))</f>
        <v>0</v>
      </c>
      <c r="F172">
        <f>IF(OR($B$77="",$B$6=""),0,IF($E$77&gt;0,CHOOSE($D$77,$G$6,$L$6,$Q$6,$V$6)*$E$77/100,IFERROR((CHOOSE($D$77,$G$6,$L$6,$Q$6,$V$6)-CHOOSE($D$77,$G$6,$L$6,$Q$6,$V$6)*$G$77/100)/$H$77,0)))</f>
        <v>0</v>
      </c>
      <c r="G172">
        <f>IF(OR($B$77="",$B$7=""),0,IF($E$77&gt;0,CHOOSE($D$77,$G$7,$L$7,$Q$7,$V$7)*$E$77/100,IFERROR((CHOOSE($D$77,$G$7,$L$7,$Q$7,$V$7)-CHOOSE($D$77,$G$7,$L$7,$Q$7,$V$7)*$G$77/100)/$H$77,0)))</f>
        <v>0</v>
      </c>
      <c r="H172">
        <f>IF(OR($B$77="",$B$8=""),0,IF($E$77&gt;0,CHOOSE($D$77,$G$8,$L$8,$Q$8,$V$8)*$E$77/100,IFERROR((CHOOSE($D$77,$G$8,$L$8,$Q$8,$V$8)-CHOOSE($D$77,$G$8,$L$8,$Q$8,$V$8)*$G$77/100)/$H$77,0)))</f>
        <v>0</v>
      </c>
      <c r="I172">
        <f>IF(OR($B$77="",$B$9=""),0,IF($E$77&gt;0,CHOOSE($D$77,$G$9,$L$9,$Q$9,$V$9)*$E$77/100,IFERROR((CHOOSE($D$77,$G$9,$L$9,$Q$9,$V$9)-CHOOSE($D$77,$G$9,$L$9,$Q$9,$V$9)*$G$77/100)/$H$77,0)))</f>
        <v>0</v>
      </c>
      <c r="J172">
        <f>IF(OR($B$77="",$B$10=""),0,IF($E$77&gt;0,CHOOSE($D$77,$G$10,$L$10,$Q$10,$V$10)*$E$77/100,IFERROR((CHOOSE($D$77,$G$10,$L$10,$Q$10,$V$10)-CHOOSE($D$77,$G$10,$L$10,$Q$10,$V$10)*$G$77/100)/$H$77,0)))</f>
        <v>0</v>
      </c>
      <c r="K172">
        <f>IF(OR($B$77="",$B$11=""),0,IF($E$77&gt;0,CHOOSE($D$77,$G$11,$L$11,$Q$11,$V$11)*$E$77/100,IFERROR((CHOOSE($D$77,$G$11,$L$11,$Q$11,$V$11)-CHOOSE($D$77,$G$11,$L$11,$Q$11,$V$11)*$G$77/100)/$H$77,0)))</f>
        <v>0</v>
      </c>
      <c r="L172">
        <f>IF(OR($B$77="",$B$12=""),0,IF($E$77&gt;0,CHOOSE($D$77,$G$12,$L$12,$Q$12,$V$12)*$E$77/100,IFERROR((CHOOSE($D$77,$G$12,$L$12,$Q$12,$V$12)-CHOOSE($D$77,$G$12,$L$12,$Q$12,$V$12)*$G$77/100)/$H$77,0)))</f>
        <v>0</v>
      </c>
      <c r="M172">
        <f>IF(OR($B$77="",$B$13=""),0,IF($E$77&gt;0,CHOOSE($D$77,$G$13,$L$13,$Q$13,$V$13)*$E$77/100,IFERROR((CHOOSE($D$77,$G$13,$L$13,$Q$13,$V$13)-CHOOSE($D$77,$G$13,$L$13,$Q$13,$V$13)*$G$77/100)/$H$77,0)))</f>
        <v>0</v>
      </c>
      <c r="N172">
        <f>IF(OR($B$77="",$B$14=""),0,IF($E$77&gt;0,CHOOSE($D$77,$G$14,$L$14,$Q$14,$V$14)*$E$77/100,IFERROR((CHOOSE($D$77,$G$14,$L$14,$Q$14,$V$14)-CHOOSE($D$77,$G$14,$L$14,$Q$14,$V$14)*$G$77/100)/$H$77,0)))</f>
        <v>0</v>
      </c>
      <c r="O172">
        <f>IF(OR($B$77="",$B$15=""),0,IF($E$77&gt;0,CHOOSE($D$77,$G$15,$L$15,$Q$15,$V$15)*$E$77/100,IFERROR((CHOOSE($D$77,$G$15,$L$15,$Q$15,$V$15)-CHOOSE($D$77,$G$15,$L$15,$Q$15,$V$15)*$G$77/100)/$H$77,0)))</f>
        <v>0</v>
      </c>
      <c r="P172">
        <f>IF(OR($B$77="",$B$16=""),0,IF($E$77&gt;0,CHOOSE($D$77,$G$16,$L$16,$Q$16,$V$16)*$E$77/100,IFERROR((CHOOSE($D$77,$G$16,$L$16,$Q$16,$V$16)-CHOOSE($D$77,$G$16,$L$16,$Q$16,$V$16)*$G$77/100)/$H$77,0)))</f>
        <v>0</v>
      </c>
      <c r="Q172">
        <f>IF(OR($B$77="",$B$17=""),0,IF($E$77&gt;0,CHOOSE($D$77,$G$17,$L$17,$Q$17,$V$17)*$E$77/100,IFERROR((CHOOSE($D$77,$G$17,$L$17,$Q$17,$V$17)-CHOOSE($D$77,$G$17,$L$17,$Q$17,$V$17)*$G$77/100)/$H$77,0)))</f>
        <v>0</v>
      </c>
      <c r="R172">
        <f>IF(OR($B$77="",$B$18=""),0,IF($E$77&gt;0,CHOOSE($D$77,$G$18,$L$18,$Q$18,$V$18)*$E$77/100,IFERROR((CHOOSE($D$77,$G$18,$L$18,$Q$18,$V$18)-CHOOSE($D$77,$G$18,$L$18,$Q$18,$V$18)*$G$77/100)/$H$77,0)))</f>
        <v>0</v>
      </c>
      <c r="S172">
        <f>IF(OR($B$77="",$B$19=""),0,IF($E$77&gt;0,CHOOSE($D$77,$G$19,$L$19,$Q$19,$V$19)*$E$77/100,IFERROR((CHOOSE($D$77,$G$19,$L$19,$Q$19,$V$19)-CHOOSE($D$77,$G$19,$L$19,$Q$19,$V$19)*$G$77/100)/$H$77,0)))</f>
        <v>0</v>
      </c>
      <c r="T172">
        <f>IF(OR($B$77="",$B$20=""),0,IF($E$77&gt;0,CHOOSE($D$77,$G$20,$L$20,$Q$20,$V$20)*$E$77/100,IFERROR((CHOOSE($D$77,$G$20,$L$20,$Q$20,$V$20)-CHOOSE($D$77,$G$20,$L$20,$Q$20,$V$20)*$G$77/100)/$H$77,0)))</f>
        <v>0</v>
      </c>
      <c r="U172">
        <f>IF(OR($B$77="",$B$21=""),0,IF($E$77&gt;0,CHOOSE($D$77,$G$21,$L$21,$Q$21,$V$21)*$E$77/100,IFERROR((CHOOSE($D$77,$G$21,$L$21,$Q$21,$V$21)-CHOOSE($D$77,$G$21,$L$21,$Q$21,$V$21)*$G$77/100)/$H$77,0)))</f>
        <v>0</v>
      </c>
      <c r="V172">
        <f>IF(OR($B$77="",$B$22=""),0,IF($E$77&gt;0,CHOOSE($D$77,$G$22,$L$22,$Q$22,$V$22)*$E$77/100,IFERROR((CHOOSE($D$77,$G$22,$L$22,$Q$22,$V$22)-CHOOSE($D$77,$G$22,$L$22,$Q$22,$V$22)*$G$77/100)/$H$77,0)))</f>
        <v>0</v>
      </c>
    </row>
    <row r="173" spans="1:22" x14ac:dyDescent="0.3">
      <c r="A173">
        <v>40</v>
      </c>
      <c r="B173" t="str">
        <f t="shared" si="13"/>
        <v/>
      </c>
      <c r="C173">
        <f>IF(OR($B$78="",$B$3=""),0,IF($E$78&gt;0,CHOOSE($D$78,$G$3,$L$3,$Q$3,$V$3)*$E$78/100,IFERROR((CHOOSE($D$78,$G$3,$L$3,$Q$3,$V$3)-CHOOSE($D$78,$G$3,$L$3,$Q$3,$V$3)*$G$78/100)/$H$78,0)))</f>
        <v>0</v>
      </c>
      <c r="D173">
        <f>IF(OR($B$78="",$B$4=""),0,IF($E$78&gt;0,CHOOSE($D$78,$G$4,$L$4,$Q$4,$V$4)*$E$78/100,IFERROR((CHOOSE($D$78,$G$4,$L$4,$Q$4,$V$4)-CHOOSE($D$78,$G$4,$L$4,$Q$4,$V$4)*$G$78/100)/$H$78,0)))</f>
        <v>0</v>
      </c>
      <c r="E173">
        <f>IF(OR($B$78="",$B$5=""),0,IF($E$78&gt;0,CHOOSE($D$78,$G$5,$L$5,$Q$5,$V$5)*$E$78/100,IFERROR((CHOOSE($D$78,$G$5,$L$5,$Q$5,$V$5)-CHOOSE($D$78,$G$5,$L$5,$Q$5,$V$5)*$G$78/100)/$H$78,0)))</f>
        <v>0</v>
      </c>
      <c r="F173">
        <f>IF(OR($B$78="",$B$6=""),0,IF($E$78&gt;0,CHOOSE($D$78,$G$6,$L$6,$Q$6,$V$6)*$E$78/100,IFERROR((CHOOSE($D$78,$G$6,$L$6,$Q$6,$V$6)-CHOOSE($D$78,$G$6,$L$6,$Q$6,$V$6)*$G$78/100)/$H$78,0)))</f>
        <v>0</v>
      </c>
      <c r="G173">
        <f>IF(OR($B$78="",$B$7=""),0,IF($E$78&gt;0,CHOOSE($D$78,$G$7,$L$7,$Q$7,$V$7)*$E$78/100,IFERROR((CHOOSE($D$78,$G$7,$L$7,$Q$7,$V$7)-CHOOSE($D$78,$G$7,$L$7,$Q$7,$V$7)*$G$78/100)/$H$78,0)))</f>
        <v>0</v>
      </c>
      <c r="H173">
        <f>IF(OR($B$78="",$B$8=""),0,IF($E$78&gt;0,CHOOSE($D$78,$G$8,$L$8,$Q$8,$V$8)*$E$78/100,IFERROR((CHOOSE($D$78,$G$8,$L$8,$Q$8,$V$8)-CHOOSE($D$78,$G$8,$L$8,$Q$8,$V$8)*$G$78/100)/$H$78,0)))</f>
        <v>0</v>
      </c>
      <c r="I173">
        <f>IF(OR($B$78="",$B$9=""),0,IF($E$78&gt;0,CHOOSE($D$78,$G$9,$L$9,$Q$9,$V$9)*$E$78/100,IFERROR((CHOOSE($D$78,$G$9,$L$9,$Q$9,$V$9)-CHOOSE($D$78,$G$9,$L$9,$Q$9,$V$9)*$G$78/100)/$H$78,0)))</f>
        <v>0</v>
      </c>
      <c r="J173">
        <f>IF(OR($B$78="",$B$10=""),0,IF($E$78&gt;0,CHOOSE($D$78,$G$10,$L$10,$Q$10,$V$10)*$E$78/100,IFERROR((CHOOSE($D$78,$G$10,$L$10,$Q$10,$V$10)-CHOOSE($D$78,$G$10,$L$10,$Q$10,$V$10)*$G$78/100)/$H$78,0)))</f>
        <v>0</v>
      </c>
      <c r="K173">
        <f>IF(OR($B$78="",$B$11=""),0,IF($E$78&gt;0,CHOOSE($D$78,$G$11,$L$11,$Q$11,$V$11)*$E$78/100,IFERROR((CHOOSE($D$78,$G$11,$L$11,$Q$11,$V$11)-CHOOSE($D$78,$G$11,$L$11,$Q$11,$V$11)*$G$78/100)/$H$78,0)))</f>
        <v>0</v>
      </c>
      <c r="L173">
        <f>IF(OR($B$78="",$B$12=""),0,IF($E$78&gt;0,CHOOSE($D$78,$G$12,$L$12,$Q$12,$V$12)*$E$78/100,IFERROR((CHOOSE($D$78,$G$12,$L$12,$Q$12,$V$12)-CHOOSE($D$78,$G$12,$L$12,$Q$12,$V$12)*$G$78/100)/$H$78,0)))</f>
        <v>0</v>
      </c>
      <c r="M173">
        <f>IF(OR($B$78="",$B$13=""),0,IF($E$78&gt;0,CHOOSE($D$78,$G$13,$L$13,$Q$13,$V$13)*$E$78/100,IFERROR((CHOOSE($D$78,$G$13,$L$13,$Q$13,$V$13)-CHOOSE($D$78,$G$13,$L$13,$Q$13,$V$13)*$G$78/100)/$H$78,0)))</f>
        <v>0</v>
      </c>
      <c r="N173">
        <f>IF(OR($B$78="",$B$14=""),0,IF($E$78&gt;0,CHOOSE($D$78,$G$14,$L$14,$Q$14,$V$14)*$E$78/100,IFERROR((CHOOSE($D$78,$G$14,$L$14,$Q$14,$V$14)-CHOOSE($D$78,$G$14,$L$14,$Q$14,$V$14)*$G$78/100)/$H$78,0)))</f>
        <v>0</v>
      </c>
      <c r="O173">
        <f>IF(OR($B$78="",$B$15=""),0,IF($E$78&gt;0,CHOOSE($D$78,$G$15,$L$15,$Q$15,$V$15)*$E$78/100,IFERROR((CHOOSE($D$78,$G$15,$L$15,$Q$15,$V$15)-CHOOSE($D$78,$G$15,$L$15,$Q$15,$V$15)*$G$78/100)/$H$78,0)))</f>
        <v>0</v>
      </c>
      <c r="P173">
        <f>IF(OR($B$78="",$B$16=""),0,IF($E$78&gt;0,CHOOSE($D$78,$G$16,$L$16,$Q$16,$V$16)*$E$78/100,IFERROR((CHOOSE($D$78,$G$16,$L$16,$Q$16,$V$16)-CHOOSE($D$78,$G$16,$L$16,$Q$16,$V$16)*$G$78/100)/$H$78,0)))</f>
        <v>0</v>
      </c>
      <c r="Q173">
        <f>IF(OR($B$78="",$B$17=""),0,IF($E$78&gt;0,CHOOSE($D$78,$G$17,$L$17,$Q$17,$V$17)*$E$78/100,IFERROR((CHOOSE($D$78,$G$17,$L$17,$Q$17,$V$17)-CHOOSE($D$78,$G$17,$L$17,$Q$17,$V$17)*$G$78/100)/$H$78,0)))</f>
        <v>0</v>
      </c>
      <c r="R173">
        <f>IF(OR($B$78="",$B$18=""),0,IF($E$78&gt;0,CHOOSE($D$78,$G$18,$L$18,$Q$18,$V$18)*$E$78/100,IFERROR((CHOOSE($D$78,$G$18,$L$18,$Q$18,$V$18)-CHOOSE($D$78,$G$18,$L$18,$Q$18,$V$18)*$G$78/100)/$H$78,0)))</f>
        <v>0</v>
      </c>
      <c r="S173">
        <f>IF(OR($B$78="",$B$19=""),0,IF($E$78&gt;0,CHOOSE($D$78,$G$19,$L$19,$Q$19,$V$19)*$E$78/100,IFERROR((CHOOSE($D$78,$G$19,$L$19,$Q$19,$V$19)-CHOOSE($D$78,$G$19,$L$19,$Q$19,$V$19)*$G$78/100)/$H$78,0)))</f>
        <v>0</v>
      </c>
      <c r="T173">
        <f>IF(OR($B$78="",$B$20=""),0,IF($E$78&gt;0,CHOOSE($D$78,$G$20,$L$20,$Q$20,$V$20)*$E$78/100,IFERROR((CHOOSE($D$78,$G$20,$L$20,$Q$20,$V$20)-CHOOSE($D$78,$G$20,$L$20,$Q$20,$V$20)*$G$78/100)/$H$78,0)))</f>
        <v>0</v>
      </c>
      <c r="U173">
        <f>IF(OR($B$78="",$B$21=""),0,IF($E$78&gt;0,CHOOSE($D$78,$G$21,$L$21,$Q$21,$V$21)*$E$78/100,IFERROR((CHOOSE($D$78,$G$21,$L$21,$Q$21,$V$21)-CHOOSE($D$78,$G$21,$L$21,$Q$21,$V$21)*$G$78/100)/$H$78,0)))</f>
        <v>0</v>
      </c>
      <c r="V173">
        <f>IF(OR($B$78="",$B$22=""),0,IF($E$78&gt;0,CHOOSE($D$78,$G$22,$L$22,$Q$22,$V$22)*$E$78/100,IFERROR((CHOOSE($D$78,$G$22,$L$22,$Q$22,$V$22)-CHOOSE($D$78,$G$22,$L$22,$Q$22,$V$22)*$G$78/100)/$H$78,0)))</f>
        <v>0</v>
      </c>
    </row>
    <row r="174" spans="1:22" x14ac:dyDescent="0.3">
      <c r="A174">
        <v>41</v>
      </c>
      <c r="B174" t="str">
        <f t="shared" si="13"/>
        <v/>
      </c>
      <c r="C174">
        <f>IF(OR($B$79="",$B$3=""),0,IF($E$79&gt;0,CHOOSE($D$79,$G$3,$L$3,$Q$3,$V$3)*$E$79/100,IFERROR((CHOOSE($D$79,$G$3,$L$3,$Q$3,$V$3)-CHOOSE($D$79,$G$3,$L$3,$Q$3,$V$3)*$G$79/100)/$H$79,0)))</f>
        <v>0</v>
      </c>
      <c r="D174">
        <f>IF(OR($B$79="",$B$4=""),0,IF($E$79&gt;0,CHOOSE($D$79,$G$4,$L$4,$Q$4,$V$4)*$E$79/100,IFERROR((CHOOSE($D$79,$G$4,$L$4,$Q$4,$V$4)-CHOOSE($D$79,$G$4,$L$4,$Q$4,$V$4)*$G$79/100)/$H$79,0)))</f>
        <v>0</v>
      </c>
      <c r="E174">
        <f>IF(OR($B$79="",$B$5=""),0,IF($E$79&gt;0,CHOOSE($D$79,$G$5,$L$5,$Q$5,$V$5)*$E$79/100,IFERROR((CHOOSE($D$79,$G$5,$L$5,$Q$5,$V$5)-CHOOSE($D$79,$G$5,$L$5,$Q$5,$V$5)*$G$79/100)/$H$79,0)))</f>
        <v>0</v>
      </c>
      <c r="F174">
        <f>IF(OR($B$79="",$B$6=""),0,IF($E$79&gt;0,CHOOSE($D$79,$G$6,$L$6,$Q$6,$V$6)*$E$79/100,IFERROR((CHOOSE($D$79,$G$6,$L$6,$Q$6,$V$6)-CHOOSE($D$79,$G$6,$L$6,$Q$6,$V$6)*$G$79/100)/$H$79,0)))</f>
        <v>0</v>
      </c>
      <c r="G174">
        <f>IF(OR($B$79="",$B$7=""),0,IF($E$79&gt;0,CHOOSE($D$79,$G$7,$L$7,$Q$7,$V$7)*$E$79/100,IFERROR((CHOOSE($D$79,$G$7,$L$7,$Q$7,$V$7)-CHOOSE($D$79,$G$7,$L$7,$Q$7,$V$7)*$G$79/100)/$H$79,0)))</f>
        <v>0</v>
      </c>
      <c r="H174">
        <f>IF(OR($B$79="",$B$8=""),0,IF($E$79&gt;0,CHOOSE($D$79,$G$8,$L$8,$Q$8,$V$8)*$E$79/100,IFERROR((CHOOSE($D$79,$G$8,$L$8,$Q$8,$V$8)-CHOOSE($D$79,$G$8,$L$8,$Q$8,$V$8)*$G$79/100)/$H$79,0)))</f>
        <v>0</v>
      </c>
      <c r="I174">
        <f>IF(OR($B$79="",$B$9=""),0,IF($E$79&gt;0,CHOOSE($D$79,$G$9,$L$9,$Q$9,$V$9)*$E$79/100,IFERROR((CHOOSE($D$79,$G$9,$L$9,$Q$9,$V$9)-CHOOSE($D$79,$G$9,$L$9,$Q$9,$V$9)*$G$79/100)/$H$79,0)))</f>
        <v>0</v>
      </c>
      <c r="J174">
        <f>IF(OR($B$79="",$B$10=""),0,IF($E$79&gt;0,CHOOSE($D$79,$G$10,$L$10,$Q$10,$V$10)*$E$79/100,IFERROR((CHOOSE($D$79,$G$10,$L$10,$Q$10,$V$10)-CHOOSE($D$79,$G$10,$L$10,$Q$10,$V$10)*$G$79/100)/$H$79,0)))</f>
        <v>0</v>
      </c>
      <c r="K174">
        <f>IF(OR($B$79="",$B$11=""),0,IF($E$79&gt;0,CHOOSE($D$79,$G$11,$L$11,$Q$11,$V$11)*$E$79/100,IFERROR((CHOOSE($D$79,$G$11,$L$11,$Q$11,$V$11)-CHOOSE($D$79,$G$11,$L$11,$Q$11,$V$11)*$G$79/100)/$H$79,0)))</f>
        <v>0</v>
      </c>
      <c r="L174">
        <f>IF(OR($B$79="",$B$12=""),0,IF($E$79&gt;0,CHOOSE($D$79,$G$12,$L$12,$Q$12,$V$12)*$E$79/100,IFERROR((CHOOSE($D$79,$G$12,$L$12,$Q$12,$V$12)-CHOOSE($D$79,$G$12,$L$12,$Q$12,$V$12)*$G$79/100)/$H$79,0)))</f>
        <v>0</v>
      </c>
      <c r="M174">
        <f>IF(OR($B$79="",$B$13=""),0,IF($E$79&gt;0,CHOOSE($D$79,$G$13,$L$13,$Q$13,$V$13)*$E$79/100,IFERROR((CHOOSE($D$79,$G$13,$L$13,$Q$13,$V$13)-CHOOSE($D$79,$G$13,$L$13,$Q$13,$V$13)*$G$79/100)/$H$79,0)))</f>
        <v>0</v>
      </c>
      <c r="N174">
        <f>IF(OR($B$79="",$B$14=""),0,IF($E$79&gt;0,CHOOSE($D$79,$G$14,$L$14,$Q$14,$V$14)*$E$79/100,IFERROR((CHOOSE($D$79,$G$14,$L$14,$Q$14,$V$14)-CHOOSE($D$79,$G$14,$L$14,$Q$14,$V$14)*$G$79/100)/$H$79,0)))</f>
        <v>0</v>
      </c>
      <c r="O174">
        <f>IF(OR($B$79="",$B$15=""),0,IF($E$79&gt;0,CHOOSE($D$79,$G$15,$L$15,$Q$15,$V$15)*$E$79/100,IFERROR((CHOOSE($D$79,$G$15,$L$15,$Q$15,$V$15)-CHOOSE($D$79,$G$15,$L$15,$Q$15,$V$15)*$G$79/100)/$H$79,0)))</f>
        <v>0</v>
      </c>
      <c r="P174">
        <f>IF(OR($B$79="",$B$16=""),0,IF($E$79&gt;0,CHOOSE($D$79,$G$16,$L$16,$Q$16,$V$16)*$E$79/100,IFERROR((CHOOSE($D$79,$G$16,$L$16,$Q$16,$V$16)-CHOOSE($D$79,$G$16,$L$16,$Q$16,$V$16)*$G$79/100)/$H$79,0)))</f>
        <v>0</v>
      </c>
      <c r="Q174">
        <f>IF(OR($B$79="",$B$17=""),0,IF($E$79&gt;0,CHOOSE($D$79,$G$17,$L$17,$Q$17,$V$17)*$E$79/100,IFERROR((CHOOSE($D$79,$G$17,$L$17,$Q$17,$V$17)-CHOOSE($D$79,$G$17,$L$17,$Q$17,$V$17)*$G$79/100)/$H$79,0)))</f>
        <v>0</v>
      </c>
      <c r="R174">
        <f>IF(OR($B$79="",$B$18=""),0,IF($E$79&gt;0,CHOOSE($D$79,$G$18,$L$18,$Q$18,$V$18)*$E$79/100,IFERROR((CHOOSE($D$79,$G$18,$L$18,$Q$18,$V$18)-CHOOSE($D$79,$G$18,$L$18,$Q$18,$V$18)*$G$79/100)/$H$79,0)))</f>
        <v>0</v>
      </c>
      <c r="S174">
        <f>IF(OR($B$79="",$B$19=""),0,IF($E$79&gt;0,CHOOSE($D$79,$G$19,$L$19,$Q$19,$V$19)*$E$79/100,IFERROR((CHOOSE($D$79,$G$19,$L$19,$Q$19,$V$19)-CHOOSE($D$79,$G$19,$L$19,$Q$19,$V$19)*$G$79/100)/$H$79,0)))</f>
        <v>0</v>
      </c>
      <c r="T174">
        <f>IF(OR($B$79="",$B$20=""),0,IF($E$79&gt;0,CHOOSE($D$79,$G$20,$L$20,$Q$20,$V$20)*$E$79/100,IFERROR((CHOOSE($D$79,$G$20,$L$20,$Q$20,$V$20)-CHOOSE($D$79,$G$20,$L$20,$Q$20,$V$20)*$G$79/100)/$H$79,0)))</f>
        <v>0</v>
      </c>
      <c r="U174">
        <f>IF(OR($B$79="",$B$21=""),0,IF($E$79&gt;0,CHOOSE($D$79,$G$21,$L$21,$Q$21,$V$21)*$E$79/100,IFERROR((CHOOSE($D$79,$G$21,$L$21,$Q$21,$V$21)-CHOOSE($D$79,$G$21,$L$21,$Q$21,$V$21)*$G$79/100)/$H$79,0)))</f>
        <v>0</v>
      </c>
      <c r="V174">
        <f>IF(OR($B$79="",$B$22=""),0,IF($E$79&gt;0,CHOOSE($D$79,$G$22,$L$22,$Q$22,$V$22)*$E$79/100,IFERROR((CHOOSE($D$79,$G$22,$L$22,$Q$22,$V$22)-CHOOSE($D$79,$G$22,$L$22,$Q$22,$V$22)*$G$79/100)/$H$79,0)))</f>
        <v>0</v>
      </c>
    </row>
    <row r="175" spans="1:22" x14ac:dyDescent="0.3">
      <c r="A175">
        <v>42</v>
      </c>
      <c r="B175" t="str">
        <f t="shared" si="13"/>
        <v/>
      </c>
      <c r="C175">
        <f>IF(OR($B$80="",$B$3=""),0,IF($E$80&gt;0,CHOOSE($D$80,$G$3,$L$3,$Q$3,$V$3)*$E$80/100,IFERROR((CHOOSE($D$80,$G$3,$L$3,$Q$3,$V$3)-CHOOSE($D$80,$G$3,$L$3,$Q$3,$V$3)*$G$80/100)/$H$80,0)))</f>
        <v>0</v>
      </c>
      <c r="D175">
        <f>IF(OR($B$80="",$B$4=""),0,IF($E$80&gt;0,CHOOSE($D$80,$G$4,$L$4,$Q$4,$V$4)*$E$80/100,IFERROR((CHOOSE($D$80,$G$4,$L$4,$Q$4,$V$4)-CHOOSE($D$80,$G$4,$L$4,$Q$4,$V$4)*$G$80/100)/$H$80,0)))</f>
        <v>0</v>
      </c>
      <c r="E175">
        <f>IF(OR($B$80="",$B$5=""),0,IF($E$80&gt;0,CHOOSE($D$80,$G$5,$L$5,$Q$5,$V$5)*$E$80/100,IFERROR((CHOOSE($D$80,$G$5,$L$5,$Q$5,$V$5)-CHOOSE($D$80,$G$5,$L$5,$Q$5,$V$5)*$G$80/100)/$H$80,0)))</f>
        <v>0</v>
      </c>
      <c r="F175">
        <f>IF(OR($B$80="",$B$6=""),0,IF($E$80&gt;0,CHOOSE($D$80,$G$6,$L$6,$Q$6,$V$6)*$E$80/100,IFERROR((CHOOSE($D$80,$G$6,$L$6,$Q$6,$V$6)-CHOOSE($D$80,$G$6,$L$6,$Q$6,$V$6)*$G$80/100)/$H$80,0)))</f>
        <v>0</v>
      </c>
      <c r="G175">
        <f>IF(OR($B$80="",$B$7=""),0,IF($E$80&gt;0,CHOOSE($D$80,$G$7,$L$7,$Q$7,$V$7)*$E$80/100,IFERROR((CHOOSE($D$80,$G$7,$L$7,$Q$7,$V$7)-CHOOSE($D$80,$G$7,$L$7,$Q$7,$V$7)*$G$80/100)/$H$80,0)))</f>
        <v>0</v>
      </c>
      <c r="H175">
        <f>IF(OR($B$80="",$B$8=""),0,IF($E$80&gt;0,CHOOSE($D$80,$G$8,$L$8,$Q$8,$V$8)*$E$80/100,IFERROR((CHOOSE($D$80,$G$8,$L$8,$Q$8,$V$8)-CHOOSE($D$80,$G$8,$L$8,$Q$8,$V$8)*$G$80/100)/$H$80,0)))</f>
        <v>0</v>
      </c>
      <c r="I175">
        <f>IF(OR($B$80="",$B$9=""),0,IF($E$80&gt;0,CHOOSE($D$80,$G$9,$L$9,$Q$9,$V$9)*$E$80/100,IFERROR((CHOOSE($D$80,$G$9,$L$9,$Q$9,$V$9)-CHOOSE($D$80,$G$9,$L$9,$Q$9,$V$9)*$G$80/100)/$H$80,0)))</f>
        <v>0</v>
      </c>
      <c r="J175">
        <f>IF(OR($B$80="",$B$10=""),0,IF($E$80&gt;0,CHOOSE($D$80,$G$10,$L$10,$Q$10,$V$10)*$E$80/100,IFERROR((CHOOSE($D$80,$G$10,$L$10,$Q$10,$V$10)-CHOOSE($D$80,$G$10,$L$10,$Q$10,$V$10)*$G$80/100)/$H$80,0)))</f>
        <v>0</v>
      </c>
      <c r="K175">
        <f>IF(OR($B$80="",$B$11=""),0,IF($E$80&gt;0,CHOOSE($D$80,$G$11,$L$11,$Q$11,$V$11)*$E$80/100,IFERROR((CHOOSE($D$80,$G$11,$L$11,$Q$11,$V$11)-CHOOSE($D$80,$G$11,$L$11,$Q$11,$V$11)*$G$80/100)/$H$80,0)))</f>
        <v>0</v>
      </c>
      <c r="L175">
        <f>IF(OR($B$80="",$B$12=""),0,IF($E$80&gt;0,CHOOSE($D$80,$G$12,$L$12,$Q$12,$V$12)*$E$80/100,IFERROR((CHOOSE($D$80,$G$12,$L$12,$Q$12,$V$12)-CHOOSE($D$80,$G$12,$L$12,$Q$12,$V$12)*$G$80/100)/$H$80,0)))</f>
        <v>0</v>
      </c>
      <c r="M175">
        <f>IF(OR($B$80="",$B$13=""),0,IF($E$80&gt;0,CHOOSE($D$80,$G$13,$L$13,$Q$13,$V$13)*$E$80/100,IFERROR((CHOOSE($D$80,$G$13,$L$13,$Q$13,$V$13)-CHOOSE($D$80,$G$13,$L$13,$Q$13,$V$13)*$G$80/100)/$H$80,0)))</f>
        <v>0</v>
      </c>
      <c r="N175">
        <f>IF(OR($B$80="",$B$14=""),0,IF($E$80&gt;0,CHOOSE($D$80,$G$14,$L$14,$Q$14,$V$14)*$E$80/100,IFERROR((CHOOSE($D$80,$G$14,$L$14,$Q$14,$V$14)-CHOOSE($D$80,$G$14,$L$14,$Q$14,$V$14)*$G$80/100)/$H$80,0)))</f>
        <v>0</v>
      </c>
      <c r="O175">
        <f>IF(OR($B$80="",$B$15=""),0,IF($E$80&gt;0,CHOOSE($D$80,$G$15,$L$15,$Q$15,$V$15)*$E$80/100,IFERROR((CHOOSE($D$80,$G$15,$L$15,$Q$15,$V$15)-CHOOSE($D$80,$G$15,$L$15,$Q$15,$V$15)*$G$80/100)/$H$80,0)))</f>
        <v>0</v>
      </c>
      <c r="P175">
        <f>IF(OR($B$80="",$B$16=""),0,IF($E$80&gt;0,CHOOSE($D$80,$G$16,$L$16,$Q$16,$V$16)*$E$80/100,IFERROR((CHOOSE($D$80,$G$16,$L$16,$Q$16,$V$16)-CHOOSE($D$80,$G$16,$L$16,$Q$16,$V$16)*$G$80/100)/$H$80,0)))</f>
        <v>0</v>
      </c>
      <c r="Q175">
        <f>IF(OR($B$80="",$B$17=""),0,IF($E$80&gt;0,CHOOSE($D$80,$G$17,$L$17,$Q$17,$V$17)*$E$80/100,IFERROR((CHOOSE($D$80,$G$17,$L$17,$Q$17,$V$17)-CHOOSE($D$80,$G$17,$L$17,$Q$17,$V$17)*$G$80/100)/$H$80,0)))</f>
        <v>0</v>
      </c>
      <c r="R175">
        <f>IF(OR($B$80="",$B$18=""),0,IF($E$80&gt;0,CHOOSE($D$80,$G$18,$L$18,$Q$18,$V$18)*$E$80/100,IFERROR((CHOOSE($D$80,$G$18,$L$18,$Q$18,$V$18)-CHOOSE($D$80,$G$18,$L$18,$Q$18,$V$18)*$G$80/100)/$H$80,0)))</f>
        <v>0</v>
      </c>
      <c r="S175">
        <f>IF(OR($B$80="",$B$19=""),0,IF($E$80&gt;0,CHOOSE($D$80,$G$19,$L$19,$Q$19,$V$19)*$E$80/100,IFERROR((CHOOSE($D$80,$G$19,$L$19,$Q$19,$V$19)-CHOOSE($D$80,$G$19,$L$19,$Q$19,$V$19)*$G$80/100)/$H$80,0)))</f>
        <v>0</v>
      </c>
      <c r="T175">
        <f>IF(OR($B$80="",$B$20=""),0,IF($E$80&gt;0,CHOOSE($D$80,$G$20,$L$20,$Q$20,$V$20)*$E$80/100,IFERROR((CHOOSE($D$80,$G$20,$L$20,$Q$20,$V$20)-CHOOSE($D$80,$G$20,$L$20,$Q$20,$V$20)*$G$80/100)/$H$80,0)))</f>
        <v>0</v>
      </c>
      <c r="U175">
        <f>IF(OR($B$80="",$B$21=""),0,IF($E$80&gt;0,CHOOSE($D$80,$G$21,$L$21,$Q$21,$V$21)*$E$80/100,IFERROR((CHOOSE($D$80,$G$21,$L$21,$Q$21,$V$21)-CHOOSE($D$80,$G$21,$L$21,$Q$21,$V$21)*$G$80/100)/$H$80,0)))</f>
        <v>0</v>
      </c>
      <c r="V175">
        <f>IF(OR($B$80="",$B$22=""),0,IF($E$80&gt;0,CHOOSE($D$80,$G$22,$L$22,$Q$22,$V$22)*$E$80/100,IFERROR((CHOOSE($D$80,$G$22,$L$22,$Q$22,$V$22)-CHOOSE($D$80,$G$22,$L$22,$Q$22,$V$22)*$G$80/100)/$H$80,0)))</f>
        <v>0</v>
      </c>
    </row>
    <row r="176" spans="1:22" x14ac:dyDescent="0.3">
      <c r="A176">
        <v>43</v>
      </c>
      <c r="B176" t="str">
        <f t="shared" si="13"/>
        <v/>
      </c>
      <c r="C176">
        <f>IF(OR($B$81="",$B$3=""),0,IF($E$81&gt;0,CHOOSE($D$81,$G$3,$L$3,$Q$3,$V$3)*$E$81/100,IFERROR((CHOOSE($D$81,$G$3,$L$3,$Q$3,$V$3)-CHOOSE($D$81,$G$3,$L$3,$Q$3,$V$3)*$G$81/100)/$H$81,0)))</f>
        <v>0</v>
      </c>
      <c r="D176">
        <f>IF(OR($B$81="",$B$4=""),0,IF($E$81&gt;0,CHOOSE($D$81,$G$4,$L$4,$Q$4,$V$4)*$E$81/100,IFERROR((CHOOSE($D$81,$G$4,$L$4,$Q$4,$V$4)-CHOOSE($D$81,$G$4,$L$4,$Q$4,$V$4)*$G$81/100)/$H$81,0)))</f>
        <v>0</v>
      </c>
      <c r="E176">
        <f>IF(OR($B$81="",$B$5=""),0,IF($E$81&gt;0,CHOOSE($D$81,$G$5,$L$5,$Q$5,$V$5)*$E$81/100,IFERROR((CHOOSE($D$81,$G$5,$L$5,$Q$5,$V$5)-CHOOSE($D$81,$G$5,$L$5,$Q$5,$V$5)*$G$81/100)/$H$81,0)))</f>
        <v>0</v>
      </c>
      <c r="F176">
        <f>IF(OR($B$81="",$B$6=""),0,IF($E$81&gt;0,CHOOSE($D$81,$G$6,$L$6,$Q$6,$V$6)*$E$81/100,IFERROR((CHOOSE($D$81,$G$6,$L$6,$Q$6,$V$6)-CHOOSE($D$81,$G$6,$L$6,$Q$6,$V$6)*$G$81/100)/$H$81,0)))</f>
        <v>0</v>
      </c>
      <c r="G176">
        <f>IF(OR($B$81="",$B$7=""),0,IF($E$81&gt;0,CHOOSE($D$81,$G$7,$L$7,$Q$7,$V$7)*$E$81/100,IFERROR((CHOOSE($D$81,$G$7,$L$7,$Q$7,$V$7)-CHOOSE($D$81,$G$7,$L$7,$Q$7,$V$7)*$G$81/100)/$H$81,0)))</f>
        <v>0</v>
      </c>
      <c r="H176">
        <f>IF(OR($B$81="",$B$8=""),0,IF($E$81&gt;0,CHOOSE($D$81,$G$8,$L$8,$Q$8,$V$8)*$E$81/100,IFERROR((CHOOSE($D$81,$G$8,$L$8,$Q$8,$V$8)-CHOOSE($D$81,$G$8,$L$8,$Q$8,$V$8)*$G$81/100)/$H$81,0)))</f>
        <v>0</v>
      </c>
      <c r="I176">
        <f>IF(OR($B$81="",$B$9=""),0,IF($E$81&gt;0,CHOOSE($D$81,$G$9,$L$9,$Q$9,$V$9)*$E$81/100,IFERROR((CHOOSE($D$81,$G$9,$L$9,$Q$9,$V$9)-CHOOSE($D$81,$G$9,$L$9,$Q$9,$V$9)*$G$81/100)/$H$81,0)))</f>
        <v>0</v>
      </c>
      <c r="J176">
        <f>IF(OR($B$81="",$B$10=""),0,IF($E$81&gt;0,CHOOSE($D$81,$G$10,$L$10,$Q$10,$V$10)*$E$81/100,IFERROR((CHOOSE($D$81,$G$10,$L$10,$Q$10,$V$10)-CHOOSE($D$81,$G$10,$L$10,$Q$10,$V$10)*$G$81/100)/$H$81,0)))</f>
        <v>0</v>
      </c>
      <c r="K176">
        <f>IF(OR($B$81="",$B$11=""),0,IF($E$81&gt;0,CHOOSE($D$81,$G$11,$L$11,$Q$11,$V$11)*$E$81/100,IFERROR((CHOOSE($D$81,$G$11,$L$11,$Q$11,$V$11)-CHOOSE($D$81,$G$11,$L$11,$Q$11,$V$11)*$G$81/100)/$H$81,0)))</f>
        <v>0</v>
      </c>
      <c r="L176">
        <f>IF(OR($B$81="",$B$12=""),0,IF($E$81&gt;0,CHOOSE($D$81,$G$12,$L$12,$Q$12,$V$12)*$E$81/100,IFERROR((CHOOSE($D$81,$G$12,$L$12,$Q$12,$V$12)-CHOOSE($D$81,$G$12,$L$12,$Q$12,$V$12)*$G$81/100)/$H$81,0)))</f>
        <v>0</v>
      </c>
      <c r="M176">
        <f>IF(OR($B$81="",$B$13=""),0,IF($E$81&gt;0,CHOOSE($D$81,$G$13,$L$13,$Q$13,$V$13)*$E$81/100,IFERROR((CHOOSE($D$81,$G$13,$L$13,$Q$13,$V$13)-CHOOSE($D$81,$G$13,$L$13,$Q$13,$V$13)*$G$81/100)/$H$81,0)))</f>
        <v>0</v>
      </c>
      <c r="N176">
        <f>IF(OR($B$81="",$B$14=""),0,IF($E$81&gt;0,CHOOSE($D$81,$G$14,$L$14,$Q$14,$V$14)*$E$81/100,IFERROR((CHOOSE($D$81,$G$14,$L$14,$Q$14,$V$14)-CHOOSE($D$81,$G$14,$L$14,$Q$14,$V$14)*$G$81/100)/$H$81,0)))</f>
        <v>0</v>
      </c>
      <c r="O176">
        <f>IF(OR($B$81="",$B$15=""),0,IF($E$81&gt;0,CHOOSE($D$81,$G$15,$L$15,$Q$15,$V$15)*$E$81/100,IFERROR((CHOOSE($D$81,$G$15,$L$15,$Q$15,$V$15)-CHOOSE($D$81,$G$15,$L$15,$Q$15,$V$15)*$G$81/100)/$H$81,0)))</f>
        <v>0</v>
      </c>
      <c r="P176">
        <f>IF(OR($B$81="",$B$16=""),0,IF($E$81&gt;0,CHOOSE($D$81,$G$16,$L$16,$Q$16,$V$16)*$E$81/100,IFERROR((CHOOSE($D$81,$G$16,$L$16,$Q$16,$V$16)-CHOOSE($D$81,$G$16,$L$16,$Q$16,$V$16)*$G$81/100)/$H$81,0)))</f>
        <v>0</v>
      </c>
      <c r="Q176">
        <f>IF(OR($B$81="",$B$17=""),0,IF($E$81&gt;0,CHOOSE($D$81,$G$17,$L$17,$Q$17,$V$17)*$E$81/100,IFERROR((CHOOSE($D$81,$G$17,$L$17,$Q$17,$V$17)-CHOOSE($D$81,$G$17,$L$17,$Q$17,$V$17)*$G$81/100)/$H$81,0)))</f>
        <v>0</v>
      </c>
      <c r="R176">
        <f>IF(OR($B$81="",$B$18=""),0,IF($E$81&gt;0,CHOOSE($D$81,$G$18,$L$18,$Q$18,$V$18)*$E$81/100,IFERROR((CHOOSE($D$81,$G$18,$L$18,$Q$18,$V$18)-CHOOSE($D$81,$G$18,$L$18,$Q$18,$V$18)*$G$81/100)/$H$81,0)))</f>
        <v>0</v>
      </c>
      <c r="S176">
        <f>IF(OR($B$81="",$B$19=""),0,IF($E$81&gt;0,CHOOSE($D$81,$G$19,$L$19,$Q$19,$V$19)*$E$81/100,IFERROR((CHOOSE($D$81,$G$19,$L$19,$Q$19,$V$19)-CHOOSE($D$81,$G$19,$L$19,$Q$19,$V$19)*$G$81/100)/$H$81,0)))</f>
        <v>0</v>
      </c>
      <c r="T176">
        <f>IF(OR($B$81="",$B$20=""),0,IF($E$81&gt;0,CHOOSE($D$81,$G$20,$L$20,$Q$20,$V$20)*$E$81/100,IFERROR((CHOOSE($D$81,$G$20,$L$20,$Q$20,$V$20)-CHOOSE($D$81,$G$20,$L$20,$Q$20,$V$20)*$G$81/100)/$H$81,0)))</f>
        <v>0</v>
      </c>
      <c r="U176">
        <f>IF(OR($B$81="",$B$21=""),0,IF($E$81&gt;0,CHOOSE($D$81,$G$21,$L$21,$Q$21,$V$21)*$E$81/100,IFERROR((CHOOSE($D$81,$G$21,$L$21,$Q$21,$V$21)-CHOOSE($D$81,$G$21,$L$21,$Q$21,$V$21)*$G$81/100)/$H$81,0)))</f>
        <v>0</v>
      </c>
      <c r="V176">
        <f>IF(OR($B$81="",$B$22=""),0,IF($E$81&gt;0,CHOOSE($D$81,$G$22,$L$22,$Q$22,$V$22)*$E$81/100,IFERROR((CHOOSE($D$81,$G$22,$L$22,$Q$22,$V$22)-CHOOSE($D$81,$G$22,$L$22,$Q$22,$V$22)*$G$81/100)/$H$81,0)))</f>
        <v>0</v>
      </c>
    </row>
    <row r="177" spans="1:22" x14ac:dyDescent="0.3">
      <c r="A177">
        <v>44</v>
      </c>
      <c r="B177" t="str">
        <f t="shared" si="13"/>
        <v/>
      </c>
      <c r="C177">
        <f>IF(OR($B$82="",$B$3=""),0,IF($E$82&gt;0,CHOOSE($D$82,$G$3,$L$3,$Q$3,$V$3)*$E$82/100,IFERROR((CHOOSE($D$82,$G$3,$L$3,$Q$3,$V$3)-CHOOSE($D$82,$G$3,$L$3,$Q$3,$V$3)*$G$82/100)/$H$82,0)))</f>
        <v>0</v>
      </c>
      <c r="D177">
        <f>IF(OR($B$82="",$B$4=""),0,IF($E$82&gt;0,CHOOSE($D$82,$G$4,$L$4,$Q$4,$V$4)*$E$82/100,IFERROR((CHOOSE($D$82,$G$4,$L$4,$Q$4,$V$4)-CHOOSE($D$82,$G$4,$L$4,$Q$4,$V$4)*$G$82/100)/$H$82,0)))</f>
        <v>0</v>
      </c>
      <c r="E177">
        <f>IF(OR($B$82="",$B$5=""),0,IF($E$82&gt;0,CHOOSE($D$82,$G$5,$L$5,$Q$5,$V$5)*$E$82/100,IFERROR((CHOOSE($D$82,$G$5,$L$5,$Q$5,$V$5)-CHOOSE($D$82,$G$5,$L$5,$Q$5,$V$5)*$G$82/100)/$H$82,0)))</f>
        <v>0</v>
      </c>
      <c r="F177">
        <f>IF(OR($B$82="",$B$6=""),0,IF($E$82&gt;0,CHOOSE($D$82,$G$6,$L$6,$Q$6,$V$6)*$E$82/100,IFERROR((CHOOSE($D$82,$G$6,$L$6,$Q$6,$V$6)-CHOOSE($D$82,$G$6,$L$6,$Q$6,$V$6)*$G$82/100)/$H$82,0)))</f>
        <v>0</v>
      </c>
      <c r="G177">
        <f>IF(OR($B$82="",$B$7=""),0,IF($E$82&gt;0,CHOOSE($D$82,$G$7,$L$7,$Q$7,$V$7)*$E$82/100,IFERROR((CHOOSE($D$82,$G$7,$L$7,$Q$7,$V$7)-CHOOSE($D$82,$G$7,$L$7,$Q$7,$V$7)*$G$82/100)/$H$82,0)))</f>
        <v>0</v>
      </c>
      <c r="H177">
        <f>IF(OR($B$82="",$B$8=""),0,IF($E$82&gt;0,CHOOSE($D$82,$G$8,$L$8,$Q$8,$V$8)*$E$82/100,IFERROR((CHOOSE($D$82,$G$8,$L$8,$Q$8,$V$8)-CHOOSE($D$82,$G$8,$L$8,$Q$8,$V$8)*$G$82/100)/$H$82,0)))</f>
        <v>0</v>
      </c>
      <c r="I177">
        <f>IF(OR($B$82="",$B$9=""),0,IF($E$82&gt;0,CHOOSE($D$82,$G$9,$L$9,$Q$9,$V$9)*$E$82/100,IFERROR((CHOOSE($D$82,$G$9,$L$9,$Q$9,$V$9)-CHOOSE($D$82,$G$9,$L$9,$Q$9,$V$9)*$G$82/100)/$H$82,0)))</f>
        <v>0</v>
      </c>
      <c r="J177">
        <f>IF(OR($B$82="",$B$10=""),0,IF($E$82&gt;0,CHOOSE($D$82,$G$10,$L$10,$Q$10,$V$10)*$E$82/100,IFERROR((CHOOSE($D$82,$G$10,$L$10,$Q$10,$V$10)-CHOOSE($D$82,$G$10,$L$10,$Q$10,$V$10)*$G$82/100)/$H$82,0)))</f>
        <v>0</v>
      </c>
      <c r="K177">
        <f>IF(OR($B$82="",$B$11=""),0,IF($E$82&gt;0,CHOOSE($D$82,$G$11,$L$11,$Q$11,$V$11)*$E$82/100,IFERROR((CHOOSE($D$82,$G$11,$L$11,$Q$11,$V$11)-CHOOSE($D$82,$G$11,$L$11,$Q$11,$V$11)*$G$82/100)/$H$82,0)))</f>
        <v>0</v>
      </c>
      <c r="L177">
        <f>IF(OR($B$82="",$B$12=""),0,IF($E$82&gt;0,CHOOSE($D$82,$G$12,$L$12,$Q$12,$V$12)*$E$82/100,IFERROR((CHOOSE($D$82,$G$12,$L$12,$Q$12,$V$12)-CHOOSE($D$82,$G$12,$L$12,$Q$12,$V$12)*$G$82/100)/$H$82,0)))</f>
        <v>0</v>
      </c>
      <c r="M177">
        <f>IF(OR($B$82="",$B$13=""),0,IF($E$82&gt;0,CHOOSE($D$82,$G$13,$L$13,$Q$13,$V$13)*$E$82/100,IFERROR((CHOOSE($D$82,$G$13,$L$13,$Q$13,$V$13)-CHOOSE($D$82,$G$13,$L$13,$Q$13,$V$13)*$G$82/100)/$H$82,0)))</f>
        <v>0</v>
      </c>
      <c r="N177">
        <f>IF(OR($B$82="",$B$14=""),0,IF($E$82&gt;0,CHOOSE($D$82,$G$14,$L$14,$Q$14,$V$14)*$E$82/100,IFERROR((CHOOSE($D$82,$G$14,$L$14,$Q$14,$V$14)-CHOOSE($D$82,$G$14,$L$14,$Q$14,$V$14)*$G$82/100)/$H$82,0)))</f>
        <v>0</v>
      </c>
      <c r="O177">
        <f>IF(OR($B$82="",$B$15=""),0,IF($E$82&gt;0,CHOOSE($D$82,$G$15,$L$15,$Q$15,$V$15)*$E$82/100,IFERROR((CHOOSE($D$82,$G$15,$L$15,$Q$15,$V$15)-CHOOSE($D$82,$G$15,$L$15,$Q$15,$V$15)*$G$82/100)/$H$82,0)))</f>
        <v>0</v>
      </c>
      <c r="P177">
        <f>IF(OR($B$82="",$B$16=""),0,IF($E$82&gt;0,CHOOSE($D$82,$G$16,$L$16,$Q$16,$V$16)*$E$82/100,IFERROR((CHOOSE($D$82,$G$16,$L$16,$Q$16,$V$16)-CHOOSE($D$82,$G$16,$L$16,$Q$16,$V$16)*$G$82/100)/$H$82,0)))</f>
        <v>0</v>
      </c>
      <c r="Q177">
        <f>IF(OR($B$82="",$B$17=""),0,IF($E$82&gt;0,CHOOSE($D$82,$G$17,$L$17,$Q$17,$V$17)*$E$82/100,IFERROR((CHOOSE($D$82,$G$17,$L$17,$Q$17,$V$17)-CHOOSE($D$82,$G$17,$L$17,$Q$17,$V$17)*$G$82/100)/$H$82,0)))</f>
        <v>0</v>
      </c>
      <c r="R177">
        <f>IF(OR($B$82="",$B$18=""),0,IF($E$82&gt;0,CHOOSE($D$82,$G$18,$L$18,$Q$18,$V$18)*$E$82/100,IFERROR((CHOOSE($D$82,$G$18,$L$18,$Q$18,$V$18)-CHOOSE($D$82,$G$18,$L$18,$Q$18,$V$18)*$G$82/100)/$H$82,0)))</f>
        <v>0</v>
      </c>
      <c r="S177">
        <f>IF(OR($B$82="",$B$19=""),0,IF($E$82&gt;0,CHOOSE($D$82,$G$19,$L$19,$Q$19,$V$19)*$E$82/100,IFERROR((CHOOSE($D$82,$G$19,$L$19,$Q$19,$V$19)-CHOOSE($D$82,$G$19,$L$19,$Q$19,$V$19)*$G$82/100)/$H$82,0)))</f>
        <v>0</v>
      </c>
      <c r="T177">
        <f>IF(OR($B$82="",$B$20=""),0,IF($E$82&gt;0,CHOOSE($D$82,$G$20,$L$20,$Q$20,$V$20)*$E$82/100,IFERROR((CHOOSE($D$82,$G$20,$L$20,$Q$20,$V$20)-CHOOSE($D$82,$G$20,$L$20,$Q$20,$V$20)*$G$82/100)/$H$82,0)))</f>
        <v>0</v>
      </c>
      <c r="U177">
        <f>IF(OR($B$82="",$B$21=""),0,IF($E$82&gt;0,CHOOSE($D$82,$G$21,$L$21,$Q$21,$V$21)*$E$82/100,IFERROR((CHOOSE($D$82,$G$21,$L$21,$Q$21,$V$21)-CHOOSE($D$82,$G$21,$L$21,$Q$21,$V$21)*$G$82/100)/$H$82,0)))</f>
        <v>0</v>
      </c>
      <c r="V177">
        <f>IF(OR($B$82="",$B$22=""),0,IF($E$82&gt;0,CHOOSE($D$82,$G$22,$L$22,$Q$22,$V$22)*$E$82/100,IFERROR((CHOOSE($D$82,$G$22,$L$22,$Q$22,$V$22)-CHOOSE($D$82,$G$22,$L$22,$Q$22,$V$22)*$G$82/100)/$H$82,0)))</f>
        <v>0</v>
      </c>
    </row>
    <row r="178" spans="1:22" x14ac:dyDescent="0.3">
      <c r="A178">
        <v>45</v>
      </c>
      <c r="B178" t="str">
        <f t="shared" si="13"/>
        <v/>
      </c>
      <c r="C178">
        <f>IF(OR($B$83="",$B$3=""),0,IF($E$83&gt;0,CHOOSE($D$83,$G$3,$L$3,$Q$3,$V$3)*$E$83/100,IFERROR((CHOOSE($D$83,$G$3,$L$3,$Q$3,$V$3)-CHOOSE($D$83,$G$3,$L$3,$Q$3,$V$3)*$G$83/100)/$H$83,0)))</f>
        <v>0</v>
      </c>
      <c r="D178">
        <f>IF(OR($B$83="",$B$4=""),0,IF($E$83&gt;0,CHOOSE($D$83,$G$4,$L$4,$Q$4,$V$4)*$E$83/100,IFERROR((CHOOSE($D$83,$G$4,$L$4,$Q$4,$V$4)-CHOOSE($D$83,$G$4,$L$4,$Q$4,$V$4)*$G$83/100)/$H$83,0)))</f>
        <v>0</v>
      </c>
      <c r="E178">
        <f>IF(OR($B$83="",$B$5=""),0,IF($E$83&gt;0,CHOOSE($D$83,$G$5,$L$5,$Q$5,$V$5)*$E$83/100,IFERROR((CHOOSE($D$83,$G$5,$L$5,$Q$5,$V$5)-CHOOSE($D$83,$G$5,$L$5,$Q$5,$V$5)*$G$83/100)/$H$83,0)))</f>
        <v>0</v>
      </c>
      <c r="F178">
        <f>IF(OR($B$83="",$B$6=""),0,IF($E$83&gt;0,CHOOSE($D$83,$G$6,$L$6,$Q$6,$V$6)*$E$83/100,IFERROR((CHOOSE($D$83,$G$6,$L$6,$Q$6,$V$6)-CHOOSE($D$83,$G$6,$L$6,$Q$6,$V$6)*$G$83/100)/$H$83,0)))</f>
        <v>0</v>
      </c>
      <c r="G178">
        <f>IF(OR($B$83="",$B$7=""),0,IF($E$83&gt;0,CHOOSE($D$83,$G$7,$L$7,$Q$7,$V$7)*$E$83/100,IFERROR((CHOOSE($D$83,$G$7,$L$7,$Q$7,$V$7)-CHOOSE($D$83,$G$7,$L$7,$Q$7,$V$7)*$G$83/100)/$H$83,0)))</f>
        <v>0</v>
      </c>
      <c r="H178">
        <f>IF(OR($B$83="",$B$8=""),0,IF($E$83&gt;0,CHOOSE($D$83,$G$8,$L$8,$Q$8,$V$8)*$E$83/100,IFERROR((CHOOSE($D$83,$G$8,$L$8,$Q$8,$V$8)-CHOOSE($D$83,$G$8,$L$8,$Q$8,$V$8)*$G$83/100)/$H$83,0)))</f>
        <v>0</v>
      </c>
      <c r="I178">
        <f>IF(OR($B$83="",$B$9=""),0,IF($E$83&gt;0,CHOOSE($D$83,$G$9,$L$9,$Q$9,$V$9)*$E$83/100,IFERROR((CHOOSE($D$83,$G$9,$L$9,$Q$9,$V$9)-CHOOSE($D$83,$G$9,$L$9,$Q$9,$V$9)*$G$83/100)/$H$83,0)))</f>
        <v>0</v>
      </c>
      <c r="J178">
        <f>IF(OR($B$83="",$B$10=""),0,IF($E$83&gt;0,CHOOSE($D$83,$G$10,$L$10,$Q$10,$V$10)*$E$83/100,IFERROR((CHOOSE($D$83,$G$10,$L$10,$Q$10,$V$10)-CHOOSE($D$83,$G$10,$L$10,$Q$10,$V$10)*$G$83/100)/$H$83,0)))</f>
        <v>0</v>
      </c>
      <c r="K178">
        <f>IF(OR($B$83="",$B$11=""),0,IF($E$83&gt;0,CHOOSE($D$83,$G$11,$L$11,$Q$11,$V$11)*$E$83/100,IFERROR((CHOOSE($D$83,$G$11,$L$11,$Q$11,$V$11)-CHOOSE($D$83,$G$11,$L$11,$Q$11,$V$11)*$G$83/100)/$H$83,0)))</f>
        <v>0</v>
      </c>
      <c r="L178">
        <f>IF(OR($B$83="",$B$12=""),0,IF($E$83&gt;0,CHOOSE($D$83,$G$12,$L$12,$Q$12,$V$12)*$E$83/100,IFERROR((CHOOSE($D$83,$G$12,$L$12,$Q$12,$V$12)-CHOOSE($D$83,$G$12,$L$12,$Q$12,$V$12)*$G$83/100)/$H$83,0)))</f>
        <v>0</v>
      </c>
      <c r="M178">
        <f>IF(OR($B$83="",$B$13=""),0,IF($E$83&gt;0,CHOOSE($D$83,$G$13,$L$13,$Q$13,$V$13)*$E$83/100,IFERROR((CHOOSE($D$83,$G$13,$L$13,$Q$13,$V$13)-CHOOSE($D$83,$G$13,$L$13,$Q$13,$V$13)*$G$83/100)/$H$83,0)))</f>
        <v>0</v>
      </c>
      <c r="N178">
        <f>IF(OR($B$83="",$B$14=""),0,IF($E$83&gt;0,CHOOSE($D$83,$G$14,$L$14,$Q$14,$V$14)*$E$83/100,IFERROR((CHOOSE($D$83,$G$14,$L$14,$Q$14,$V$14)-CHOOSE($D$83,$G$14,$L$14,$Q$14,$V$14)*$G$83/100)/$H$83,0)))</f>
        <v>0</v>
      </c>
      <c r="O178">
        <f>IF(OR($B$83="",$B$15=""),0,IF($E$83&gt;0,CHOOSE($D$83,$G$15,$L$15,$Q$15,$V$15)*$E$83/100,IFERROR((CHOOSE($D$83,$G$15,$L$15,$Q$15,$V$15)-CHOOSE($D$83,$G$15,$L$15,$Q$15,$V$15)*$G$83/100)/$H$83,0)))</f>
        <v>0</v>
      </c>
      <c r="P178">
        <f>IF(OR($B$83="",$B$16=""),0,IF($E$83&gt;0,CHOOSE($D$83,$G$16,$L$16,$Q$16,$V$16)*$E$83/100,IFERROR((CHOOSE($D$83,$G$16,$L$16,$Q$16,$V$16)-CHOOSE($D$83,$G$16,$L$16,$Q$16,$V$16)*$G$83/100)/$H$83,0)))</f>
        <v>0</v>
      </c>
      <c r="Q178">
        <f>IF(OR($B$83="",$B$17=""),0,IF($E$83&gt;0,CHOOSE($D$83,$G$17,$L$17,$Q$17,$V$17)*$E$83/100,IFERROR((CHOOSE($D$83,$G$17,$L$17,$Q$17,$V$17)-CHOOSE($D$83,$G$17,$L$17,$Q$17,$V$17)*$G$83/100)/$H$83,0)))</f>
        <v>0</v>
      </c>
      <c r="R178">
        <f>IF(OR($B$83="",$B$18=""),0,IF($E$83&gt;0,CHOOSE($D$83,$G$18,$L$18,$Q$18,$V$18)*$E$83/100,IFERROR((CHOOSE($D$83,$G$18,$L$18,$Q$18,$V$18)-CHOOSE($D$83,$G$18,$L$18,$Q$18,$V$18)*$G$83/100)/$H$83,0)))</f>
        <v>0</v>
      </c>
      <c r="S178">
        <f>IF(OR($B$83="",$B$19=""),0,IF($E$83&gt;0,CHOOSE($D$83,$G$19,$L$19,$Q$19,$V$19)*$E$83/100,IFERROR((CHOOSE($D$83,$G$19,$L$19,$Q$19,$V$19)-CHOOSE($D$83,$G$19,$L$19,$Q$19,$V$19)*$G$83/100)/$H$83,0)))</f>
        <v>0</v>
      </c>
      <c r="T178">
        <f>IF(OR($B$83="",$B$20=""),0,IF($E$83&gt;0,CHOOSE($D$83,$G$20,$L$20,$Q$20,$V$20)*$E$83/100,IFERROR((CHOOSE($D$83,$G$20,$L$20,$Q$20,$V$20)-CHOOSE($D$83,$G$20,$L$20,$Q$20,$V$20)*$G$83/100)/$H$83,0)))</f>
        <v>0</v>
      </c>
      <c r="U178">
        <f>IF(OR($B$83="",$B$21=""),0,IF($E$83&gt;0,CHOOSE($D$83,$G$21,$L$21,$Q$21,$V$21)*$E$83/100,IFERROR((CHOOSE($D$83,$G$21,$L$21,$Q$21,$V$21)-CHOOSE($D$83,$G$21,$L$21,$Q$21,$V$21)*$G$83/100)/$H$83,0)))</f>
        <v>0</v>
      </c>
      <c r="V178">
        <f>IF(OR($B$83="",$B$22=""),0,IF($E$83&gt;0,CHOOSE($D$83,$G$22,$L$22,$Q$22,$V$22)*$E$83/100,IFERROR((CHOOSE($D$83,$G$22,$L$22,$Q$22,$V$22)-CHOOSE($D$83,$G$22,$L$22,$Q$22,$V$22)*$G$83/100)/$H$83,0)))</f>
        <v>0</v>
      </c>
    </row>
    <row r="180" spans="1:22" x14ac:dyDescent="0.3">
      <c r="A180" t="s">
        <v>158</v>
      </c>
      <c r="C180" t="str">
        <f>$D$3</f>
        <v/>
      </c>
      <c r="D180" t="str">
        <f>$D$4</f>
        <v/>
      </c>
      <c r="E180" t="str">
        <f>$D$5</f>
        <v/>
      </c>
      <c r="F180" t="str">
        <f>$D$6</f>
        <v/>
      </c>
      <c r="G180" t="str">
        <f>$D$7</f>
        <v/>
      </c>
      <c r="H180" t="str">
        <f>$D$8</f>
        <v/>
      </c>
      <c r="I180" t="str">
        <f>$D$9</f>
        <v/>
      </c>
      <c r="J180" t="str">
        <f>$D$10</f>
        <v/>
      </c>
      <c r="K180" t="str">
        <f>$D$11</f>
        <v/>
      </c>
      <c r="L180" t="str">
        <f>$D$12</f>
        <v/>
      </c>
      <c r="M180" t="str">
        <f>$D$13</f>
        <v/>
      </c>
      <c r="N180" t="str">
        <f>$D$14</f>
        <v/>
      </c>
      <c r="O180" t="str">
        <f>$D$15</f>
        <v/>
      </c>
      <c r="P180" t="str">
        <f>$D$16</f>
        <v/>
      </c>
      <c r="Q180" t="str">
        <f>$D$17</f>
        <v/>
      </c>
      <c r="R180" t="str">
        <f>$D$18</f>
        <v/>
      </c>
      <c r="S180" t="str">
        <f>$D$19</f>
        <v/>
      </c>
      <c r="T180" t="str">
        <f>$D$20</f>
        <v/>
      </c>
      <c r="U180" t="str">
        <f>$D$21</f>
        <v/>
      </c>
      <c r="V180" t="str">
        <f>$D$22</f>
        <v/>
      </c>
    </row>
    <row r="181" spans="1:22" x14ac:dyDescent="0.3">
      <c r="A181" s="46" t="s">
        <v>159</v>
      </c>
      <c r="C181" t="str">
        <f>B3</f>
        <v/>
      </c>
      <c r="D181" t="str">
        <f>B4</f>
        <v/>
      </c>
      <c r="E181" t="str">
        <f>B5</f>
        <v/>
      </c>
      <c r="F181" t="str">
        <f>B6</f>
        <v/>
      </c>
      <c r="G181" t="str">
        <f>B7</f>
        <v/>
      </c>
      <c r="H181" t="str">
        <f>B8</f>
        <v/>
      </c>
      <c r="I181" t="str">
        <f>B9</f>
        <v/>
      </c>
      <c r="J181" t="str">
        <f>B10</f>
        <v/>
      </c>
      <c r="K181" t="str">
        <f>B11</f>
        <v/>
      </c>
      <c r="L181" t="str">
        <f>B12</f>
        <v/>
      </c>
      <c r="M181" t="str">
        <f>B13</f>
        <v/>
      </c>
      <c r="N181" t="str">
        <f>B14</f>
        <v/>
      </c>
      <c r="O181" t="str">
        <f>B15</f>
        <v/>
      </c>
      <c r="P181" t="str">
        <f>B16</f>
        <v/>
      </c>
      <c r="Q181" t="str">
        <f>B17</f>
        <v/>
      </c>
      <c r="R181" t="str">
        <f>B18</f>
        <v/>
      </c>
      <c r="S181" t="str">
        <f>B19</f>
        <v/>
      </c>
      <c r="T181" t="str">
        <f>B20</f>
        <v/>
      </c>
      <c r="U181" t="str">
        <f>B21</f>
        <v/>
      </c>
      <c r="V181" t="str">
        <f>B22</f>
        <v/>
      </c>
    </row>
    <row r="182" spans="1:22" x14ac:dyDescent="0.3">
      <c r="A182">
        <v>1</v>
      </c>
      <c r="B182" t="str">
        <f t="shared" ref="B182:B226" si="14">B39</f>
        <v/>
      </c>
      <c r="C182">
        <f t="shared" ref="C182:C226" si="15">IF($B$3="",0,IF(C134&gt;0,C86/NgayQua*SoNgay/C134,IF(C86&gt;0,1,0)))</f>
        <v>0</v>
      </c>
      <c r="D182">
        <f t="shared" ref="D182:D226" si="16">IF($B$4="",0,IF(D134&gt;0,D86/NgayQua*SoNgay/D134,IF(D86&gt;0,1,0)))</f>
        <v>0</v>
      </c>
      <c r="E182">
        <f t="shared" ref="E182:E226" si="17">IF($B$5="",0,IF(E134&gt;0,E86/NgayQua*SoNgay/E134,IF(E86&gt;0,1,0)))</f>
        <v>0</v>
      </c>
      <c r="F182">
        <f t="shared" ref="F182:F226" si="18">IF($B$6="",0,IF(F134&gt;0,F86/NgayQua*SoNgay/F134,IF(F86&gt;0,1,0)))</f>
        <v>0</v>
      </c>
      <c r="G182">
        <f t="shared" ref="G182:G226" si="19">IF($B$7="",0,IF(G134&gt;0,G86/NgayQua*SoNgay/G134,IF(G86&gt;0,1,0)))</f>
        <v>0</v>
      </c>
      <c r="H182">
        <f t="shared" ref="H182:H226" si="20">IF($B$8="",0,IF(H134&gt;0,H86/NgayQua*SoNgay/H134,IF(H86&gt;0,1,0)))</f>
        <v>0</v>
      </c>
      <c r="I182">
        <f t="shared" ref="I182:I226" si="21">IF($B$9="",0,IF(I134&gt;0,I86/NgayQua*SoNgay/I134,IF(I86&gt;0,1,0)))</f>
        <v>0</v>
      </c>
      <c r="J182">
        <f t="shared" ref="J182:J226" si="22">IF($B$10="",0,IF(J134&gt;0,J86/NgayQua*SoNgay/J134,IF(J86&gt;0,1,0)))</f>
        <v>0</v>
      </c>
      <c r="K182">
        <f t="shared" ref="K182:K226" si="23">IF($B$11="",0,IF(K134&gt;0,K86/NgayQua*SoNgay/K134,IF(K86&gt;0,1,0)))</f>
        <v>0</v>
      </c>
      <c r="L182">
        <f t="shared" ref="L182:L226" si="24">IF($B$12="",0,IF(L134&gt;0,L86/NgayQua*SoNgay/L134,IF(L86&gt;0,1,0)))</f>
        <v>0</v>
      </c>
      <c r="M182">
        <f t="shared" ref="M182:M226" si="25">IF($B$13="",0,IF(M134&gt;0,M86/NgayQua*SoNgay/M134,IF(M86&gt;0,1,0)))</f>
        <v>0</v>
      </c>
      <c r="N182">
        <f t="shared" ref="N182:N226" si="26">IF($B$14="",0,IF(N134&gt;0,N86/NgayQua*SoNgay/N134,IF(N86&gt;0,1,0)))</f>
        <v>0</v>
      </c>
      <c r="O182">
        <f t="shared" ref="O182:O226" si="27">IF($B$15="",0,IF(O134&gt;0,O86/NgayQua*SoNgay/O134,IF(O86&gt;0,1,0)))</f>
        <v>0</v>
      </c>
      <c r="P182">
        <f t="shared" ref="P182:P226" si="28">IF($B$16="",0,IF(P134&gt;0,P86/NgayQua*SoNgay/P134,IF(P86&gt;0,1,0)))</f>
        <v>0</v>
      </c>
      <c r="Q182">
        <f t="shared" ref="Q182:Q226" si="29">IF($B$17="",0,IF(Q134&gt;0,Q86/NgayQua*SoNgay/Q134,IF(Q86&gt;0,1,0)))</f>
        <v>0</v>
      </c>
      <c r="R182">
        <f t="shared" ref="R182:R226" si="30">IF($B$18="",0,IF(R134&gt;0,R86/NgayQua*SoNgay/R134,IF(R86&gt;0,1,0)))</f>
        <v>0</v>
      </c>
      <c r="S182">
        <f t="shared" ref="S182:S226" si="31">IF($B$19="",0,IF(S134&gt;0,S86/NgayQua*SoNgay/S134,IF(S86&gt;0,1,0)))</f>
        <v>0</v>
      </c>
      <c r="T182">
        <f t="shared" ref="T182:T226" si="32">IF($B$20="",0,IF(T134&gt;0,T86/NgayQua*SoNgay/T134,IF(T86&gt;0,1,0)))</f>
        <v>0</v>
      </c>
      <c r="U182">
        <f t="shared" ref="U182:U226" si="33">IF($B$21="",0,IF(U134&gt;0,U86/NgayQua*SoNgay/U134,IF(U86&gt;0,1,0)))</f>
        <v>0</v>
      </c>
      <c r="V182">
        <f t="shared" ref="V182:V226" si="34">IF($B$22="",0,IF(V134&gt;0,V86/NgayQua*SoNgay/V134,IF(V86&gt;0,1,0)))</f>
        <v>0</v>
      </c>
    </row>
    <row r="183" spans="1:22" x14ac:dyDescent="0.3">
      <c r="A183">
        <v>2</v>
      </c>
      <c r="B183" t="str">
        <f t="shared" si="14"/>
        <v/>
      </c>
      <c r="C183">
        <f t="shared" si="15"/>
        <v>0</v>
      </c>
      <c r="D183">
        <f t="shared" si="16"/>
        <v>0</v>
      </c>
      <c r="E183">
        <f t="shared" si="17"/>
        <v>0</v>
      </c>
      <c r="F183">
        <f t="shared" si="18"/>
        <v>0</v>
      </c>
      <c r="G183">
        <f t="shared" si="19"/>
        <v>0</v>
      </c>
      <c r="H183">
        <f t="shared" si="20"/>
        <v>0</v>
      </c>
      <c r="I183">
        <f t="shared" si="21"/>
        <v>0</v>
      </c>
      <c r="J183">
        <f t="shared" si="22"/>
        <v>0</v>
      </c>
      <c r="K183">
        <f t="shared" si="23"/>
        <v>0</v>
      </c>
      <c r="L183">
        <f t="shared" si="24"/>
        <v>0</v>
      </c>
      <c r="M183">
        <f t="shared" si="25"/>
        <v>0</v>
      </c>
      <c r="N183">
        <f t="shared" si="26"/>
        <v>0</v>
      </c>
      <c r="O183">
        <f t="shared" si="27"/>
        <v>0</v>
      </c>
      <c r="P183">
        <f t="shared" si="28"/>
        <v>0</v>
      </c>
      <c r="Q183">
        <f t="shared" si="29"/>
        <v>0</v>
      </c>
      <c r="R183">
        <f t="shared" si="30"/>
        <v>0</v>
      </c>
      <c r="S183">
        <f t="shared" si="31"/>
        <v>0</v>
      </c>
      <c r="T183">
        <f t="shared" si="32"/>
        <v>0</v>
      </c>
      <c r="U183">
        <f t="shared" si="33"/>
        <v>0</v>
      </c>
      <c r="V183">
        <f t="shared" si="34"/>
        <v>0</v>
      </c>
    </row>
    <row r="184" spans="1:22" x14ac:dyDescent="0.3">
      <c r="A184">
        <v>3</v>
      </c>
      <c r="B184" t="str">
        <f t="shared" si="14"/>
        <v/>
      </c>
      <c r="C184">
        <f t="shared" si="15"/>
        <v>0</v>
      </c>
      <c r="D184">
        <f t="shared" si="16"/>
        <v>0</v>
      </c>
      <c r="E184">
        <f t="shared" si="17"/>
        <v>0</v>
      </c>
      <c r="F184">
        <f t="shared" si="18"/>
        <v>0</v>
      </c>
      <c r="G184">
        <f t="shared" si="19"/>
        <v>0</v>
      </c>
      <c r="H184">
        <f t="shared" si="20"/>
        <v>0</v>
      </c>
      <c r="I184">
        <f t="shared" si="21"/>
        <v>0</v>
      </c>
      <c r="J184">
        <f t="shared" si="22"/>
        <v>0</v>
      </c>
      <c r="K184">
        <f t="shared" si="23"/>
        <v>0</v>
      </c>
      <c r="L184">
        <f t="shared" si="24"/>
        <v>0</v>
      </c>
      <c r="M184">
        <f t="shared" si="25"/>
        <v>0</v>
      </c>
      <c r="N184">
        <f t="shared" si="26"/>
        <v>0</v>
      </c>
      <c r="O184">
        <f t="shared" si="27"/>
        <v>0</v>
      </c>
      <c r="P184">
        <f t="shared" si="28"/>
        <v>0</v>
      </c>
      <c r="Q184">
        <f t="shared" si="29"/>
        <v>0</v>
      </c>
      <c r="R184">
        <f t="shared" si="30"/>
        <v>0</v>
      </c>
      <c r="S184">
        <f t="shared" si="31"/>
        <v>0</v>
      </c>
      <c r="T184">
        <f t="shared" si="32"/>
        <v>0</v>
      </c>
      <c r="U184">
        <f t="shared" si="33"/>
        <v>0</v>
      </c>
      <c r="V184">
        <f t="shared" si="34"/>
        <v>0</v>
      </c>
    </row>
    <row r="185" spans="1:22" x14ac:dyDescent="0.3">
      <c r="A185">
        <v>4</v>
      </c>
      <c r="B185" t="str">
        <f t="shared" si="14"/>
        <v/>
      </c>
      <c r="C185">
        <f t="shared" si="15"/>
        <v>0</v>
      </c>
      <c r="D185">
        <f t="shared" si="16"/>
        <v>0</v>
      </c>
      <c r="E185">
        <f t="shared" si="17"/>
        <v>0</v>
      </c>
      <c r="F185">
        <f t="shared" si="18"/>
        <v>0</v>
      </c>
      <c r="G185">
        <f t="shared" si="19"/>
        <v>0</v>
      </c>
      <c r="H185">
        <f t="shared" si="20"/>
        <v>0</v>
      </c>
      <c r="I185">
        <f t="shared" si="21"/>
        <v>0</v>
      </c>
      <c r="J185">
        <f t="shared" si="22"/>
        <v>0</v>
      </c>
      <c r="K185">
        <f t="shared" si="23"/>
        <v>0</v>
      </c>
      <c r="L185">
        <f t="shared" si="24"/>
        <v>0</v>
      </c>
      <c r="M185">
        <f t="shared" si="25"/>
        <v>0</v>
      </c>
      <c r="N185">
        <f t="shared" si="26"/>
        <v>0</v>
      </c>
      <c r="O185">
        <f t="shared" si="27"/>
        <v>0</v>
      </c>
      <c r="P185">
        <f t="shared" si="28"/>
        <v>0</v>
      </c>
      <c r="Q185">
        <f t="shared" si="29"/>
        <v>0</v>
      </c>
      <c r="R185">
        <f t="shared" si="30"/>
        <v>0</v>
      </c>
      <c r="S185">
        <f t="shared" si="31"/>
        <v>0</v>
      </c>
      <c r="T185">
        <f t="shared" si="32"/>
        <v>0</v>
      </c>
      <c r="U185">
        <f t="shared" si="33"/>
        <v>0</v>
      </c>
      <c r="V185">
        <f t="shared" si="34"/>
        <v>0</v>
      </c>
    </row>
    <row r="186" spans="1:22" x14ac:dyDescent="0.3">
      <c r="A186">
        <v>5</v>
      </c>
      <c r="B186" t="str">
        <f t="shared" si="14"/>
        <v/>
      </c>
      <c r="C186">
        <f t="shared" si="15"/>
        <v>0</v>
      </c>
      <c r="D186">
        <f t="shared" si="16"/>
        <v>0</v>
      </c>
      <c r="E186">
        <f t="shared" si="17"/>
        <v>0</v>
      </c>
      <c r="F186">
        <f t="shared" si="18"/>
        <v>0</v>
      </c>
      <c r="G186">
        <f t="shared" si="19"/>
        <v>0</v>
      </c>
      <c r="H186">
        <f t="shared" si="20"/>
        <v>0</v>
      </c>
      <c r="I186">
        <f t="shared" si="21"/>
        <v>0</v>
      </c>
      <c r="J186">
        <f t="shared" si="22"/>
        <v>0</v>
      </c>
      <c r="K186">
        <f t="shared" si="23"/>
        <v>0</v>
      </c>
      <c r="L186">
        <f t="shared" si="24"/>
        <v>0</v>
      </c>
      <c r="M186">
        <f t="shared" si="25"/>
        <v>0</v>
      </c>
      <c r="N186">
        <f t="shared" si="26"/>
        <v>0</v>
      </c>
      <c r="O186">
        <f t="shared" si="27"/>
        <v>0</v>
      </c>
      <c r="P186">
        <f t="shared" si="28"/>
        <v>0</v>
      </c>
      <c r="Q186">
        <f t="shared" si="29"/>
        <v>0</v>
      </c>
      <c r="R186">
        <f t="shared" si="30"/>
        <v>0</v>
      </c>
      <c r="S186">
        <f t="shared" si="31"/>
        <v>0</v>
      </c>
      <c r="T186">
        <f t="shared" si="32"/>
        <v>0</v>
      </c>
      <c r="U186">
        <f t="shared" si="33"/>
        <v>0</v>
      </c>
      <c r="V186">
        <f t="shared" si="34"/>
        <v>0</v>
      </c>
    </row>
    <row r="187" spans="1:22" x14ac:dyDescent="0.3">
      <c r="A187">
        <v>6</v>
      </c>
      <c r="B187" t="str">
        <f t="shared" si="14"/>
        <v/>
      </c>
      <c r="C187">
        <f t="shared" si="15"/>
        <v>0</v>
      </c>
      <c r="D187">
        <f t="shared" si="16"/>
        <v>0</v>
      </c>
      <c r="E187">
        <f t="shared" si="17"/>
        <v>0</v>
      </c>
      <c r="F187">
        <f t="shared" si="18"/>
        <v>0</v>
      </c>
      <c r="G187">
        <f t="shared" si="19"/>
        <v>0</v>
      </c>
      <c r="H187">
        <f t="shared" si="20"/>
        <v>0</v>
      </c>
      <c r="I187">
        <f t="shared" si="21"/>
        <v>0</v>
      </c>
      <c r="J187">
        <f t="shared" si="22"/>
        <v>0</v>
      </c>
      <c r="K187">
        <f t="shared" si="23"/>
        <v>0</v>
      </c>
      <c r="L187">
        <f t="shared" si="24"/>
        <v>0</v>
      </c>
      <c r="M187">
        <f t="shared" si="25"/>
        <v>0</v>
      </c>
      <c r="N187">
        <f t="shared" si="26"/>
        <v>0</v>
      </c>
      <c r="O187">
        <f t="shared" si="27"/>
        <v>0</v>
      </c>
      <c r="P187">
        <f t="shared" si="28"/>
        <v>0</v>
      </c>
      <c r="Q187">
        <f t="shared" si="29"/>
        <v>0</v>
      </c>
      <c r="R187">
        <f t="shared" si="30"/>
        <v>0</v>
      </c>
      <c r="S187">
        <f t="shared" si="31"/>
        <v>0</v>
      </c>
      <c r="T187">
        <f t="shared" si="32"/>
        <v>0</v>
      </c>
      <c r="U187">
        <f t="shared" si="33"/>
        <v>0</v>
      </c>
      <c r="V187">
        <f t="shared" si="34"/>
        <v>0</v>
      </c>
    </row>
    <row r="188" spans="1:22" x14ac:dyDescent="0.3">
      <c r="A188">
        <v>7</v>
      </c>
      <c r="B188" t="str">
        <f t="shared" si="14"/>
        <v/>
      </c>
      <c r="C188">
        <f t="shared" si="15"/>
        <v>0</v>
      </c>
      <c r="D188">
        <f t="shared" si="16"/>
        <v>0</v>
      </c>
      <c r="E188">
        <f t="shared" si="17"/>
        <v>0</v>
      </c>
      <c r="F188">
        <f t="shared" si="18"/>
        <v>0</v>
      </c>
      <c r="G188">
        <f t="shared" si="19"/>
        <v>0</v>
      </c>
      <c r="H188">
        <f t="shared" si="20"/>
        <v>0</v>
      </c>
      <c r="I188">
        <f t="shared" si="21"/>
        <v>0</v>
      </c>
      <c r="J188">
        <f t="shared" si="22"/>
        <v>0</v>
      </c>
      <c r="K188">
        <f t="shared" si="23"/>
        <v>0</v>
      </c>
      <c r="L188">
        <f t="shared" si="24"/>
        <v>0</v>
      </c>
      <c r="M188">
        <f t="shared" si="25"/>
        <v>0</v>
      </c>
      <c r="N188">
        <f t="shared" si="26"/>
        <v>0</v>
      </c>
      <c r="O188">
        <f t="shared" si="27"/>
        <v>0</v>
      </c>
      <c r="P188">
        <f t="shared" si="28"/>
        <v>0</v>
      </c>
      <c r="Q188">
        <f t="shared" si="29"/>
        <v>0</v>
      </c>
      <c r="R188">
        <f t="shared" si="30"/>
        <v>0</v>
      </c>
      <c r="S188">
        <f t="shared" si="31"/>
        <v>0</v>
      </c>
      <c r="T188">
        <f t="shared" si="32"/>
        <v>0</v>
      </c>
      <c r="U188">
        <f t="shared" si="33"/>
        <v>0</v>
      </c>
      <c r="V188">
        <f t="shared" si="34"/>
        <v>0</v>
      </c>
    </row>
    <row r="189" spans="1:22" x14ac:dyDescent="0.3">
      <c r="A189">
        <v>8</v>
      </c>
      <c r="B189" t="str">
        <f t="shared" si="14"/>
        <v/>
      </c>
      <c r="C189">
        <f t="shared" si="15"/>
        <v>0</v>
      </c>
      <c r="D189">
        <f t="shared" si="16"/>
        <v>0</v>
      </c>
      <c r="E189">
        <f t="shared" si="17"/>
        <v>0</v>
      </c>
      <c r="F189">
        <f t="shared" si="18"/>
        <v>0</v>
      </c>
      <c r="G189">
        <f t="shared" si="19"/>
        <v>0</v>
      </c>
      <c r="H189">
        <f t="shared" si="20"/>
        <v>0</v>
      </c>
      <c r="I189">
        <f t="shared" si="21"/>
        <v>0</v>
      </c>
      <c r="J189">
        <f t="shared" si="22"/>
        <v>0</v>
      </c>
      <c r="K189">
        <f t="shared" si="23"/>
        <v>0</v>
      </c>
      <c r="L189">
        <f t="shared" si="24"/>
        <v>0</v>
      </c>
      <c r="M189">
        <f t="shared" si="25"/>
        <v>0</v>
      </c>
      <c r="N189">
        <f t="shared" si="26"/>
        <v>0</v>
      </c>
      <c r="O189">
        <f t="shared" si="27"/>
        <v>0</v>
      </c>
      <c r="P189">
        <f t="shared" si="28"/>
        <v>0</v>
      </c>
      <c r="Q189">
        <f t="shared" si="29"/>
        <v>0</v>
      </c>
      <c r="R189">
        <f t="shared" si="30"/>
        <v>0</v>
      </c>
      <c r="S189">
        <f t="shared" si="31"/>
        <v>0</v>
      </c>
      <c r="T189">
        <f t="shared" si="32"/>
        <v>0</v>
      </c>
      <c r="U189">
        <f t="shared" si="33"/>
        <v>0</v>
      </c>
      <c r="V189">
        <f t="shared" si="34"/>
        <v>0</v>
      </c>
    </row>
    <row r="190" spans="1:22" x14ac:dyDescent="0.3">
      <c r="A190">
        <v>9</v>
      </c>
      <c r="B190" t="str">
        <f t="shared" si="14"/>
        <v/>
      </c>
      <c r="C190">
        <f t="shared" si="15"/>
        <v>0</v>
      </c>
      <c r="D190">
        <f t="shared" si="16"/>
        <v>0</v>
      </c>
      <c r="E190">
        <f t="shared" si="17"/>
        <v>0</v>
      </c>
      <c r="F190">
        <f t="shared" si="18"/>
        <v>0</v>
      </c>
      <c r="G190">
        <f t="shared" si="19"/>
        <v>0</v>
      </c>
      <c r="H190">
        <f t="shared" si="20"/>
        <v>0</v>
      </c>
      <c r="I190">
        <f t="shared" si="21"/>
        <v>0</v>
      </c>
      <c r="J190">
        <f t="shared" si="22"/>
        <v>0</v>
      </c>
      <c r="K190">
        <f t="shared" si="23"/>
        <v>0</v>
      </c>
      <c r="L190">
        <f t="shared" si="24"/>
        <v>0</v>
      </c>
      <c r="M190">
        <f t="shared" si="25"/>
        <v>0</v>
      </c>
      <c r="N190">
        <f t="shared" si="26"/>
        <v>0</v>
      </c>
      <c r="O190">
        <f t="shared" si="27"/>
        <v>0</v>
      </c>
      <c r="P190">
        <f t="shared" si="28"/>
        <v>0</v>
      </c>
      <c r="Q190">
        <f t="shared" si="29"/>
        <v>0</v>
      </c>
      <c r="R190">
        <f t="shared" si="30"/>
        <v>0</v>
      </c>
      <c r="S190">
        <f t="shared" si="31"/>
        <v>0</v>
      </c>
      <c r="T190">
        <f t="shared" si="32"/>
        <v>0</v>
      </c>
      <c r="U190">
        <f t="shared" si="33"/>
        <v>0</v>
      </c>
      <c r="V190">
        <f t="shared" si="34"/>
        <v>0</v>
      </c>
    </row>
    <row r="191" spans="1:22" x14ac:dyDescent="0.3">
      <c r="A191">
        <v>10</v>
      </c>
      <c r="B191" t="str">
        <f t="shared" si="14"/>
        <v/>
      </c>
      <c r="C191">
        <f t="shared" si="15"/>
        <v>0</v>
      </c>
      <c r="D191">
        <f t="shared" si="16"/>
        <v>0</v>
      </c>
      <c r="E191">
        <f t="shared" si="17"/>
        <v>0</v>
      </c>
      <c r="F191">
        <f t="shared" si="18"/>
        <v>0</v>
      </c>
      <c r="G191">
        <f t="shared" si="19"/>
        <v>0</v>
      </c>
      <c r="H191">
        <f t="shared" si="20"/>
        <v>0</v>
      </c>
      <c r="I191">
        <f t="shared" si="21"/>
        <v>0</v>
      </c>
      <c r="J191">
        <f t="shared" si="22"/>
        <v>0</v>
      </c>
      <c r="K191">
        <f t="shared" si="23"/>
        <v>0</v>
      </c>
      <c r="L191">
        <f t="shared" si="24"/>
        <v>0</v>
      </c>
      <c r="M191">
        <f t="shared" si="25"/>
        <v>0</v>
      </c>
      <c r="N191">
        <f t="shared" si="26"/>
        <v>0</v>
      </c>
      <c r="O191">
        <f t="shared" si="27"/>
        <v>0</v>
      </c>
      <c r="P191">
        <f t="shared" si="28"/>
        <v>0</v>
      </c>
      <c r="Q191">
        <f t="shared" si="29"/>
        <v>0</v>
      </c>
      <c r="R191">
        <f t="shared" si="30"/>
        <v>0</v>
      </c>
      <c r="S191">
        <f t="shared" si="31"/>
        <v>0</v>
      </c>
      <c r="T191">
        <f t="shared" si="32"/>
        <v>0</v>
      </c>
      <c r="U191">
        <f t="shared" si="33"/>
        <v>0</v>
      </c>
      <c r="V191">
        <f t="shared" si="34"/>
        <v>0</v>
      </c>
    </row>
    <row r="192" spans="1:22" x14ac:dyDescent="0.3">
      <c r="A192">
        <v>11</v>
      </c>
      <c r="B192" t="str">
        <f t="shared" si="14"/>
        <v/>
      </c>
      <c r="C192">
        <f t="shared" si="15"/>
        <v>0</v>
      </c>
      <c r="D192">
        <f t="shared" si="16"/>
        <v>0</v>
      </c>
      <c r="E192">
        <f t="shared" si="17"/>
        <v>0</v>
      </c>
      <c r="F192">
        <f t="shared" si="18"/>
        <v>0</v>
      </c>
      <c r="G192">
        <f t="shared" si="19"/>
        <v>0</v>
      </c>
      <c r="H192">
        <f t="shared" si="20"/>
        <v>0</v>
      </c>
      <c r="I192">
        <f t="shared" si="21"/>
        <v>0</v>
      </c>
      <c r="J192">
        <f t="shared" si="22"/>
        <v>0</v>
      </c>
      <c r="K192">
        <f t="shared" si="23"/>
        <v>0</v>
      </c>
      <c r="L192">
        <f t="shared" si="24"/>
        <v>0</v>
      </c>
      <c r="M192">
        <f t="shared" si="25"/>
        <v>0</v>
      </c>
      <c r="N192">
        <f t="shared" si="26"/>
        <v>0</v>
      </c>
      <c r="O192">
        <f t="shared" si="27"/>
        <v>0</v>
      </c>
      <c r="P192">
        <f t="shared" si="28"/>
        <v>0</v>
      </c>
      <c r="Q192">
        <f t="shared" si="29"/>
        <v>0</v>
      </c>
      <c r="R192">
        <f t="shared" si="30"/>
        <v>0</v>
      </c>
      <c r="S192">
        <f t="shared" si="31"/>
        <v>0</v>
      </c>
      <c r="T192">
        <f t="shared" si="32"/>
        <v>0</v>
      </c>
      <c r="U192">
        <f t="shared" si="33"/>
        <v>0</v>
      </c>
      <c r="V192">
        <f t="shared" si="34"/>
        <v>0</v>
      </c>
    </row>
    <row r="193" spans="1:22" x14ac:dyDescent="0.3">
      <c r="A193">
        <v>12</v>
      </c>
      <c r="B193" t="str">
        <f t="shared" si="14"/>
        <v/>
      </c>
      <c r="C193">
        <f t="shared" si="15"/>
        <v>0</v>
      </c>
      <c r="D193">
        <f t="shared" si="16"/>
        <v>0</v>
      </c>
      <c r="E193">
        <f t="shared" si="17"/>
        <v>0</v>
      </c>
      <c r="F193">
        <f t="shared" si="18"/>
        <v>0</v>
      </c>
      <c r="G193">
        <f t="shared" si="19"/>
        <v>0</v>
      </c>
      <c r="H193">
        <f t="shared" si="20"/>
        <v>0</v>
      </c>
      <c r="I193">
        <f t="shared" si="21"/>
        <v>0</v>
      </c>
      <c r="J193">
        <f t="shared" si="22"/>
        <v>0</v>
      </c>
      <c r="K193">
        <f t="shared" si="23"/>
        <v>0</v>
      </c>
      <c r="L193">
        <f t="shared" si="24"/>
        <v>0</v>
      </c>
      <c r="M193">
        <f t="shared" si="25"/>
        <v>0</v>
      </c>
      <c r="N193">
        <f t="shared" si="26"/>
        <v>0</v>
      </c>
      <c r="O193">
        <f t="shared" si="27"/>
        <v>0</v>
      </c>
      <c r="P193">
        <f t="shared" si="28"/>
        <v>0</v>
      </c>
      <c r="Q193">
        <f t="shared" si="29"/>
        <v>0</v>
      </c>
      <c r="R193">
        <f t="shared" si="30"/>
        <v>0</v>
      </c>
      <c r="S193">
        <f t="shared" si="31"/>
        <v>0</v>
      </c>
      <c r="T193">
        <f t="shared" si="32"/>
        <v>0</v>
      </c>
      <c r="U193">
        <f t="shared" si="33"/>
        <v>0</v>
      </c>
      <c r="V193">
        <f t="shared" si="34"/>
        <v>0</v>
      </c>
    </row>
    <row r="194" spans="1:22" x14ac:dyDescent="0.3">
      <c r="A194">
        <v>13</v>
      </c>
      <c r="B194" t="str">
        <f t="shared" si="14"/>
        <v/>
      </c>
      <c r="C194">
        <f t="shared" si="15"/>
        <v>0</v>
      </c>
      <c r="D194">
        <f t="shared" si="16"/>
        <v>0</v>
      </c>
      <c r="E194">
        <f t="shared" si="17"/>
        <v>0</v>
      </c>
      <c r="F194">
        <f t="shared" si="18"/>
        <v>0</v>
      </c>
      <c r="G194">
        <f t="shared" si="19"/>
        <v>0</v>
      </c>
      <c r="H194">
        <f t="shared" si="20"/>
        <v>0</v>
      </c>
      <c r="I194">
        <f t="shared" si="21"/>
        <v>0</v>
      </c>
      <c r="J194">
        <f t="shared" si="22"/>
        <v>0</v>
      </c>
      <c r="K194">
        <f t="shared" si="23"/>
        <v>0</v>
      </c>
      <c r="L194">
        <f t="shared" si="24"/>
        <v>0</v>
      </c>
      <c r="M194">
        <f t="shared" si="25"/>
        <v>0</v>
      </c>
      <c r="N194">
        <f t="shared" si="26"/>
        <v>0</v>
      </c>
      <c r="O194">
        <f t="shared" si="27"/>
        <v>0</v>
      </c>
      <c r="P194">
        <f t="shared" si="28"/>
        <v>0</v>
      </c>
      <c r="Q194">
        <f t="shared" si="29"/>
        <v>0</v>
      </c>
      <c r="R194">
        <f t="shared" si="30"/>
        <v>0</v>
      </c>
      <c r="S194">
        <f t="shared" si="31"/>
        <v>0</v>
      </c>
      <c r="T194">
        <f t="shared" si="32"/>
        <v>0</v>
      </c>
      <c r="U194">
        <f t="shared" si="33"/>
        <v>0</v>
      </c>
      <c r="V194">
        <f t="shared" si="34"/>
        <v>0</v>
      </c>
    </row>
    <row r="195" spans="1:22" x14ac:dyDescent="0.3">
      <c r="A195">
        <v>14</v>
      </c>
      <c r="B195" t="str">
        <f t="shared" si="14"/>
        <v/>
      </c>
      <c r="C195">
        <f t="shared" si="15"/>
        <v>0</v>
      </c>
      <c r="D195">
        <f t="shared" si="16"/>
        <v>0</v>
      </c>
      <c r="E195">
        <f t="shared" si="17"/>
        <v>0</v>
      </c>
      <c r="F195">
        <f t="shared" si="18"/>
        <v>0</v>
      </c>
      <c r="G195">
        <f t="shared" si="19"/>
        <v>0</v>
      </c>
      <c r="H195">
        <f t="shared" si="20"/>
        <v>0</v>
      </c>
      <c r="I195">
        <f t="shared" si="21"/>
        <v>0</v>
      </c>
      <c r="J195">
        <f t="shared" si="22"/>
        <v>0</v>
      </c>
      <c r="K195">
        <f t="shared" si="23"/>
        <v>0</v>
      </c>
      <c r="L195">
        <f t="shared" si="24"/>
        <v>0</v>
      </c>
      <c r="M195">
        <f t="shared" si="25"/>
        <v>0</v>
      </c>
      <c r="N195">
        <f t="shared" si="26"/>
        <v>0</v>
      </c>
      <c r="O195">
        <f t="shared" si="27"/>
        <v>0</v>
      </c>
      <c r="P195">
        <f t="shared" si="28"/>
        <v>0</v>
      </c>
      <c r="Q195">
        <f t="shared" si="29"/>
        <v>0</v>
      </c>
      <c r="R195">
        <f t="shared" si="30"/>
        <v>0</v>
      </c>
      <c r="S195">
        <f t="shared" si="31"/>
        <v>0</v>
      </c>
      <c r="T195">
        <f t="shared" si="32"/>
        <v>0</v>
      </c>
      <c r="U195">
        <f t="shared" si="33"/>
        <v>0</v>
      </c>
      <c r="V195">
        <f t="shared" si="34"/>
        <v>0</v>
      </c>
    </row>
    <row r="196" spans="1:22" x14ac:dyDescent="0.3">
      <c r="A196">
        <v>15</v>
      </c>
      <c r="B196" t="str">
        <f t="shared" si="14"/>
        <v/>
      </c>
      <c r="C196">
        <f t="shared" si="15"/>
        <v>0</v>
      </c>
      <c r="D196">
        <f t="shared" si="16"/>
        <v>0</v>
      </c>
      <c r="E196">
        <f t="shared" si="17"/>
        <v>0</v>
      </c>
      <c r="F196">
        <f t="shared" si="18"/>
        <v>0</v>
      </c>
      <c r="G196">
        <f t="shared" si="19"/>
        <v>0</v>
      </c>
      <c r="H196">
        <f t="shared" si="20"/>
        <v>0</v>
      </c>
      <c r="I196">
        <f t="shared" si="21"/>
        <v>0</v>
      </c>
      <c r="J196">
        <f t="shared" si="22"/>
        <v>0</v>
      </c>
      <c r="K196">
        <f t="shared" si="23"/>
        <v>0</v>
      </c>
      <c r="L196">
        <f t="shared" si="24"/>
        <v>0</v>
      </c>
      <c r="M196">
        <f t="shared" si="25"/>
        <v>0</v>
      </c>
      <c r="N196">
        <f t="shared" si="26"/>
        <v>0</v>
      </c>
      <c r="O196">
        <f t="shared" si="27"/>
        <v>0</v>
      </c>
      <c r="P196">
        <f t="shared" si="28"/>
        <v>0</v>
      </c>
      <c r="Q196">
        <f t="shared" si="29"/>
        <v>0</v>
      </c>
      <c r="R196">
        <f t="shared" si="30"/>
        <v>0</v>
      </c>
      <c r="S196">
        <f t="shared" si="31"/>
        <v>0</v>
      </c>
      <c r="T196">
        <f t="shared" si="32"/>
        <v>0</v>
      </c>
      <c r="U196">
        <f t="shared" si="33"/>
        <v>0</v>
      </c>
      <c r="V196">
        <f t="shared" si="34"/>
        <v>0</v>
      </c>
    </row>
    <row r="197" spans="1:22" x14ac:dyDescent="0.3">
      <c r="A197">
        <v>16</v>
      </c>
      <c r="B197" t="str">
        <f t="shared" si="14"/>
        <v/>
      </c>
      <c r="C197">
        <f t="shared" si="15"/>
        <v>0</v>
      </c>
      <c r="D197">
        <f t="shared" si="16"/>
        <v>0</v>
      </c>
      <c r="E197">
        <f t="shared" si="17"/>
        <v>0</v>
      </c>
      <c r="F197">
        <f t="shared" si="18"/>
        <v>0</v>
      </c>
      <c r="G197">
        <f t="shared" si="19"/>
        <v>0</v>
      </c>
      <c r="H197">
        <f t="shared" si="20"/>
        <v>0</v>
      </c>
      <c r="I197">
        <f t="shared" si="21"/>
        <v>0</v>
      </c>
      <c r="J197">
        <f t="shared" si="22"/>
        <v>0</v>
      </c>
      <c r="K197">
        <f t="shared" si="23"/>
        <v>0</v>
      </c>
      <c r="L197">
        <f t="shared" si="24"/>
        <v>0</v>
      </c>
      <c r="M197">
        <f t="shared" si="25"/>
        <v>0</v>
      </c>
      <c r="N197">
        <f t="shared" si="26"/>
        <v>0</v>
      </c>
      <c r="O197">
        <f t="shared" si="27"/>
        <v>0</v>
      </c>
      <c r="P197">
        <f t="shared" si="28"/>
        <v>0</v>
      </c>
      <c r="Q197">
        <f t="shared" si="29"/>
        <v>0</v>
      </c>
      <c r="R197">
        <f t="shared" si="30"/>
        <v>0</v>
      </c>
      <c r="S197">
        <f t="shared" si="31"/>
        <v>0</v>
      </c>
      <c r="T197">
        <f t="shared" si="32"/>
        <v>0</v>
      </c>
      <c r="U197">
        <f t="shared" si="33"/>
        <v>0</v>
      </c>
      <c r="V197">
        <f t="shared" si="34"/>
        <v>0</v>
      </c>
    </row>
    <row r="198" spans="1:22" x14ac:dyDescent="0.3">
      <c r="A198">
        <v>17</v>
      </c>
      <c r="B198" t="str">
        <f t="shared" si="14"/>
        <v/>
      </c>
      <c r="C198">
        <f t="shared" si="15"/>
        <v>0</v>
      </c>
      <c r="D198">
        <f t="shared" si="16"/>
        <v>0</v>
      </c>
      <c r="E198">
        <f t="shared" si="17"/>
        <v>0</v>
      </c>
      <c r="F198">
        <f t="shared" si="18"/>
        <v>0</v>
      </c>
      <c r="G198">
        <f t="shared" si="19"/>
        <v>0</v>
      </c>
      <c r="H198">
        <f t="shared" si="20"/>
        <v>0</v>
      </c>
      <c r="I198">
        <f t="shared" si="21"/>
        <v>0</v>
      </c>
      <c r="J198">
        <f t="shared" si="22"/>
        <v>0</v>
      </c>
      <c r="K198">
        <f t="shared" si="23"/>
        <v>0</v>
      </c>
      <c r="L198">
        <f t="shared" si="24"/>
        <v>0</v>
      </c>
      <c r="M198">
        <f t="shared" si="25"/>
        <v>0</v>
      </c>
      <c r="N198">
        <f t="shared" si="26"/>
        <v>0</v>
      </c>
      <c r="O198">
        <f t="shared" si="27"/>
        <v>0</v>
      </c>
      <c r="P198">
        <f t="shared" si="28"/>
        <v>0</v>
      </c>
      <c r="Q198">
        <f t="shared" si="29"/>
        <v>0</v>
      </c>
      <c r="R198">
        <f t="shared" si="30"/>
        <v>0</v>
      </c>
      <c r="S198">
        <f t="shared" si="31"/>
        <v>0</v>
      </c>
      <c r="T198">
        <f t="shared" si="32"/>
        <v>0</v>
      </c>
      <c r="U198">
        <f t="shared" si="33"/>
        <v>0</v>
      </c>
      <c r="V198">
        <f t="shared" si="34"/>
        <v>0</v>
      </c>
    </row>
    <row r="199" spans="1:22" x14ac:dyDescent="0.3">
      <c r="A199">
        <v>18</v>
      </c>
      <c r="B199" t="str">
        <f t="shared" si="14"/>
        <v/>
      </c>
      <c r="C199">
        <f t="shared" si="15"/>
        <v>0</v>
      </c>
      <c r="D199">
        <f t="shared" si="16"/>
        <v>0</v>
      </c>
      <c r="E199">
        <f t="shared" si="17"/>
        <v>0</v>
      </c>
      <c r="F199">
        <f t="shared" si="18"/>
        <v>0</v>
      </c>
      <c r="G199">
        <f t="shared" si="19"/>
        <v>0</v>
      </c>
      <c r="H199">
        <f t="shared" si="20"/>
        <v>0</v>
      </c>
      <c r="I199">
        <f t="shared" si="21"/>
        <v>0</v>
      </c>
      <c r="J199">
        <f t="shared" si="22"/>
        <v>0</v>
      </c>
      <c r="K199">
        <f t="shared" si="23"/>
        <v>0</v>
      </c>
      <c r="L199">
        <f t="shared" si="24"/>
        <v>0</v>
      </c>
      <c r="M199">
        <f t="shared" si="25"/>
        <v>0</v>
      </c>
      <c r="N199">
        <f t="shared" si="26"/>
        <v>0</v>
      </c>
      <c r="O199">
        <f t="shared" si="27"/>
        <v>0</v>
      </c>
      <c r="P199">
        <f t="shared" si="28"/>
        <v>0</v>
      </c>
      <c r="Q199">
        <f t="shared" si="29"/>
        <v>0</v>
      </c>
      <c r="R199">
        <f t="shared" si="30"/>
        <v>0</v>
      </c>
      <c r="S199">
        <f t="shared" si="31"/>
        <v>0</v>
      </c>
      <c r="T199">
        <f t="shared" si="32"/>
        <v>0</v>
      </c>
      <c r="U199">
        <f t="shared" si="33"/>
        <v>0</v>
      </c>
      <c r="V199">
        <f t="shared" si="34"/>
        <v>0</v>
      </c>
    </row>
    <row r="200" spans="1:22" x14ac:dyDescent="0.3">
      <c r="A200">
        <v>19</v>
      </c>
      <c r="B200" t="str">
        <f t="shared" si="14"/>
        <v/>
      </c>
      <c r="C200">
        <f t="shared" si="15"/>
        <v>0</v>
      </c>
      <c r="D200">
        <f t="shared" si="16"/>
        <v>0</v>
      </c>
      <c r="E200">
        <f t="shared" si="17"/>
        <v>0</v>
      </c>
      <c r="F200">
        <f t="shared" si="18"/>
        <v>0</v>
      </c>
      <c r="G200">
        <f t="shared" si="19"/>
        <v>0</v>
      </c>
      <c r="H200">
        <f t="shared" si="20"/>
        <v>0</v>
      </c>
      <c r="I200">
        <f t="shared" si="21"/>
        <v>0</v>
      </c>
      <c r="J200">
        <f t="shared" si="22"/>
        <v>0</v>
      </c>
      <c r="K200">
        <f t="shared" si="23"/>
        <v>0</v>
      </c>
      <c r="L200">
        <f t="shared" si="24"/>
        <v>0</v>
      </c>
      <c r="M200">
        <f t="shared" si="25"/>
        <v>0</v>
      </c>
      <c r="N200">
        <f t="shared" si="26"/>
        <v>0</v>
      </c>
      <c r="O200">
        <f t="shared" si="27"/>
        <v>0</v>
      </c>
      <c r="P200">
        <f t="shared" si="28"/>
        <v>0</v>
      </c>
      <c r="Q200">
        <f t="shared" si="29"/>
        <v>0</v>
      </c>
      <c r="R200">
        <f t="shared" si="30"/>
        <v>0</v>
      </c>
      <c r="S200">
        <f t="shared" si="31"/>
        <v>0</v>
      </c>
      <c r="T200">
        <f t="shared" si="32"/>
        <v>0</v>
      </c>
      <c r="U200">
        <f t="shared" si="33"/>
        <v>0</v>
      </c>
      <c r="V200">
        <f t="shared" si="34"/>
        <v>0</v>
      </c>
    </row>
    <row r="201" spans="1:22" x14ac:dyDescent="0.3">
      <c r="A201">
        <v>20</v>
      </c>
      <c r="B201" t="str">
        <f t="shared" si="14"/>
        <v/>
      </c>
      <c r="C201">
        <f t="shared" si="15"/>
        <v>0</v>
      </c>
      <c r="D201">
        <f t="shared" si="16"/>
        <v>0</v>
      </c>
      <c r="E201">
        <f t="shared" si="17"/>
        <v>0</v>
      </c>
      <c r="F201">
        <f t="shared" si="18"/>
        <v>0</v>
      </c>
      <c r="G201">
        <f t="shared" si="19"/>
        <v>0</v>
      </c>
      <c r="H201">
        <f t="shared" si="20"/>
        <v>0</v>
      </c>
      <c r="I201">
        <f t="shared" si="21"/>
        <v>0</v>
      </c>
      <c r="J201">
        <f t="shared" si="22"/>
        <v>0</v>
      </c>
      <c r="K201">
        <f t="shared" si="23"/>
        <v>0</v>
      </c>
      <c r="L201">
        <f t="shared" si="24"/>
        <v>0</v>
      </c>
      <c r="M201">
        <f t="shared" si="25"/>
        <v>0</v>
      </c>
      <c r="N201">
        <f t="shared" si="26"/>
        <v>0</v>
      </c>
      <c r="O201">
        <f t="shared" si="27"/>
        <v>0</v>
      </c>
      <c r="P201">
        <f t="shared" si="28"/>
        <v>0</v>
      </c>
      <c r="Q201">
        <f t="shared" si="29"/>
        <v>0</v>
      </c>
      <c r="R201">
        <f t="shared" si="30"/>
        <v>0</v>
      </c>
      <c r="S201">
        <f t="shared" si="31"/>
        <v>0</v>
      </c>
      <c r="T201">
        <f t="shared" si="32"/>
        <v>0</v>
      </c>
      <c r="U201">
        <f t="shared" si="33"/>
        <v>0</v>
      </c>
      <c r="V201">
        <f t="shared" si="34"/>
        <v>0</v>
      </c>
    </row>
    <row r="202" spans="1:22" x14ac:dyDescent="0.3">
      <c r="A202">
        <v>21</v>
      </c>
      <c r="B202" t="str">
        <f t="shared" si="14"/>
        <v/>
      </c>
      <c r="C202">
        <f t="shared" si="15"/>
        <v>0</v>
      </c>
      <c r="D202">
        <f t="shared" si="16"/>
        <v>0</v>
      </c>
      <c r="E202">
        <f t="shared" si="17"/>
        <v>0</v>
      </c>
      <c r="F202">
        <f t="shared" si="18"/>
        <v>0</v>
      </c>
      <c r="G202">
        <f t="shared" si="19"/>
        <v>0</v>
      </c>
      <c r="H202">
        <f t="shared" si="20"/>
        <v>0</v>
      </c>
      <c r="I202">
        <f t="shared" si="21"/>
        <v>0</v>
      </c>
      <c r="J202">
        <f t="shared" si="22"/>
        <v>0</v>
      </c>
      <c r="K202">
        <f t="shared" si="23"/>
        <v>0</v>
      </c>
      <c r="L202">
        <f t="shared" si="24"/>
        <v>0</v>
      </c>
      <c r="M202">
        <f t="shared" si="25"/>
        <v>0</v>
      </c>
      <c r="N202">
        <f t="shared" si="26"/>
        <v>0</v>
      </c>
      <c r="O202">
        <f t="shared" si="27"/>
        <v>0</v>
      </c>
      <c r="P202">
        <f t="shared" si="28"/>
        <v>0</v>
      </c>
      <c r="Q202">
        <f t="shared" si="29"/>
        <v>0</v>
      </c>
      <c r="R202">
        <f t="shared" si="30"/>
        <v>0</v>
      </c>
      <c r="S202">
        <f t="shared" si="31"/>
        <v>0</v>
      </c>
      <c r="T202">
        <f t="shared" si="32"/>
        <v>0</v>
      </c>
      <c r="U202">
        <f t="shared" si="33"/>
        <v>0</v>
      </c>
      <c r="V202">
        <f t="shared" si="34"/>
        <v>0</v>
      </c>
    </row>
    <row r="203" spans="1:22" x14ac:dyDescent="0.3">
      <c r="A203">
        <v>22</v>
      </c>
      <c r="B203" t="str">
        <f t="shared" si="14"/>
        <v/>
      </c>
      <c r="C203">
        <f t="shared" si="15"/>
        <v>0</v>
      </c>
      <c r="D203">
        <f t="shared" si="16"/>
        <v>0</v>
      </c>
      <c r="E203">
        <f t="shared" si="17"/>
        <v>0</v>
      </c>
      <c r="F203">
        <f t="shared" si="18"/>
        <v>0</v>
      </c>
      <c r="G203">
        <f t="shared" si="19"/>
        <v>0</v>
      </c>
      <c r="H203">
        <f t="shared" si="20"/>
        <v>0</v>
      </c>
      <c r="I203">
        <f t="shared" si="21"/>
        <v>0</v>
      </c>
      <c r="J203">
        <f t="shared" si="22"/>
        <v>0</v>
      </c>
      <c r="K203">
        <f t="shared" si="23"/>
        <v>0</v>
      </c>
      <c r="L203">
        <f t="shared" si="24"/>
        <v>0</v>
      </c>
      <c r="M203">
        <f t="shared" si="25"/>
        <v>0</v>
      </c>
      <c r="N203">
        <f t="shared" si="26"/>
        <v>0</v>
      </c>
      <c r="O203">
        <f t="shared" si="27"/>
        <v>0</v>
      </c>
      <c r="P203">
        <f t="shared" si="28"/>
        <v>0</v>
      </c>
      <c r="Q203">
        <f t="shared" si="29"/>
        <v>0</v>
      </c>
      <c r="R203">
        <f t="shared" si="30"/>
        <v>0</v>
      </c>
      <c r="S203">
        <f t="shared" si="31"/>
        <v>0</v>
      </c>
      <c r="T203">
        <f t="shared" si="32"/>
        <v>0</v>
      </c>
      <c r="U203">
        <f t="shared" si="33"/>
        <v>0</v>
      </c>
      <c r="V203">
        <f t="shared" si="34"/>
        <v>0</v>
      </c>
    </row>
    <row r="204" spans="1:22" x14ac:dyDescent="0.3">
      <c r="A204">
        <v>23</v>
      </c>
      <c r="B204" t="str">
        <f t="shared" si="14"/>
        <v/>
      </c>
      <c r="C204">
        <f t="shared" si="15"/>
        <v>0</v>
      </c>
      <c r="D204">
        <f t="shared" si="16"/>
        <v>0</v>
      </c>
      <c r="E204">
        <f t="shared" si="17"/>
        <v>0</v>
      </c>
      <c r="F204">
        <f t="shared" si="18"/>
        <v>0</v>
      </c>
      <c r="G204">
        <f t="shared" si="19"/>
        <v>0</v>
      </c>
      <c r="H204">
        <f t="shared" si="20"/>
        <v>0</v>
      </c>
      <c r="I204">
        <f t="shared" si="21"/>
        <v>0</v>
      </c>
      <c r="J204">
        <f t="shared" si="22"/>
        <v>0</v>
      </c>
      <c r="K204">
        <f t="shared" si="23"/>
        <v>0</v>
      </c>
      <c r="L204">
        <f t="shared" si="24"/>
        <v>0</v>
      </c>
      <c r="M204">
        <f t="shared" si="25"/>
        <v>0</v>
      </c>
      <c r="N204">
        <f t="shared" si="26"/>
        <v>0</v>
      </c>
      <c r="O204">
        <f t="shared" si="27"/>
        <v>0</v>
      </c>
      <c r="P204">
        <f t="shared" si="28"/>
        <v>0</v>
      </c>
      <c r="Q204">
        <f t="shared" si="29"/>
        <v>0</v>
      </c>
      <c r="R204">
        <f t="shared" si="30"/>
        <v>0</v>
      </c>
      <c r="S204">
        <f t="shared" si="31"/>
        <v>0</v>
      </c>
      <c r="T204">
        <f t="shared" si="32"/>
        <v>0</v>
      </c>
      <c r="U204">
        <f t="shared" si="33"/>
        <v>0</v>
      </c>
      <c r="V204">
        <f t="shared" si="34"/>
        <v>0</v>
      </c>
    </row>
    <row r="205" spans="1:22" x14ac:dyDescent="0.3">
      <c r="A205">
        <v>24</v>
      </c>
      <c r="B205" t="str">
        <f t="shared" si="14"/>
        <v/>
      </c>
      <c r="C205">
        <f t="shared" si="15"/>
        <v>0</v>
      </c>
      <c r="D205">
        <f t="shared" si="16"/>
        <v>0</v>
      </c>
      <c r="E205">
        <f t="shared" si="17"/>
        <v>0</v>
      </c>
      <c r="F205">
        <f t="shared" si="18"/>
        <v>0</v>
      </c>
      <c r="G205">
        <f t="shared" si="19"/>
        <v>0</v>
      </c>
      <c r="H205">
        <f t="shared" si="20"/>
        <v>0</v>
      </c>
      <c r="I205">
        <f t="shared" si="21"/>
        <v>0</v>
      </c>
      <c r="J205">
        <f t="shared" si="22"/>
        <v>0</v>
      </c>
      <c r="K205">
        <f t="shared" si="23"/>
        <v>0</v>
      </c>
      <c r="L205">
        <f t="shared" si="24"/>
        <v>0</v>
      </c>
      <c r="M205">
        <f t="shared" si="25"/>
        <v>0</v>
      </c>
      <c r="N205">
        <f t="shared" si="26"/>
        <v>0</v>
      </c>
      <c r="O205">
        <f t="shared" si="27"/>
        <v>0</v>
      </c>
      <c r="P205">
        <f t="shared" si="28"/>
        <v>0</v>
      </c>
      <c r="Q205">
        <f t="shared" si="29"/>
        <v>0</v>
      </c>
      <c r="R205">
        <f t="shared" si="30"/>
        <v>0</v>
      </c>
      <c r="S205">
        <f t="shared" si="31"/>
        <v>0</v>
      </c>
      <c r="T205">
        <f t="shared" si="32"/>
        <v>0</v>
      </c>
      <c r="U205">
        <f t="shared" si="33"/>
        <v>0</v>
      </c>
      <c r="V205">
        <f t="shared" si="34"/>
        <v>0</v>
      </c>
    </row>
    <row r="206" spans="1:22" x14ac:dyDescent="0.3">
      <c r="A206">
        <v>25</v>
      </c>
      <c r="B206" t="str">
        <f t="shared" si="14"/>
        <v/>
      </c>
      <c r="C206">
        <f t="shared" si="15"/>
        <v>0</v>
      </c>
      <c r="D206">
        <f t="shared" si="16"/>
        <v>0</v>
      </c>
      <c r="E206">
        <f t="shared" si="17"/>
        <v>0</v>
      </c>
      <c r="F206">
        <f t="shared" si="18"/>
        <v>0</v>
      </c>
      <c r="G206">
        <f t="shared" si="19"/>
        <v>0</v>
      </c>
      <c r="H206">
        <f t="shared" si="20"/>
        <v>0</v>
      </c>
      <c r="I206">
        <f t="shared" si="21"/>
        <v>0</v>
      </c>
      <c r="J206">
        <f t="shared" si="22"/>
        <v>0</v>
      </c>
      <c r="K206">
        <f t="shared" si="23"/>
        <v>0</v>
      </c>
      <c r="L206">
        <f t="shared" si="24"/>
        <v>0</v>
      </c>
      <c r="M206">
        <f t="shared" si="25"/>
        <v>0</v>
      </c>
      <c r="N206">
        <f t="shared" si="26"/>
        <v>0</v>
      </c>
      <c r="O206">
        <f t="shared" si="27"/>
        <v>0</v>
      </c>
      <c r="P206">
        <f t="shared" si="28"/>
        <v>0</v>
      </c>
      <c r="Q206">
        <f t="shared" si="29"/>
        <v>0</v>
      </c>
      <c r="R206">
        <f t="shared" si="30"/>
        <v>0</v>
      </c>
      <c r="S206">
        <f t="shared" si="31"/>
        <v>0</v>
      </c>
      <c r="T206">
        <f t="shared" si="32"/>
        <v>0</v>
      </c>
      <c r="U206">
        <f t="shared" si="33"/>
        <v>0</v>
      </c>
      <c r="V206">
        <f t="shared" si="34"/>
        <v>0</v>
      </c>
    </row>
    <row r="207" spans="1:22" x14ac:dyDescent="0.3">
      <c r="A207">
        <v>26</v>
      </c>
      <c r="B207" t="str">
        <f t="shared" si="14"/>
        <v/>
      </c>
      <c r="C207">
        <f t="shared" si="15"/>
        <v>0</v>
      </c>
      <c r="D207">
        <f t="shared" si="16"/>
        <v>0</v>
      </c>
      <c r="E207">
        <f t="shared" si="17"/>
        <v>0</v>
      </c>
      <c r="F207">
        <f t="shared" si="18"/>
        <v>0</v>
      </c>
      <c r="G207">
        <f t="shared" si="19"/>
        <v>0</v>
      </c>
      <c r="H207">
        <f t="shared" si="20"/>
        <v>0</v>
      </c>
      <c r="I207">
        <f t="shared" si="21"/>
        <v>0</v>
      </c>
      <c r="J207">
        <f t="shared" si="22"/>
        <v>0</v>
      </c>
      <c r="K207">
        <f t="shared" si="23"/>
        <v>0</v>
      </c>
      <c r="L207">
        <f t="shared" si="24"/>
        <v>0</v>
      </c>
      <c r="M207">
        <f t="shared" si="25"/>
        <v>0</v>
      </c>
      <c r="N207">
        <f t="shared" si="26"/>
        <v>0</v>
      </c>
      <c r="O207">
        <f t="shared" si="27"/>
        <v>0</v>
      </c>
      <c r="P207">
        <f t="shared" si="28"/>
        <v>0</v>
      </c>
      <c r="Q207">
        <f t="shared" si="29"/>
        <v>0</v>
      </c>
      <c r="R207">
        <f t="shared" si="30"/>
        <v>0</v>
      </c>
      <c r="S207">
        <f t="shared" si="31"/>
        <v>0</v>
      </c>
      <c r="T207">
        <f t="shared" si="32"/>
        <v>0</v>
      </c>
      <c r="U207">
        <f t="shared" si="33"/>
        <v>0</v>
      </c>
      <c r="V207">
        <f t="shared" si="34"/>
        <v>0</v>
      </c>
    </row>
    <row r="208" spans="1:22" x14ac:dyDescent="0.3">
      <c r="A208">
        <v>27</v>
      </c>
      <c r="B208" t="str">
        <f t="shared" si="14"/>
        <v/>
      </c>
      <c r="C208">
        <f t="shared" si="15"/>
        <v>0</v>
      </c>
      <c r="D208">
        <f t="shared" si="16"/>
        <v>0</v>
      </c>
      <c r="E208">
        <f t="shared" si="17"/>
        <v>0</v>
      </c>
      <c r="F208">
        <f t="shared" si="18"/>
        <v>0</v>
      </c>
      <c r="G208">
        <f t="shared" si="19"/>
        <v>0</v>
      </c>
      <c r="H208">
        <f t="shared" si="20"/>
        <v>0</v>
      </c>
      <c r="I208">
        <f t="shared" si="21"/>
        <v>0</v>
      </c>
      <c r="J208">
        <f t="shared" si="22"/>
        <v>0</v>
      </c>
      <c r="K208">
        <f t="shared" si="23"/>
        <v>0</v>
      </c>
      <c r="L208">
        <f t="shared" si="24"/>
        <v>0</v>
      </c>
      <c r="M208">
        <f t="shared" si="25"/>
        <v>0</v>
      </c>
      <c r="N208">
        <f t="shared" si="26"/>
        <v>0</v>
      </c>
      <c r="O208">
        <f t="shared" si="27"/>
        <v>0</v>
      </c>
      <c r="P208">
        <f t="shared" si="28"/>
        <v>0</v>
      </c>
      <c r="Q208">
        <f t="shared" si="29"/>
        <v>0</v>
      </c>
      <c r="R208">
        <f t="shared" si="30"/>
        <v>0</v>
      </c>
      <c r="S208">
        <f t="shared" si="31"/>
        <v>0</v>
      </c>
      <c r="T208">
        <f t="shared" si="32"/>
        <v>0</v>
      </c>
      <c r="U208">
        <f t="shared" si="33"/>
        <v>0</v>
      </c>
      <c r="V208">
        <f t="shared" si="34"/>
        <v>0</v>
      </c>
    </row>
    <row r="209" spans="1:22" x14ac:dyDescent="0.3">
      <c r="A209">
        <v>28</v>
      </c>
      <c r="B209" t="str">
        <f t="shared" si="14"/>
        <v/>
      </c>
      <c r="C209">
        <f t="shared" si="15"/>
        <v>0</v>
      </c>
      <c r="D209">
        <f t="shared" si="16"/>
        <v>0</v>
      </c>
      <c r="E209">
        <f t="shared" si="17"/>
        <v>0</v>
      </c>
      <c r="F209">
        <f t="shared" si="18"/>
        <v>0</v>
      </c>
      <c r="G209">
        <f t="shared" si="19"/>
        <v>0</v>
      </c>
      <c r="H209">
        <f t="shared" si="20"/>
        <v>0</v>
      </c>
      <c r="I209">
        <f t="shared" si="21"/>
        <v>0</v>
      </c>
      <c r="J209">
        <f t="shared" si="22"/>
        <v>0</v>
      </c>
      <c r="K209">
        <f t="shared" si="23"/>
        <v>0</v>
      </c>
      <c r="L209">
        <f t="shared" si="24"/>
        <v>0</v>
      </c>
      <c r="M209">
        <f t="shared" si="25"/>
        <v>0</v>
      </c>
      <c r="N209">
        <f t="shared" si="26"/>
        <v>0</v>
      </c>
      <c r="O209">
        <f t="shared" si="27"/>
        <v>0</v>
      </c>
      <c r="P209">
        <f t="shared" si="28"/>
        <v>0</v>
      </c>
      <c r="Q209">
        <f t="shared" si="29"/>
        <v>0</v>
      </c>
      <c r="R209">
        <f t="shared" si="30"/>
        <v>0</v>
      </c>
      <c r="S209">
        <f t="shared" si="31"/>
        <v>0</v>
      </c>
      <c r="T209">
        <f t="shared" si="32"/>
        <v>0</v>
      </c>
      <c r="U209">
        <f t="shared" si="33"/>
        <v>0</v>
      </c>
      <c r="V209">
        <f t="shared" si="34"/>
        <v>0</v>
      </c>
    </row>
    <row r="210" spans="1:22" x14ac:dyDescent="0.3">
      <c r="A210">
        <v>29</v>
      </c>
      <c r="B210" t="str">
        <f t="shared" si="14"/>
        <v/>
      </c>
      <c r="C210">
        <f t="shared" si="15"/>
        <v>0</v>
      </c>
      <c r="D210">
        <f t="shared" si="16"/>
        <v>0</v>
      </c>
      <c r="E210">
        <f t="shared" si="17"/>
        <v>0</v>
      </c>
      <c r="F210">
        <f t="shared" si="18"/>
        <v>0</v>
      </c>
      <c r="G210">
        <f t="shared" si="19"/>
        <v>0</v>
      </c>
      <c r="H210">
        <f t="shared" si="20"/>
        <v>0</v>
      </c>
      <c r="I210">
        <f t="shared" si="21"/>
        <v>0</v>
      </c>
      <c r="J210">
        <f t="shared" si="22"/>
        <v>0</v>
      </c>
      <c r="K210">
        <f t="shared" si="23"/>
        <v>0</v>
      </c>
      <c r="L210">
        <f t="shared" si="24"/>
        <v>0</v>
      </c>
      <c r="M210">
        <f t="shared" si="25"/>
        <v>0</v>
      </c>
      <c r="N210">
        <f t="shared" si="26"/>
        <v>0</v>
      </c>
      <c r="O210">
        <f t="shared" si="27"/>
        <v>0</v>
      </c>
      <c r="P210">
        <f t="shared" si="28"/>
        <v>0</v>
      </c>
      <c r="Q210">
        <f t="shared" si="29"/>
        <v>0</v>
      </c>
      <c r="R210">
        <f t="shared" si="30"/>
        <v>0</v>
      </c>
      <c r="S210">
        <f t="shared" si="31"/>
        <v>0</v>
      </c>
      <c r="T210">
        <f t="shared" si="32"/>
        <v>0</v>
      </c>
      <c r="U210">
        <f t="shared" si="33"/>
        <v>0</v>
      </c>
      <c r="V210">
        <f t="shared" si="34"/>
        <v>0</v>
      </c>
    </row>
    <row r="211" spans="1:22" x14ac:dyDescent="0.3">
      <c r="A211">
        <v>30</v>
      </c>
      <c r="B211" t="str">
        <f t="shared" si="14"/>
        <v/>
      </c>
      <c r="C211">
        <f t="shared" si="15"/>
        <v>0</v>
      </c>
      <c r="D211">
        <f t="shared" si="16"/>
        <v>0</v>
      </c>
      <c r="E211">
        <f t="shared" si="17"/>
        <v>0</v>
      </c>
      <c r="F211">
        <f t="shared" si="18"/>
        <v>0</v>
      </c>
      <c r="G211">
        <f t="shared" si="19"/>
        <v>0</v>
      </c>
      <c r="H211">
        <f t="shared" si="20"/>
        <v>0</v>
      </c>
      <c r="I211">
        <f t="shared" si="21"/>
        <v>0</v>
      </c>
      <c r="J211">
        <f t="shared" si="22"/>
        <v>0</v>
      </c>
      <c r="K211">
        <f t="shared" si="23"/>
        <v>0</v>
      </c>
      <c r="L211">
        <f t="shared" si="24"/>
        <v>0</v>
      </c>
      <c r="M211">
        <f t="shared" si="25"/>
        <v>0</v>
      </c>
      <c r="N211">
        <f t="shared" si="26"/>
        <v>0</v>
      </c>
      <c r="O211">
        <f t="shared" si="27"/>
        <v>0</v>
      </c>
      <c r="P211">
        <f t="shared" si="28"/>
        <v>0</v>
      </c>
      <c r="Q211">
        <f t="shared" si="29"/>
        <v>0</v>
      </c>
      <c r="R211">
        <f t="shared" si="30"/>
        <v>0</v>
      </c>
      <c r="S211">
        <f t="shared" si="31"/>
        <v>0</v>
      </c>
      <c r="T211">
        <f t="shared" si="32"/>
        <v>0</v>
      </c>
      <c r="U211">
        <f t="shared" si="33"/>
        <v>0</v>
      </c>
      <c r="V211">
        <f t="shared" si="34"/>
        <v>0</v>
      </c>
    </row>
    <row r="212" spans="1:22" x14ac:dyDescent="0.3">
      <c r="A212">
        <v>31</v>
      </c>
      <c r="B212" t="str">
        <f t="shared" si="14"/>
        <v/>
      </c>
      <c r="C212">
        <f t="shared" si="15"/>
        <v>0</v>
      </c>
      <c r="D212">
        <f t="shared" si="16"/>
        <v>0</v>
      </c>
      <c r="E212">
        <f t="shared" si="17"/>
        <v>0</v>
      </c>
      <c r="F212">
        <f t="shared" si="18"/>
        <v>0</v>
      </c>
      <c r="G212">
        <f t="shared" si="19"/>
        <v>0</v>
      </c>
      <c r="H212">
        <f t="shared" si="20"/>
        <v>0</v>
      </c>
      <c r="I212">
        <f t="shared" si="21"/>
        <v>0</v>
      </c>
      <c r="J212">
        <f t="shared" si="22"/>
        <v>0</v>
      </c>
      <c r="K212">
        <f t="shared" si="23"/>
        <v>0</v>
      </c>
      <c r="L212">
        <f t="shared" si="24"/>
        <v>0</v>
      </c>
      <c r="M212">
        <f t="shared" si="25"/>
        <v>0</v>
      </c>
      <c r="N212">
        <f t="shared" si="26"/>
        <v>0</v>
      </c>
      <c r="O212">
        <f t="shared" si="27"/>
        <v>0</v>
      </c>
      <c r="P212">
        <f t="shared" si="28"/>
        <v>0</v>
      </c>
      <c r="Q212">
        <f t="shared" si="29"/>
        <v>0</v>
      </c>
      <c r="R212">
        <f t="shared" si="30"/>
        <v>0</v>
      </c>
      <c r="S212">
        <f t="shared" si="31"/>
        <v>0</v>
      </c>
      <c r="T212">
        <f t="shared" si="32"/>
        <v>0</v>
      </c>
      <c r="U212">
        <f t="shared" si="33"/>
        <v>0</v>
      </c>
      <c r="V212">
        <f t="shared" si="34"/>
        <v>0</v>
      </c>
    </row>
    <row r="213" spans="1:22" x14ac:dyDescent="0.3">
      <c r="A213">
        <v>32</v>
      </c>
      <c r="B213" t="str">
        <f t="shared" si="14"/>
        <v/>
      </c>
      <c r="C213">
        <f t="shared" si="15"/>
        <v>0</v>
      </c>
      <c r="D213">
        <f t="shared" si="16"/>
        <v>0</v>
      </c>
      <c r="E213">
        <f t="shared" si="17"/>
        <v>0</v>
      </c>
      <c r="F213">
        <f t="shared" si="18"/>
        <v>0</v>
      </c>
      <c r="G213">
        <f t="shared" si="19"/>
        <v>0</v>
      </c>
      <c r="H213">
        <f t="shared" si="20"/>
        <v>0</v>
      </c>
      <c r="I213">
        <f t="shared" si="21"/>
        <v>0</v>
      </c>
      <c r="J213">
        <f t="shared" si="22"/>
        <v>0</v>
      </c>
      <c r="K213">
        <f t="shared" si="23"/>
        <v>0</v>
      </c>
      <c r="L213">
        <f t="shared" si="24"/>
        <v>0</v>
      </c>
      <c r="M213">
        <f t="shared" si="25"/>
        <v>0</v>
      </c>
      <c r="N213">
        <f t="shared" si="26"/>
        <v>0</v>
      </c>
      <c r="O213">
        <f t="shared" si="27"/>
        <v>0</v>
      </c>
      <c r="P213">
        <f t="shared" si="28"/>
        <v>0</v>
      </c>
      <c r="Q213">
        <f t="shared" si="29"/>
        <v>0</v>
      </c>
      <c r="R213">
        <f t="shared" si="30"/>
        <v>0</v>
      </c>
      <c r="S213">
        <f t="shared" si="31"/>
        <v>0</v>
      </c>
      <c r="T213">
        <f t="shared" si="32"/>
        <v>0</v>
      </c>
      <c r="U213">
        <f t="shared" si="33"/>
        <v>0</v>
      </c>
      <c r="V213">
        <f t="shared" si="34"/>
        <v>0</v>
      </c>
    </row>
    <row r="214" spans="1:22" x14ac:dyDescent="0.3">
      <c r="A214">
        <v>33</v>
      </c>
      <c r="B214" t="str">
        <f t="shared" si="14"/>
        <v/>
      </c>
      <c r="C214">
        <f t="shared" si="15"/>
        <v>0</v>
      </c>
      <c r="D214">
        <f t="shared" si="16"/>
        <v>0</v>
      </c>
      <c r="E214">
        <f t="shared" si="17"/>
        <v>0</v>
      </c>
      <c r="F214">
        <f t="shared" si="18"/>
        <v>0</v>
      </c>
      <c r="G214">
        <f t="shared" si="19"/>
        <v>0</v>
      </c>
      <c r="H214">
        <f t="shared" si="20"/>
        <v>0</v>
      </c>
      <c r="I214">
        <f t="shared" si="21"/>
        <v>0</v>
      </c>
      <c r="J214">
        <f t="shared" si="22"/>
        <v>0</v>
      </c>
      <c r="K214">
        <f t="shared" si="23"/>
        <v>0</v>
      </c>
      <c r="L214">
        <f t="shared" si="24"/>
        <v>0</v>
      </c>
      <c r="M214">
        <f t="shared" si="25"/>
        <v>0</v>
      </c>
      <c r="N214">
        <f t="shared" si="26"/>
        <v>0</v>
      </c>
      <c r="O214">
        <f t="shared" si="27"/>
        <v>0</v>
      </c>
      <c r="P214">
        <f t="shared" si="28"/>
        <v>0</v>
      </c>
      <c r="Q214">
        <f t="shared" si="29"/>
        <v>0</v>
      </c>
      <c r="R214">
        <f t="shared" si="30"/>
        <v>0</v>
      </c>
      <c r="S214">
        <f t="shared" si="31"/>
        <v>0</v>
      </c>
      <c r="T214">
        <f t="shared" si="32"/>
        <v>0</v>
      </c>
      <c r="U214">
        <f t="shared" si="33"/>
        <v>0</v>
      </c>
      <c r="V214">
        <f t="shared" si="34"/>
        <v>0</v>
      </c>
    </row>
    <row r="215" spans="1:22" x14ac:dyDescent="0.3">
      <c r="A215">
        <v>34</v>
      </c>
      <c r="B215" t="str">
        <f t="shared" si="14"/>
        <v/>
      </c>
      <c r="C215">
        <f t="shared" si="15"/>
        <v>0</v>
      </c>
      <c r="D215">
        <f t="shared" si="16"/>
        <v>0</v>
      </c>
      <c r="E215">
        <f t="shared" si="17"/>
        <v>0</v>
      </c>
      <c r="F215">
        <f t="shared" si="18"/>
        <v>0</v>
      </c>
      <c r="G215">
        <f t="shared" si="19"/>
        <v>0</v>
      </c>
      <c r="H215">
        <f t="shared" si="20"/>
        <v>0</v>
      </c>
      <c r="I215">
        <f t="shared" si="21"/>
        <v>0</v>
      </c>
      <c r="J215">
        <f t="shared" si="22"/>
        <v>0</v>
      </c>
      <c r="K215">
        <f t="shared" si="23"/>
        <v>0</v>
      </c>
      <c r="L215">
        <f t="shared" si="24"/>
        <v>0</v>
      </c>
      <c r="M215">
        <f t="shared" si="25"/>
        <v>0</v>
      </c>
      <c r="N215">
        <f t="shared" si="26"/>
        <v>0</v>
      </c>
      <c r="O215">
        <f t="shared" si="27"/>
        <v>0</v>
      </c>
      <c r="P215">
        <f t="shared" si="28"/>
        <v>0</v>
      </c>
      <c r="Q215">
        <f t="shared" si="29"/>
        <v>0</v>
      </c>
      <c r="R215">
        <f t="shared" si="30"/>
        <v>0</v>
      </c>
      <c r="S215">
        <f t="shared" si="31"/>
        <v>0</v>
      </c>
      <c r="T215">
        <f t="shared" si="32"/>
        <v>0</v>
      </c>
      <c r="U215">
        <f t="shared" si="33"/>
        <v>0</v>
      </c>
      <c r="V215">
        <f t="shared" si="34"/>
        <v>0</v>
      </c>
    </row>
    <row r="216" spans="1:22" x14ac:dyDescent="0.3">
      <c r="A216">
        <v>35</v>
      </c>
      <c r="B216" t="str">
        <f t="shared" si="14"/>
        <v/>
      </c>
      <c r="C216">
        <f t="shared" si="15"/>
        <v>0</v>
      </c>
      <c r="D216">
        <f t="shared" si="16"/>
        <v>0</v>
      </c>
      <c r="E216">
        <f t="shared" si="17"/>
        <v>0</v>
      </c>
      <c r="F216">
        <f t="shared" si="18"/>
        <v>0</v>
      </c>
      <c r="G216">
        <f t="shared" si="19"/>
        <v>0</v>
      </c>
      <c r="H216">
        <f t="shared" si="20"/>
        <v>0</v>
      </c>
      <c r="I216">
        <f t="shared" si="21"/>
        <v>0</v>
      </c>
      <c r="J216">
        <f t="shared" si="22"/>
        <v>0</v>
      </c>
      <c r="K216">
        <f t="shared" si="23"/>
        <v>0</v>
      </c>
      <c r="L216">
        <f t="shared" si="24"/>
        <v>0</v>
      </c>
      <c r="M216">
        <f t="shared" si="25"/>
        <v>0</v>
      </c>
      <c r="N216">
        <f t="shared" si="26"/>
        <v>0</v>
      </c>
      <c r="O216">
        <f t="shared" si="27"/>
        <v>0</v>
      </c>
      <c r="P216">
        <f t="shared" si="28"/>
        <v>0</v>
      </c>
      <c r="Q216">
        <f t="shared" si="29"/>
        <v>0</v>
      </c>
      <c r="R216">
        <f t="shared" si="30"/>
        <v>0</v>
      </c>
      <c r="S216">
        <f t="shared" si="31"/>
        <v>0</v>
      </c>
      <c r="T216">
        <f t="shared" si="32"/>
        <v>0</v>
      </c>
      <c r="U216">
        <f t="shared" si="33"/>
        <v>0</v>
      </c>
      <c r="V216">
        <f t="shared" si="34"/>
        <v>0</v>
      </c>
    </row>
    <row r="217" spans="1:22" x14ac:dyDescent="0.3">
      <c r="A217">
        <v>36</v>
      </c>
      <c r="B217" t="str">
        <f t="shared" si="14"/>
        <v/>
      </c>
      <c r="C217">
        <f t="shared" si="15"/>
        <v>0</v>
      </c>
      <c r="D217">
        <f t="shared" si="16"/>
        <v>0</v>
      </c>
      <c r="E217">
        <f t="shared" si="17"/>
        <v>0</v>
      </c>
      <c r="F217">
        <f t="shared" si="18"/>
        <v>0</v>
      </c>
      <c r="G217">
        <f t="shared" si="19"/>
        <v>0</v>
      </c>
      <c r="H217">
        <f t="shared" si="20"/>
        <v>0</v>
      </c>
      <c r="I217">
        <f t="shared" si="21"/>
        <v>0</v>
      </c>
      <c r="J217">
        <f t="shared" si="22"/>
        <v>0</v>
      </c>
      <c r="K217">
        <f t="shared" si="23"/>
        <v>0</v>
      </c>
      <c r="L217">
        <f t="shared" si="24"/>
        <v>0</v>
      </c>
      <c r="M217">
        <f t="shared" si="25"/>
        <v>0</v>
      </c>
      <c r="N217">
        <f t="shared" si="26"/>
        <v>0</v>
      </c>
      <c r="O217">
        <f t="shared" si="27"/>
        <v>0</v>
      </c>
      <c r="P217">
        <f t="shared" si="28"/>
        <v>0</v>
      </c>
      <c r="Q217">
        <f t="shared" si="29"/>
        <v>0</v>
      </c>
      <c r="R217">
        <f t="shared" si="30"/>
        <v>0</v>
      </c>
      <c r="S217">
        <f t="shared" si="31"/>
        <v>0</v>
      </c>
      <c r="T217">
        <f t="shared" si="32"/>
        <v>0</v>
      </c>
      <c r="U217">
        <f t="shared" si="33"/>
        <v>0</v>
      </c>
      <c r="V217">
        <f t="shared" si="34"/>
        <v>0</v>
      </c>
    </row>
    <row r="218" spans="1:22" x14ac:dyDescent="0.3">
      <c r="A218">
        <v>37</v>
      </c>
      <c r="B218" t="str">
        <f t="shared" si="14"/>
        <v/>
      </c>
      <c r="C218">
        <f t="shared" si="15"/>
        <v>0</v>
      </c>
      <c r="D218">
        <f t="shared" si="16"/>
        <v>0</v>
      </c>
      <c r="E218">
        <f t="shared" si="17"/>
        <v>0</v>
      </c>
      <c r="F218">
        <f t="shared" si="18"/>
        <v>0</v>
      </c>
      <c r="G218">
        <f t="shared" si="19"/>
        <v>0</v>
      </c>
      <c r="H218">
        <f t="shared" si="20"/>
        <v>0</v>
      </c>
      <c r="I218">
        <f t="shared" si="21"/>
        <v>0</v>
      </c>
      <c r="J218">
        <f t="shared" si="22"/>
        <v>0</v>
      </c>
      <c r="K218">
        <f t="shared" si="23"/>
        <v>0</v>
      </c>
      <c r="L218">
        <f t="shared" si="24"/>
        <v>0</v>
      </c>
      <c r="M218">
        <f t="shared" si="25"/>
        <v>0</v>
      </c>
      <c r="N218">
        <f t="shared" si="26"/>
        <v>0</v>
      </c>
      <c r="O218">
        <f t="shared" si="27"/>
        <v>0</v>
      </c>
      <c r="P218">
        <f t="shared" si="28"/>
        <v>0</v>
      </c>
      <c r="Q218">
        <f t="shared" si="29"/>
        <v>0</v>
      </c>
      <c r="R218">
        <f t="shared" si="30"/>
        <v>0</v>
      </c>
      <c r="S218">
        <f t="shared" si="31"/>
        <v>0</v>
      </c>
      <c r="T218">
        <f t="shared" si="32"/>
        <v>0</v>
      </c>
      <c r="U218">
        <f t="shared" si="33"/>
        <v>0</v>
      </c>
      <c r="V218">
        <f t="shared" si="34"/>
        <v>0</v>
      </c>
    </row>
    <row r="219" spans="1:22" x14ac:dyDescent="0.3">
      <c r="A219">
        <v>38</v>
      </c>
      <c r="B219" t="str">
        <f t="shared" si="14"/>
        <v/>
      </c>
      <c r="C219">
        <f t="shared" si="15"/>
        <v>0</v>
      </c>
      <c r="D219">
        <f t="shared" si="16"/>
        <v>0</v>
      </c>
      <c r="E219">
        <f t="shared" si="17"/>
        <v>0</v>
      </c>
      <c r="F219">
        <f t="shared" si="18"/>
        <v>0</v>
      </c>
      <c r="G219">
        <f t="shared" si="19"/>
        <v>0</v>
      </c>
      <c r="H219">
        <f t="shared" si="20"/>
        <v>0</v>
      </c>
      <c r="I219">
        <f t="shared" si="21"/>
        <v>0</v>
      </c>
      <c r="J219">
        <f t="shared" si="22"/>
        <v>0</v>
      </c>
      <c r="K219">
        <f t="shared" si="23"/>
        <v>0</v>
      </c>
      <c r="L219">
        <f t="shared" si="24"/>
        <v>0</v>
      </c>
      <c r="M219">
        <f t="shared" si="25"/>
        <v>0</v>
      </c>
      <c r="N219">
        <f t="shared" si="26"/>
        <v>0</v>
      </c>
      <c r="O219">
        <f t="shared" si="27"/>
        <v>0</v>
      </c>
      <c r="P219">
        <f t="shared" si="28"/>
        <v>0</v>
      </c>
      <c r="Q219">
        <f t="shared" si="29"/>
        <v>0</v>
      </c>
      <c r="R219">
        <f t="shared" si="30"/>
        <v>0</v>
      </c>
      <c r="S219">
        <f t="shared" si="31"/>
        <v>0</v>
      </c>
      <c r="T219">
        <f t="shared" si="32"/>
        <v>0</v>
      </c>
      <c r="U219">
        <f t="shared" si="33"/>
        <v>0</v>
      </c>
      <c r="V219">
        <f t="shared" si="34"/>
        <v>0</v>
      </c>
    </row>
    <row r="220" spans="1:22" x14ac:dyDescent="0.3">
      <c r="A220">
        <v>39</v>
      </c>
      <c r="B220" t="str">
        <f t="shared" si="14"/>
        <v/>
      </c>
      <c r="C220">
        <f t="shared" si="15"/>
        <v>0</v>
      </c>
      <c r="D220">
        <f t="shared" si="16"/>
        <v>0</v>
      </c>
      <c r="E220">
        <f t="shared" si="17"/>
        <v>0</v>
      </c>
      <c r="F220">
        <f t="shared" si="18"/>
        <v>0</v>
      </c>
      <c r="G220">
        <f t="shared" si="19"/>
        <v>0</v>
      </c>
      <c r="H220">
        <f t="shared" si="20"/>
        <v>0</v>
      </c>
      <c r="I220">
        <f t="shared" si="21"/>
        <v>0</v>
      </c>
      <c r="J220">
        <f t="shared" si="22"/>
        <v>0</v>
      </c>
      <c r="K220">
        <f t="shared" si="23"/>
        <v>0</v>
      </c>
      <c r="L220">
        <f t="shared" si="24"/>
        <v>0</v>
      </c>
      <c r="M220">
        <f t="shared" si="25"/>
        <v>0</v>
      </c>
      <c r="N220">
        <f t="shared" si="26"/>
        <v>0</v>
      </c>
      <c r="O220">
        <f t="shared" si="27"/>
        <v>0</v>
      </c>
      <c r="P220">
        <f t="shared" si="28"/>
        <v>0</v>
      </c>
      <c r="Q220">
        <f t="shared" si="29"/>
        <v>0</v>
      </c>
      <c r="R220">
        <f t="shared" si="30"/>
        <v>0</v>
      </c>
      <c r="S220">
        <f t="shared" si="31"/>
        <v>0</v>
      </c>
      <c r="T220">
        <f t="shared" si="32"/>
        <v>0</v>
      </c>
      <c r="U220">
        <f t="shared" si="33"/>
        <v>0</v>
      </c>
      <c r="V220">
        <f t="shared" si="34"/>
        <v>0</v>
      </c>
    </row>
    <row r="221" spans="1:22" x14ac:dyDescent="0.3">
      <c r="A221">
        <v>40</v>
      </c>
      <c r="B221" t="str">
        <f t="shared" si="14"/>
        <v/>
      </c>
      <c r="C221">
        <f t="shared" si="15"/>
        <v>0</v>
      </c>
      <c r="D221">
        <f t="shared" si="16"/>
        <v>0</v>
      </c>
      <c r="E221">
        <f t="shared" si="17"/>
        <v>0</v>
      </c>
      <c r="F221">
        <f t="shared" si="18"/>
        <v>0</v>
      </c>
      <c r="G221">
        <f t="shared" si="19"/>
        <v>0</v>
      </c>
      <c r="H221">
        <f t="shared" si="20"/>
        <v>0</v>
      </c>
      <c r="I221">
        <f t="shared" si="21"/>
        <v>0</v>
      </c>
      <c r="J221">
        <f t="shared" si="22"/>
        <v>0</v>
      </c>
      <c r="K221">
        <f t="shared" si="23"/>
        <v>0</v>
      </c>
      <c r="L221">
        <f t="shared" si="24"/>
        <v>0</v>
      </c>
      <c r="M221">
        <f t="shared" si="25"/>
        <v>0</v>
      </c>
      <c r="N221">
        <f t="shared" si="26"/>
        <v>0</v>
      </c>
      <c r="O221">
        <f t="shared" si="27"/>
        <v>0</v>
      </c>
      <c r="P221">
        <f t="shared" si="28"/>
        <v>0</v>
      </c>
      <c r="Q221">
        <f t="shared" si="29"/>
        <v>0</v>
      </c>
      <c r="R221">
        <f t="shared" si="30"/>
        <v>0</v>
      </c>
      <c r="S221">
        <f t="shared" si="31"/>
        <v>0</v>
      </c>
      <c r="T221">
        <f t="shared" si="32"/>
        <v>0</v>
      </c>
      <c r="U221">
        <f t="shared" si="33"/>
        <v>0</v>
      </c>
      <c r="V221">
        <f t="shared" si="34"/>
        <v>0</v>
      </c>
    </row>
    <row r="222" spans="1:22" x14ac:dyDescent="0.3">
      <c r="A222">
        <v>41</v>
      </c>
      <c r="B222" t="str">
        <f t="shared" si="14"/>
        <v/>
      </c>
      <c r="C222">
        <f t="shared" si="15"/>
        <v>0</v>
      </c>
      <c r="D222">
        <f t="shared" si="16"/>
        <v>0</v>
      </c>
      <c r="E222">
        <f t="shared" si="17"/>
        <v>0</v>
      </c>
      <c r="F222">
        <f t="shared" si="18"/>
        <v>0</v>
      </c>
      <c r="G222">
        <f t="shared" si="19"/>
        <v>0</v>
      </c>
      <c r="H222">
        <f t="shared" si="20"/>
        <v>0</v>
      </c>
      <c r="I222">
        <f t="shared" si="21"/>
        <v>0</v>
      </c>
      <c r="J222">
        <f t="shared" si="22"/>
        <v>0</v>
      </c>
      <c r="K222">
        <f t="shared" si="23"/>
        <v>0</v>
      </c>
      <c r="L222">
        <f t="shared" si="24"/>
        <v>0</v>
      </c>
      <c r="M222">
        <f t="shared" si="25"/>
        <v>0</v>
      </c>
      <c r="N222">
        <f t="shared" si="26"/>
        <v>0</v>
      </c>
      <c r="O222">
        <f t="shared" si="27"/>
        <v>0</v>
      </c>
      <c r="P222">
        <f t="shared" si="28"/>
        <v>0</v>
      </c>
      <c r="Q222">
        <f t="shared" si="29"/>
        <v>0</v>
      </c>
      <c r="R222">
        <f t="shared" si="30"/>
        <v>0</v>
      </c>
      <c r="S222">
        <f t="shared" si="31"/>
        <v>0</v>
      </c>
      <c r="T222">
        <f t="shared" si="32"/>
        <v>0</v>
      </c>
      <c r="U222">
        <f t="shared" si="33"/>
        <v>0</v>
      </c>
      <c r="V222">
        <f t="shared" si="34"/>
        <v>0</v>
      </c>
    </row>
    <row r="223" spans="1:22" x14ac:dyDescent="0.3">
      <c r="A223">
        <v>42</v>
      </c>
      <c r="B223" t="str">
        <f t="shared" si="14"/>
        <v/>
      </c>
      <c r="C223">
        <f t="shared" si="15"/>
        <v>0</v>
      </c>
      <c r="D223">
        <f t="shared" si="16"/>
        <v>0</v>
      </c>
      <c r="E223">
        <f t="shared" si="17"/>
        <v>0</v>
      </c>
      <c r="F223">
        <f t="shared" si="18"/>
        <v>0</v>
      </c>
      <c r="G223">
        <f t="shared" si="19"/>
        <v>0</v>
      </c>
      <c r="H223">
        <f t="shared" si="20"/>
        <v>0</v>
      </c>
      <c r="I223">
        <f t="shared" si="21"/>
        <v>0</v>
      </c>
      <c r="J223">
        <f t="shared" si="22"/>
        <v>0</v>
      </c>
      <c r="K223">
        <f t="shared" si="23"/>
        <v>0</v>
      </c>
      <c r="L223">
        <f t="shared" si="24"/>
        <v>0</v>
      </c>
      <c r="M223">
        <f t="shared" si="25"/>
        <v>0</v>
      </c>
      <c r="N223">
        <f t="shared" si="26"/>
        <v>0</v>
      </c>
      <c r="O223">
        <f t="shared" si="27"/>
        <v>0</v>
      </c>
      <c r="P223">
        <f t="shared" si="28"/>
        <v>0</v>
      </c>
      <c r="Q223">
        <f t="shared" si="29"/>
        <v>0</v>
      </c>
      <c r="R223">
        <f t="shared" si="30"/>
        <v>0</v>
      </c>
      <c r="S223">
        <f t="shared" si="31"/>
        <v>0</v>
      </c>
      <c r="T223">
        <f t="shared" si="32"/>
        <v>0</v>
      </c>
      <c r="U223">
        <f t="shared" si="33"/>
        <v>0</v>
      </c>
      <c r="V223">
        <f t="shared" si="34"/>
        <v>0</v>
      </c>
    </row>
    <row r="224" spans="1:22" x14ac:dyDescent="0.3">
      <c r="A224">
        <v>43</v>
      </c>
      <c r="B224" t="str">
        <f t="shared" si="14"/>
        <v/>
      </c>
      <c r="C224">
        <f t="shared" si="15"/>
        <v>0</v>
      </c>
      <c r="D224">
        <f t="shared" si="16"/>
        <v>0</v>
      </c>
      <c r="E224">
        <f t="shared" si="17"/>
        <v>0</v>
      </c>
      <c r="F224">
        <f t="shared" si="18"/>
        <v>0</v>
      </c>
      <c r="G224">
        <f t="shared" si="19"/>
        <v>0</v>
      </c>
      <c r="H224">
        <f t="shared" si="20"/>
        <v>0</v>
      </c>
      <c r="I224">
        <f t="shared" si="21"/>
        <v>0</v>
      </c>
      <c r="J224">
        <f t="shared" si="22"/>
        <v>0</v>
      </c>
      <c r="K224">
        <f t="shared" si="23"/>
        <v>0</v>
      </c>
      <c r="L224">
        <f t="shared" si="24"/>
        <v>0</v>
      </c>
      <c r="M224">
        <f t="shared" si="25"/>
        <v>0</v>
      </c>
      <c r="N224">
        <f t="shared" si="26"/>
        <v>0</v>
      </c>
      <c r="O224">
        <f t="shared" si="27"/>
        <v>0</v>
      </c>
      <c r="P224">
        <f t="shared" si="28"/>
        <v>0</v>
      </c>
      <c r="Q224">
        <f t="shared" si="29"/>
        <v>0</v>
      </c>
      <c r="R224">
        <f t="shared" si="30"/>
        <v>0</v>
      </c>
      <c r="S224">
        <f t="shared" si="31"/>
        <v>0</v>
      </c>
      <c r="T224">
        <f t="shared" si="32"/>
        <v>0</v>
      </c>
      <c r="U224">
        <f t="shared" si="33"/>
        <v>0</v>
      </c>
      <c r="V224">
        <f t="shared" si="34"/>
        <v>0</v>
      </c>
    </row>
    <row r="225" spans="1:22" x14ac:dyDescent="0.3">
      <c r="A225">
        <v>44</v>
      </c>
      <c r="B225" t="str">
        <f t="shared" si="14"/>
        <v/>
      </c>
      <c r="C225">
        <f t="shared" si="15"/>
        <v>0</v>
      </c>
      <c r="D225">
        <f t="shared" si="16"/>
        <v>0</v>
      </c>
      <c r="E225">
        <f t="shared" si="17"/>
        <v>0</v>
      </c>
      <c r="F225">
        <f t="shared" si="18"/>
        <v>0</v>
      </c>
      <c r="G225">
        <f t="shared" si="19"/>
        <v>0</v>
      </c>
      <c r="H225">
        <f t="shared" si="20"/>
        <v>0</v>
      </c>
      <c r="I225">
        <f t="shared" si="21"/>
        <v>0</v>
      </c>
      <c r="J225">
        <f t="shared" si="22"/>
        <v>0</v>
      </c>
      <c r="K225">
        <f t="shared" si="23"/>
        <v>0</v>
      </c>
      <c r="L225">
        <f t="shared" si="24"/>
        <v>0</v>
      </c>
      <c r="M225">
        <f t="shared" si="25"/>
        <v>0</v>
      </c>
      <c r="N225">
        <f t="shared" si="26"/>
        <v>0</v>
      </c>
      <c r="O225">
        <f t="shared" si="27"/>
        <v>0</v>
      </c>
      <c r="P225">
        <f t="shared" si="28"/>
        <v>0</v>
      </c>
      <c r="Q225">
        <f t="shared" si="29"/>
        <v>0</v>
      </c>
      <c r="R225">
        <f t="shared" si="30"/>
        <v>0</v>
      </c>
      <c r="S225">
        <f t="shared" si="31"/>
        <v>0</v>
      </c>
      <c r="T225">
        <f t="shared" si="32"/>
        <v>0</v>
      </c>
      <c r="U225">
        <f t="shared" si="33"/>
        <v>0</v>
      </c>
      <c r="V225">
        <f t="shared" si="34"/>
        <v>0</v>
      </c>
    </row>
    <row r="226" spans="1:22" x14ac:dyDescent="0.3">
      <c r="A226">
        <v>45</v>
      </c>
      <c r="B226" t="str">
        <f t="shared" si="14"/>
        <v/>
      </c>
      <c r="C226">
        <f t="shared" si="15"/>
        <v>0</v>
      </c>
      <c r="D226">
        <f t="shared" si="16"/>
        <v>0</v>
      </c>
      <c r="E226">
        <f t="shared" si="17"/>
        <v>0</v>
      </c>
      <c r="F226">
        <f t="shared" si="18"/>
        <v>0</v>
      </c>
      <c r="G226">
        <f t="shared" si="19"/>
        <v>0</v>
      </c>
      <c r="H226">
        <f t="shared" si="20"/>
        <v>0</v>
      </c>
      <c r="I226">
        <f t="shared" si="21"/>
        <v>0</v>
      </c>
      <c r="J226">
        <f t="shared" si="22"/>
        <v>0</v>
      </c>
      <c r="K226">
        <f t="shared" si="23"/>
        <v>0</v>
      </c>
      <c r="L226">
        <f t="shared" si="24"/>
        <v>0</v>
      </c>
      <c r="M226">
        <f t="shared" si="25"/>
        <v>0</v>
      </c>
      <c r="N226">
        <f t="shared" si="26"/>
        <v>0</v>
      </c>
      <c r="O226">
        <f t="shared" si="27"/>
        <v>0</v>
      </c>
      <c r="P226">
        <f t="shared" si="28"/>
        <v>0</v>
      </c>
      <c r="Q226">
        <f t="shared" si="29"/>
        <v>0</v>
      </c>
      <c r="R226">
        <f t="shared" si="30"/>
        <v>0</v>
      </c>
      <c r="S226">
        <f t="shared" si="31"/>
        <v>0</v>
      </c>
      <c r="T226">
        <f t="shared" si="32"/>
        <v>0</v>
      </c>
      <c r="U226">
        <f t="shared" si="33"/>
        <v>0</v>
      </c>
      <c r="V226">
        <f t="shared" si="34"/>
        <v>0</v>
      </c>
    </row>
    <row r="229" spans="1:22" x14ac:dyDescent="0.3">
      <c r="A229" t="s">
        <v>160</v>
      </c>
    </row>
    <row r="230" spans="1:22" x14ac:dyDescent="0.3">
      <c r="C230">
        <f t="shared" ref="C230:C274" si="35">IF($B$3="",-1,IF($D$3="Chính",1000,0)+C182+(20-1)/100000)</f>
        <v>-1</v>
      </c>
      <c r="D230">
        <f t="shared" ref="D230:D274" si="36">IF($B$4="",-1,IF($D$4="Chính",1000,0)+D182+(20-2)/100000)</f>
        <v>-1</v>
      </c>
      <c r="E230">
        <f t="shared" ref="E230:E274" si="37">IF($B$5="",-1,IF($D$5="Chính",1000,0)+E182+(20-3)/100000)</f>
        <v>-1</v>
      </c>
      <c r="F230">
        <f t="shared" ref="F230:F274" si="38">IF($B$6="",-1,IF($D$6="Chính",1000,0)+F182+(20-4)/100000)</f>
        <v>-1</v>
      </c>
      <c r="G230">
        <f t="shared" ref="G230:G274" si="39">IF($B$7="",-1,IF($D$7="Chính",1000,0)+G182+(20-5)/100000)</f>
        <v>-1</v>
      </c>
      <c r="H230">
        <f t="shared" ref="H230:H274" si="40">IF($B$8="",-1,IF($D$8="Chính",1000,0)+H182+(20-6)/100000)</f>
        <v>-1</v>
      </c>
      <c r="I230">
        <f t="shared" ref="I230:I274" si="41">IF($B$9="",-1,IF($D$9="Chính",1000,0)+I182+(20-7)/100000)</f>
        <v>-1</v>
      </c>
      <c r="J230">
        <f t="shared" ref="J230:J274" si="42">IF($B$10="",-1,IF($D$10="Chính",1000,0)+J182+(20-8)/100000)</f>
        <v>-1</v>
      </c>
      <c r="K230">
        <f t="shared" ref="K230:K274" si="43">IF($B$11="",-1,IF($D$11="Chính",1000,0)+K182+(20-9)/100000)</f>
        <v>-1</v>
      </c>
      <c r="L230">
        <f t="shared" ref="L230:L274" si="44">IF($B$12="",-1,IF($D$12="Chính",1000,0)+L182+(20-10)/100000)</f>
        <v>-1</v>
      </c>
      <c r="M230">
        <f t="shared" ref="M230:M274" si="45">IF($B$13="",-1,IF($D$13="Chính",1000,0)+M182+(20-11)/100000)</f>
        <v>-1</v>
      </c>
      <c r="N230">
        <f t="shared" ref="N230:N274" si="46">IF($B$14="",-1,IF($D$14="Chính",1000,0)+N182+(20-12)/100000)</f>
        <v>-1</v>
      </c>
      <c r="O230">
        <f t="shared" ref="O230:O274" si="47">IF($B$15="",-1,IF($D$15="Chính",1000,0)+O182+(20-13)/100000)</f>
        <v>-1</v>
      </c>
      <c r="P230">
        <f t="shared" ref="P230:P274" si="48">IF($B$16="",-1,IF($D$16="Chính",1000,0)+P182+(20-14)/100000)</f>
        <v>-1</v>
      </c>
      <c r="Q230">
        <f t="shared" ref="Q230:Q274" si="49">IF($B$17="",-1,IF($D$17="Chính",1000,0)+Q182+(20-15)/100000)</f>
        <v>-1</v>
      </c>
      <c r="R230">
        <f t="shared" ref="R230:R274" si="50">IF($B$18="",-1,IF($D$18="Chính",1000,0)+R182+(20-16)/100000)</f>
        <v>-1</v>
      </c>
      <c r="S230">
        <f t="shared" ref="S230:S274" si="51">IF($B$19="",-1,IF($D$19="Chính",1000,0)+S182+(20-17)/100000)</f>
        <v>-1</v>
      </c>
      <c r="T230">
        <f t="shared" ref="T230:T274" si="52">IF($B$20="",-1,IF($D$20="Chính",1000,0)+T182+(20-18)/100000)</f>
        <v>-1</v>
      </c>
      <c r="U230">
        <f t="shared" ref="U230:U274" si="53">IF($B$21="",-1,IF($D$21="Chính",1000,0)+U182+(20-19)/100000)</f>
        <v>-1</v>
      </c>
      <c r="V230">
        <f t="shared" ref="V230:V274" si="54">IF($B$22="",-1,IF($D$22="Chính",1000,0)+V182+(20-20)/100000)</f>
        <v>-1</v>
      </c>
    </row>
    <row r="231" spans="1:22" x14ac:dyDescent="0.3">
      <c r="C231">
        <f t="shared" si="35"/>
        <v>-1</v>
      </c>
      <c r="D231">
        <f t="shared" si="36"/>
        <v>-1</v>
      </c>
      <c r="E231">
        <f t="shared" si="37"/>
        <v>-1</v>
      </c>
      <c r="F231">
        <f t="shared" si="38"/>
        <v>-1</v>
      </c>
      <c r="G231">
        <f t="shared" si="39"/>
        <v>-1</v>
      </c>
      <c r="H231">
        <f t="shared" si="40"/>
        <v>-1</v>
      </c>
      <c r="I231">
        <f t="shared" si="41"/>
        <v>-1</v>
      </c>
      <c r="J231">
        <f t="shared" si="42"/>
        <v>-1</v>
      </c>
      <c r="K231">
        <f t="shared" si="43"/>
        <v>-1</v>
      </c>
      <c r="L231">
        <f t="shared" si="44"/>
        <v>-1</v>
      </c>
      <c r="M231">
        <f t="shared" si="45"/>
        <v>-1</v>
      </c>
      <c r="N231">
        <f t="shared" si="46"/>
        <v>-1</v>
      </c>
      <c r="O231">
        <f t="shared" si="47"/>
        <v>-1</v>
      </c>
      <c r="P231">
        <f t="shared" si="48"/>
        <v>-1</v>
      </c>
      <c r="Q231">
        <f t="shared" si="49"/>
        <v>-1</v>
      </c>
      <c r="R231">
        <f t="shared" si="50"/>
        <v>-1</v>
      </c>
      <c r="S231">
        <f t="shared" si="51"/>
        <v>-1</v>
      </c>
      <c r="T231">
        <f t="shared" si="52"/>
        <v>-1</v>
      </c>
      <c r="U231">
        <f t="shared" si="53"/>
        <v>-1</v>
      </c>
      <c r="V231">
        <f t="shared" si="54"/>
        <v>-1</v>
      </c>
    </row>
    <row r="232" spans="1:22" x14ac:dyDescent="0.3">
      <c r="C232">
        <f t="shared" si="35"/>
        <v>-1</v>
      </c>
      <c r="D232">
        <f t="shared" si="36"/>
        <v>-1</v>
      </c>
      <c r="E232">
        <f t="shared" si="37"/>
        <v>-1</v>
      </c>
      <c r="F232">
        <f t="shared" si="38"/>
        <v>-1</v>
      </c>
      <c r="G232">
        <f t="shared" si="39"/>
        <v>-1</v>
      </c>
      <c r="H232">
        <f t="shared" si="40"/>
        <v>-1</v>
      </c>
      <c r="I232">
        <f t="shared" si="41"/>
        <v>-1</v>
      </c>
      <c r="J232">
        <f t="shared" si="42"/>
        <v>-1</v>
      </c>
      <c r="K232">
        <f t="shared" si="43"/>
        <v>-1</v>
      </c>
      <c r="L232">
        <f t="shared" si="44"/>
        <v>-1</v>
      </c>
      <c r="M232">
        <f t="shared" si="45"/>
        <v>-1</v>
      </c>
      <c r="N232">
        <f t="shared" si="46"/>
        <v>-1</v>
      </c>
      <c r="O232">
        <f t="shared" si="47"/>
        <v>-1</v>
      </c>
      <c r="P232">
        <f t="shared" si="48"/>
        <v>-1</v>
      </c>
      <c r="Q232">
        <f t="shared" si="49"/>
        <v>-1</v>
      </c>
      <c r="R232">
        <f t="shared" si="50"/>
        <v>-1</v>
      </c>
      <c r="S232">
        <f t="shared" si="51"/>
        <v>-1</v>
      </c>
      <c r="T232">
        <f t="shared" si="52"/>
        <v>-1</v>
      </c>
      <c r="U232">
        <f t="shared" si="53"/>
        <v>-1</v>
      </c>
      <c r="V232">
        <f t="shared" si="54"/>
        <v>-1</v>
      </c>
    </row>
    <row r="233" spans="1:22" x14ac:dyDescent="0.3">
      <c r="C233">
        <f t="shared" si="35"/>
        <v>-1</v>
      </c>
      <c r="D233">
        <f t="shared" si="36"/>
        <v>-1</v>
      </c>
      <c r="E233">
        <f t="shared" si="37"/>
        <v>-1</v>
      </c>
      <c r="F233">
        <f t="shared" si="38"/>
        <v>-1</v>
      </c>
      <c r="G233">
        <f t="shared" si="39"/>
        <v>-1</v>
      </c>
      <c r="H233">
        <f t="shared" si="40"/>
        <v>-1</v>
      </c>
      <c r="I233">
        <f t="shared" si="41"/>
        <v>-1</v>
      </c>
      <c r="J233">
        <f t="shared" si="42"/>
        <v>-1</v>
      </c>
      <c r="K233">
        <f t="shared" si="43"/>
        <v>-1</v>
      </c>
      <c r="L233">
        <f t="shared" si="44"/>
        <v>-1</v>
      </c>
      <c r="M233">
        <f t="shared" si="45"/>
        <v>-1</v>
      </c>
      <c r="N233">
        <f t="shared" si="46"/>
        <v>-1</v>
      </c>
      <c r="O233">
        <f t="shared" si="47"/>
        <v>-1</v>
      </c>
      <c r="P233">
        <f t="shared" si="48"/>
        <v>-1</v>
      </c>
      <c r="Q233">
        <f t="shared" si="49"/>
        <v>-1</v>
      </c>
      <c r="R233">
        <f t="shared" si="50"/>
        <v>-1</v>
      </c>
      <c r="S233">
        <f t="shared" si="51"/>
        <v>-1</v>
      </c>
      <c r="T233">
        <f t="shared" si="52"/>
        <v>-1</v>
      </c>
      <c r="U233">
        <f t="shared" si="53"/>
        <v>-1</v>
      </c>
      <c r="V233">
        <f t="shared" si="54"/>
        <v>-1</v>
      </c>
    </row>
    <row r="234" spans="1:22" x14ac:dyDescent="0.3">
      <c r="C234">
        <f t="shared" si="35"/>
        <v>-1</v>
      </c>
      <c r="D234">
        <f t="shared" si="36"/>
        <v>-1</v>
      </c>
      <c r="E234">
        <f t="shared" si="37"/>
        <v>-1</v>
      </c>
      <c r="F234">
        <f t="shared" si="38"/>
        <v>-1</v>
      </c>
      <c r="G234">
        <f t="shared" si="39"/>
        <v>-1</v>
      </c>
      <c r="H234">
        <f t="shared" si="40"/>
        <v>-1</v>
      </c>
      <c r="I234">
        <f t="shared" si="41"/>
        <v>-1</v>
      </c>
      <c r="J234">
        <f t="shared" si="42"/>
        <v>-1</v>
      </c>
      <c r="K234">
        <f t="shared" si="43"/>
        <v>-1</v>
      </c>
      <c r="L234">
        <f t="shared" si="44"/>
        <v>-1</v>
      </c>
      <c r="M234">
        <f t="shared" si="45"/>
        <v>-1</v>
      </c>
      <c r="N234">
        <f t="shared" si="46"/>
        <v>-1</v>
      </c>
      <c r="O234">
        <f t="shared" si="47"/>
        <v>-1</v>
      </c>
      <c r="P234">
        <f t="shared" si="48"/>
        <v>-1</v>
      </c>
      <c r="Q234">
        <f t="shared" si="49"/>
        <v>-1</v>
      </c>
      <c r="R234">
        <f t="shared" si="50"/>
        <v>-1</v>
      </c>
      <c r="S234">
        <f t="shared" si="51"/>
        <v>-1</v>
      </c>
      <c r="T234">
        <f t="shared" si="52"/>
        <v>-1</v>
      </c>
      <c r="U234">
        <f t="shared" si="53"/>
        <v>-1</v>
      </c>
      <c r="V234">
        <f t="shared" si="54"/>
        <v>-1</v>
      </c>
    </row>
    <row r="235" spans="1:22" x14ac:dyDescent="0.3">
      <c r="C235">
        <f t="shared" si="35"/>
        <v>-1</v>
      </c>
      <c r="D235">
        <f t="shared" si="36"/>
        <v>-1</v>
      </c>
      <c r="E235">
        <f t="shared" si="37"/>
        <v>-1</v>
      </c>
      <c r="F235">
        <f t="shared" si="38"/>
        <v>-1</v>
      </c>
      <c r="G235">
        <f t="shared" si="39"/>
        <v>-1</v>
      </c>
      <c r="H235">
        <f t="shared" si="40"/>
        <v>-1</v>
      </c>
      <c r="I235">
        <f t="shared" si="41"/>
        <v>-1</v>
      </c>
      <c r="J235">
        <f t="shared" si="42"/>
        <v>-1</v>
      </c>
      <c r="K235">
        <f t="shared" si="43"/>
        <v>-1</v>
      </c>
      <c r="L235">
        <f t="shared" si="44"/>
        <v>-1</v>
      </c>
      <c r="M235">
        <f t="shared" si="45"/>
        <v>-1</v>
      </c>
      <c r="N235">
        <f t="shared" si="46"/>
        <v>-1</v>
      </c>
      <c r="O235">
        <f t="shared" si="47"/>
        <v>-1</v>
      </c>
      <c r="P235">
        <f t="shared" si="48"/>
        <v>-1</v>
      </c>
      <c r="Q235">
        <f t="shared" si="49"/>
        <v>-1</v>
      </c>
      <c r="R235">
        <f t="shared" si="50"/>
        <v>-1</v>
      </c>
      <c r="S235">
        <f t="shared" si="51"/>
        <v>-1</v>
      </c>
      <c r="T235">
        <f t="shared" si="52"/>
        <v>-1</v>
      </c>
      <c r="U235">
        <f t="shared" si="53"/>
        <v>-1</v>
      </c>
      <c r="V235">
        <f t="shared" si="54"/>
        <v>-1</v>
      </c>
    </row>
    <row r="236" spans="1:22" x14ac:dyDescent="0.3">
      <c r="C236">
        <f t="shared" si="35"/>
        <v>-1</v>
      </c>
      <c r="D236">
        <f t="shared" si="36"/>
        <v>-1</v>
      </c>
      <c r="E236">
        <f t="shared" si="37"/>
        <v>-1</v>
      </c>
      <c r="F236">
        <f t="shared" si="38"/>
        <v>-1</v>
      </c>
      <c r="G236">
        <f t="shared" si="39"/>
        <v>-1</v>
      </c>
      <c r="H236">
        <f t="shared" si="40"/>
        <v>-1</v>
      </c>
      <c r="I236">
        <f t="shared" si="41"/>
        <v>-1</v>
      </c>
      <c r="J236">
        <f t="shared" si="42"/>
        <v>-1</v>
      </c>
      <c r="K236">
        <f t="shared" si="43"/>
        <v>-1</v>
      </c>
      <c r="L236">
        <f t="shared" si="44"/>
        <v>-1</v>
      </c>
      <c r="M236">
        <f t="shared" si="45"/>
        <v>-1</v>
      </c>
      <c r="N236">
        <f t="shared" si="46"/>
        <v>-1</v>
      </c>
      <c r="O236">
        <f t="shared" si="47"/>
        <v>-1</v>
      </c>
      <c r="P236">
        <f t="shared" si="48"/>
        <v>-1</v>
      </c>
      <c r="Q236">
        <f t="shared" si="49"/>
        <v>-1</v>
      </c>
      <c r="R236">
        <f t="shared" si="50"/>
        <v>-1</v>
      </c>
      <c r="S236">
        <f t="shared" si="51"/>
        <v>-1</v>
      </c>
      <c r="T236">
        <f t="shared" si="52"/>
        <v>-1</v>
      </c>
      <c r="U236">
        <f t="shared" si="53"/>
        <v>-1</v>
      </c>
      <c r="V236">
        <f t="shared" si="54"/>
        <v>-1</v>
      </c>
    </row>
    <row r="237" spans="1:22" x14ac:dyDescent="0.3">
      <c r="C237">
        <f t="shared" si="35"/>
        <v>-1</v>
      </c>
      <c r="D237">
        <f t="shared" si="36"/>
        <v>-1</v>
      </c>
      <c r="E237">
        <f t="shared" si="37"/>
        <v>-1</v>
      </c>
      <c r="F237">
        <f t="shared" si="38"/>
        <v>-1</v>
      </c>
      <c r="G237">
        <f t="shared" si="39"/>
        <v>-1</v>
      </c>
      <c r="H237">
        <f t="shared" si="40"/>
        <v>-1</v>
      </c>
      <c r="I237">
        <f t="shared" si="41"/>
        <v>-1</v>
      </c>
      <c r="J237">
        <f t="shared" si="42"/>
        <v>-1</v>
      </c>
      <c r="K237">
        <f t="shared" si="43"/>
        <v>-1</v>
      </c>
      <c r="L237">
        <f t="shared" si="44"/>
        <v>-1</v>
      </c>
      <c r="M237">
        <f t="shared" si="45"/>
        <v>-1</v>
      </c>
      <c r="N237">
        <f t="shared" si="46"/>
        <v>-1</v>
      </c>
      <c r="O237">
        <f t="shared" si="47"/>
        <v>-1</v>
      </c>
      <c r="P237">
        <f t="shared" si="48"/>
        <v>-1</v>
      </c>
      <c r="Q237">
        <f t="shared" si="49"/>
        <v>-1</v>
      </c>
      <c r="R237">
        <f t="shared" si="50"/>
        <v>-1</v>
      </c>
      <c r="S237">
        <f t="shared" si="51"/>
        <v>-1</v>
      </c>
      <c r="T237">
        <f t="shared" si="52"/>
        <v>-1</v>
      </c>
      <c r="U237">
        <f t="shared" si="53"/>
        <v>-1</v>
      </c>
      <c r="V237">
        <f t="shared" si="54"/>
        <v>-1</v>
      </c>
    </row>
    <row r="238" spans="1:22" x14ac:dyDescent="0.3">
      <c r="C238">
        <f t="shared" si="35"/>
        <v>-1</v>
      </c>
      <c r="D238">
        <f t="shared" si="36"/>
        <v>-1</v>
      </c>
      <c r="E238">
        <f t="shared" si="37"/>
        <v>-1</v>
      </c>
      <c r="F238">
        <f t="shared" si="38"/>
        <v>-1</v>
      </c>
      <c r="G238">
        <f t="shared" si="39"/>
        <v>-1</v>
      </c>
      <c r="H238">
        <f t="shared" si="40"/>
        <v>-1</v>
      </c>
      <c r="I238">
        <f t="shared" si="41"/>
        <v>-1</v>
      </c>
      <c r="J238">
        <f t="shared" si="42"/>
        <v>-1</v>
      </c>
      <c r="K238">
        <f t="shared" si="43"/>
        <v>-1</v>
      </c>
      <c r="L238">
        <f t="shared" si="44"/>
        <v>-1</v>
      </c>
      <c r="M238">
        <f t="shared" si="45"/>
        <v>-1</v>
      </c>
      <c r="N238">
        <f t="shared" si="46"/>
        <v>-1</v>
      </c>
      <c r="O238">
        <f t="shared" si="47"/>
        <v>-1</v>
      </c>
      <c r="P238">
        <f t="shared" si="48"/>
        <v>-1</v>
      </c>
      <c r="Q238">
        <f t="shared" si="49"/>
        <v>-1</v>
      </c>
      <c r="R238">
        <f t="shared" si="50"/>
        <v>-1</v>
      </c>
      <c r="S238">
        <f t="shared" si="51"/>
        <v>-1</v>
      </c>
      <c r="T238">
        <f t="shared" si="52"/>
        <v>-1</v>
      </c>
      <c r="U238">
        <f t="shared" si="53"/>
        <v>-1</v>
      </c>
      <c r="V238">
        <f t="shared" si="54"/>
        <v>-1</v>
      </c>
    </row>
    <row r="239" spans="1:22" x14ac:dyDescent="0.3">
      <c r="C239">
        <f t="shared" si="35"/>
        <v>-1</v>
      </c>
      <c r="D239">
        <f t="shared" si="36"/>
        <v>-1</v>
      </c>
      <c r="E239">
        <f t="shared" si="37"/>
        <v>-1</v>
      </c>
      <c r="F239">
        <f t="shared" si="38"/>
        <v>-1</v>
      </c>
      <c r="G239">
        <f t="shared" si="39"/>
        <v>-1</v>
      </c>
      <c r="H239">
        <f t="shared" si="40"/>
        <v>-1</v>
      </c>
      <c r="I239">
        <f t="shared" si="41"/>
        <v>-1</v>
      </c>
      <c r="J239">
        <f t="shared" si="42"/>
        <v>-1</v>
      </c>
      <c r="K239">
        <f t="shared" si="43"/>
        <v>-1</v>
      </c>
      <c r="L239">
        <f t="shared" si="44"/>
        <v>-1</v>
      </c>
      <c r="M239">
        <f t="shared" si="45"/>
        <v>-1</v>
      </c>
      <c r="N239">
        <f t="shared" si="46"/>
        <v>-1</v>
      </c>
      <c r="O239">
        <f t="shared" si="47"/>
        <v>-1</v>
      </c>
      <c r="P239">
        <f t="shared" si="48"/>
        <v>-1</v>
      </c>
      <c r="Q239">
        <f t="shared" si="49"/>
        <v>-1</v>
      </c>
      <c r="R239">
        <f t="shared" si="50"/>
        <v>-1</v>
      </c>
      <c r="S239">
        <f t="shared" si="51"/>
        <v>-1</v>
      </c>
      <c r="T239">
        <f t="shared" si="52"/>
        <v>-1</v>
      </c>
      <c r="U239">
        <f t="shared" si="53"/>
        <v>-1</v>
      </c>
      <c r="V239">
        <f t="shared" si="54"/>
        <v>-1</v>
      </c>
    </row>
    <row r="240" spans="1:22" x14ac:dyDescent="0.3">
      <c r="C240">
        <f t="shared" si="35"/>
        <v>-1</v>
      </c>
      <c r="D240">
        <f t="shared" si="36"/>
        <v>-1</v>
      </c>
      <c r="E240">
        <f t="shared" si="37"/>
        <v>-1</v>
      </c>
      <c r="F240">
        <f t="shared" si="38"/>
        <v>-1</v>
      </c>
      <c r="G240">
        <f t="shared" si="39"/>
        <v>-1</v>
      </c>
      <c r="H240">
        <f t="shared" si="40"/>
        <v>-1</v>
      </c>
      <c r="I240">
        <f t="shared" si="41"/>
        <v>-1</v>
      </c>
      <c r="J240">
        <f t="shared" si="42"/>
        <v>-1</v>
      </c>
      <c r="K240">
        <f t="shared" si="43"/>
        <v>-1</v>
      </c>
      <c r="L240">
        <f t="shared" si="44"/>
        <v>-1</v>
      </c>
      <c r="M240">
        <f t="shared" si="45"/>
        <v>-1</v>
      </c>
      <c r="N240">
        <f t="shared" si="46"/>
        <v>-1</v>
      </c>
      <c r="O240">
        <f t="shared" si="47"/>
        <v>-1</v>
      </c>
      <c r="P240">
        <f t="shared" si="48"/>
        <v>-1</v>
      </c>
      <c r="Q240">
        <f t="shared" si="49"/>
        <v>-1</v>
      </c>
      <c r="R240">
        <f t="shared" si="50"/>
        <v>-1</v>
      </c>
      <c r="S240">
        <f t="shared" si="51"/>
        <v>-1</v>
      </c>
      <c r="T240">
        <f t="shared" si="52"/>
        <v>-1</v>
      </c>
      <c r="U240">
        <f t="shared" si="53"/>
        <v>-1</v>
      </c>
      <c r="V240">
        <f t="shared" si="54"/>
        <v>-1</v>
      </c>
    </row>
    <row r="241" spans="3:22" x14ac:dyDescent="0.3">
      <c r="C241">
        <f t="shared" si="35"/>
        <v>-1</v>
      </c>
      <c r="D241">
        <f t="shared" si="36"/>
        <v>-1</v>
      </c>
      <c r="E241">
        <f t="shared" si="37"/>
        <v>-1</v>
      </c>
      <c r="F241">
        <f t="shared" si="38"/>
        <v>-1</v>
      </c>
      <c r="G241">
        <f t="shared" si="39"/>
        <v>-1</v>
      </c>
      <c r="H241">
        <f t="shared" si="40"/>
        <v>-1</v>
      </c>
      <c r="I241">
        <f t="shared" si="41"/>
        <v>-1</v>
      </c>
      <c r="J241">
        <f t="shared" si="42"/>
        <v>-1</v>
      </c>
      <c r="K241">
        <f t="shared" si="43"/>
        <v>-1</v>
      </c>
      <c r="L241">
        <f t="shared" si="44"/>
        <v>-1</v>
      </c>
      <c r="M241">
        <f t="shared" si="45"/>
        <v>-1</v>
      </c>
      <c r="N241">
        <f t="shared" si="46"/>
        <v>-1</v>
      </c>
      <c r="O241">
        <f t="shared" si="47"/>
        <v>-1</v>
      </c>
      <c r="P241">
        <f t="shared" si="48"/>
        <v>-1</v>
      </c>
      <c r="Q241">
        <f t="shared" si="49"/>
        <v>-1</v>
      </c>
      <c r="R241">
        <f t="shared" si="50"/>
        <v>-1</v>
      </c>
      <c r="S241">
        <f t="shared" si="51"/>
        <v>-1</v>
      </c>
      <c r="T241">
        <f t="shared" si="52"/>
        <v>-1</v>
      </c>
      <c r="U241">
        <f t="shared" si="53"/>
        <v>-1</v>
      </c>
      <c r="V241">
        <f t="shared" si="54"/>
        <v>-1</v>
      </c>
    </row>
    <row r="242" spans="3:22" x14ac:dyDescent="0.3">
      <c r="C242">
        <f t="shared" si="35"/>
        <v>-1</v>
      </c>
      <c r="D242">
        <f t="shared" si="36"/>
        <v>-1</v>
      </c>
      <c r="E242">
        <f t="shared" si="37"/>
        <v>-1</v>
      </c>
      <c r="F242">
        <f t="shared" si="38"/>
        <v>-1</v>
      </c>
      <c r="G242">
        <f t="shared" si="39"/>
        <v>-1</v>
      </c>
      <c r="H242">
        <f t="shared" si="40"/>
        <v>-1</v>
      </c>
      <c r="I242">
        <f t="shared" si="41"/>
        <v>-1</v>
      </c>
      <c r="J242">
        <f t="shared" si="42"/>
        <v>-1</v>
      </c>
      <c r="K242">
        <f t="shared" si="43"/>
        <v>-1</v>
      </c>
      <c r="L242">
        <f t="shared" si="44"/>
        <v>-1</v>
      </c>
      <c r="M242">
        <f t="shared" si="45"/>
        <v>-1</v>
      </c>
      <c r="N242">
        <f t="shared" si="46"/>
        <v>-1</v>
      </c>
      <c r="O242">
        <f t="shared" si="47"/>
        <v>-1</v>
      </c>
      <c r="P242">
        <f t="shared" si="48"/>
        <v>-1</v>
      </c>
      <c r="Q242">
        <f t="shared" si="49"/>
        <v>-1</v>
      </c>
      <c r="R242">
        <f t="shared" si="50"/>
        <v>-1</v>
      </c>
      <c r="S242">
        <f t="shared" si="51"/>
        <v>-1</v>
      </c>
      <c r="T242">
        <f t="shared" si="52"/>
        <v>-1</v>
      </c>
      <c r="U242">
        <f t="shared" si="53"/>
        <v>-1</v>
      </c>
      <c r="V242">
        <f t="shared" si="54"/>
        <v>-1</v>
      </c>
    </row>
    <row r="243" spans="3:22" x14ac:dyDescent="0.3">
      <c r="C243">
        <f t="shared" si="35"/>
        <v>-1</v>
      </c>
      <c r="D243">
        <f t="shared" si="36"/>
        <v>-1</v>
      </c>
      <c r="E243">
        <f t="shared" si="37"/>
        <v>-1</v>
      </c>
      <c r="F243">
        <f t="shared" si="38"/>
        <v>-1</v>
      </c>
      <c r="G243">
        <f t="shared" si="39"/>
        <v>-1</v>
      </c>
      <c r="H243">
        <f t="shared" si="40"/>
        <v>-1</v>
      </c>
      <c r="I243">
        <f t="shared" si="41"/>
        <v>-1</v>
      </c>
      <c r="J243">
        <f t="shared" si="42"/>
        <v>-1</v>
      </c>
      <c r="K243">
        <f t="shared" si="43"/>
        <v>-1</v>
      </c>
      <c r="L243">
        <f t="shared" si="44"/>
        <v>-1</v>
      </c>
      <c r="M243">
        <f t="shared" si="45"/>
        <v>-1</v>
      </c>
      <c r="N243">
        <f t="shared" si="46"/>
        <v>-1</v>
      </c>
      <c r="O243">
        <f t="shared" si="47"/>
        <v>-1</v>
      </c>
      <c r="P243">
        <f t="shared" si="48"/>
        <v>-1</v>
      </c>
      <c r="Q243">
        <f t="shared" si="49"/>
        <v>-1</v>
      </c>
      <c r="R243">
        <f t="shared" si="50"/>
        <v>-1</v>
      </c>
      <c r="S243">
        <f t="shared" si="51"/>
        <v>-1</v>
      </c>
      <c r="T243">
        <f t="shared" si="52"/>
        <v>-1</v>
      </c>
      <c r="U243">
        <f t="shared" si="53"/>
        <v>-1</v>
      </c>
      <c r="V243">
        <f t="shared" si="54"/>
        <v>-1</v>
      </c>
    </row>
    <row r="244" spans="3:22" x14ac:dyDescent="0.3">
      <c r="C244">
        <f t="shared" si="35"/>
        <v>-1</v>
      </c>
      <c r="D244">
        <f t="shared" si="36"/>
        <v>-1</v>
      </c>
      <c r="E244">
        <f t="shared" si="37"/>
        <v>-1</v>
      </c>
      <c r="F244">
        <f t="shared" si="38"/>
        <v>-1</v>
      </c>
      <c r="G244">
        <f t="shared" si="39"/>
        <v>-1</v>
      </c>
      <c r="H244">
        <f t="shared" si="40"/>
        <v>-1</v>
      </c>
      <c r="I244">
        <f t="shared" si="41"/>
        <v>-1</v>
      </c>
      <c r="J244">
        <f t="shared" si="42"/>
        <v>-1</v>
      </c>
      <c r="K244">
        <f t="shared" si="43"/>
        <v>-1</v>
      </c>
      <c r="L244">
        <f t="shared" si="44"/>
        <v>-1</v>
      </c>
      <c r="M244">
        <f t="shared" si="45"/>
        <v>-1</v>
      </c>
      <c r="N244">
        <f t="shared" si="46"/>
        <v>-1</v>
      </c>
      <c r="O244">
        <f t="shared" si="47"/>
        <v>-1</v>
      </c>
      <c r="P244">
        <f t="shared" si="48"/>
        <v>-1</v>
      </c>
      <c r="Q244">
        <f t="shared" si="49"/>
        <v>-1</v>
      </c>
      <c r="R244">
        <f t="shared" si="50"/>
        <v>-1</v>
      </c>
      <c r="S244">
        <f t="shared" si="51"/>
        <v>-1</v>
      </c>
      <c r="T244">
        <f t="shared" si="52"/>
        <v>-1</v>
      </c>
      <c r="U244">
        <f t="shared" si="53"/>
        <v>-1</v>
      </c>
      <c r="V244">
        <f t="shared" si="54"/>
        <v>-1</v>
      </c>
    </row>
    <row r="245" spans="3:22" x14ac:dyDescent="0.3">
      <c r="C245">
        <f t="shared" si="35"/>
        <v>-1</v>
      </c>
      <c r="D245">
        <f t="shared" si="36"/>
        <v>-1</v>
      </c>
      <c r="E245">
        <f t="shared" si="37"/>
        <v>-1</v>
      </c>
      <c r="F245">
        <f t="shared" si="38"/>
        <v>-1</v>
      </c>
      <c r="G245">
        <f t="shared" si="39"/>
        <v>-1</v>
      </c>
      <c r="H245">
        <f t="shared" si="40"/>
        <v>-1</v>
      </c>
      <c r="I245">
        <f t="shared" si="41"/>
        <v>-1</v>
      </c>
      <c r="J245">
        <f t="shared" si="42"/>
        <v>-1</v>
      </c>
      <c r="K245">
        <f t="shared" si="43"/>
        <v>-1</v>
      </c>
      <c r="L245">
        <f t="shared" si="44"/>
        <v>-1</v>
      </c>
      <c r="M245">
        <f t="shared" si="45"/>
        <v>-1</v>
      </c>
      <c r="N245">
        <f t="shared" si="46"/>
        <v>-1</v>
      </c>
      <c r="O245">
        <f t="shared" si="47"/>
        <v>-1</v>
      </c>
      <c r="P245">
        <f t="shared" si="48"/>
        <v>-1</v>
      </c>
      <c r="Q245">
        <f t="shared" si="49"/>
        <v>-1</v>
      </c>
      <c r="R245">
        <f t="shared" si="50"/>
        <v>-1</v>
      </c>
      <c r="S245">
        <f t="shared" si="51"/>
        <v>-1</v>
      </c>
      <c r="T245">
        <f t="shared" si="52"/>
        <v>-1</v>
      </c>
      <c r="U245">
        <f t="shared" si="53"/>
        <v>-1</v>
      </c>
      <c r="V245">
        <f t="shared" si="54"/>
        <v>-1</v>
      </c>
    </row>
    <row r="246" spans="3:22" x14ac:dyDescent="0.3">
      <c r="C246">
        <f t="shared" si="35"/>
        <v>-1</v>
      </c>
      <c r="D246">
        <f t="shared" si="36"/>
        <v>-1</v>
      </c>
      <c r="E246">
        <f t="shared" si="37"/>
        <v>-1</v>
      </c>
      <c r="F246">
        <f t="shared" si="38"/>
        <v>-1</v>
      </c>
      <c r="G246">
        <f t="shared" si="39"/>
        <v>-1</v>
      </c>
      <c r="H246">
        <f t="shared" si="40"/>
        <v>-1</v>
      </c>
      <c r="I246">
        <f t="shared" si="41"/>
        <v>-1</v>
      </c>
      <c r="J246">
        <f t="shared" si="42"/>
        <v>-1</v>
      </c>
      <c r="K246">
        <f t="shared" si="43"/>
        <v>-1</v>
      </c>
      <c r="L246">
        <f t="shared" si="44"/>
        <v>-1</v>
      </c>
      <c r="M246">
        <f t="shared" si="45"/>
        <v>-1</v>
      </c>
      <c r="N246">
        <f t="shared" si="46"/>
        <v>-1</v>
      </c>
      <c r="O246">
        <f t="shared" si="47"/>
        <v>-1</v>
      </c>
      <c r="P246">
        <f t="shared" si="48"/>
        <v>-1</v>
      </c>
      <c r="Q246">
        <f t="shared" si="49"/>
        <v>-1</v>
      </c>
      <c r="R246">
        <f t="shared" si="50"/>
        <v>-1</v>
      </c>
      <c r="S246">
        <f t="shared" si="51"/>
        <v>-1</v>
      </c>
      <c r="T246">
        <f t="shared" si="52"/>
        <v>-1</v>
      </c>
      <c r="U246">
        <f t="shared" si="53"/>
        <v>-1</v>
      </c>
      <c r="V246">
        <f t="shared" si="54"/>
        <v>-1</v>
      </c>
    </row>
    <row r="247" spans="3:22" x14ac:dyDescent="0.3">
      <c r="C247">
        <f t="shared" si="35"/>
        <v>-1</v>
      </c>
      <c r="D247">
        <f t="shared" si="36"/>
        <v>-1</v>
      </c>
      <c r="E247">
        <f t="shared" si="37"/>
        <v>-1</v>
      </c>
      <c r="F247">
        <f t="shared" si="38"/>
        <v>-1</v>
      </c>
      <c r="G247">
        <f t="shared" si="39"/>
        <v>-1</v>
      </c>
      <c r="H247">
        <f t="shared" si="40"/>
        <v>-1</v>
      </c>
      <c r="I247">
        <f t="shared" si="41"/>
        <v>-1</v>
      </c>
      <c r="J247">
        <f t="shared" si="42"/>
        <v>-1</v>
      </c>
      <c r="K247">
        <f t="shared" si="43"/>
        <v>-1</v>
      </c>
      <c r="L247">
        <f t="shared" si="44"/>
        <v>-1</v>
      </c>
      <c r="M247">
        <f t="shared" si="45"/>
        <v>-1</v>
      </c>
      <c r="N247">
        <f t="shared" si="46"/>
        <v>-1</v>
      </c>
      <c r="O247">
        <f t="shared" si="47"/>
        <v>-1</v>
      </c>
      <c r="P247">
        <f t="shared" si="48"/>
        <v>-1</v>
      </c>
      <c r="Q247">
        <f t="shared" si="49"/>
        <v>-1</v>
      </c>
      <c r="R247">
        <f t="shared" si="50"/>
        <v>-1</v>
      </c>
      <c r="S247">
        <f t="shared" si="51"/>
        <v>-1</v>
      </c>
      <c r="T247">
        <f t="shared" si="52"/>
        <v>-1</v>
      </c>
      <c r="U247">
        <f t="shared" si="53"/>
        <v>-1</v>
      </c>
      <c r="V247">
        <f t="shared" si="54"/>
        <v>-1</v>
      </c>
    </row>
    <row r="248" spans="3:22" x14ac:dyDescent="0.3">
      <c r="C248">
        <f t="shared" si="35"/>
        <v>-1</v>
      </c>
      <c r="D248">
        <f t="shared" si="36"/>
        <v>-1</v>
      </c>
      <c r="E248">
        <f t="shared" si="37"/>
        <v>-1</v>
      </c>
      <c r="F248">
        <f t="shared" si="38"/>
        <v>-1</v>
      </c>
      <c r="G248">
        <f t="shared" si="39"/>
        <v>-1</v>
      </c>
      <c r="H248">
        <f t="shared" si="40"/>
        <v>-1</v>
      </c>
      <c r="I248">
        <f t="shared" si="41"/>
        <v>-1</v>
      </c>
      <c r="J248">
        <f t="shared" si="42"/>
        <v>-1</v>
      </c>
      <c r="K248">
        <f t="shared" si="43"/>
        <v>-1</v>
      </c>
      <c r="L248">
        <f t="shared" si="44"/>
        <v>-1</v>
      </c>
      <c r="M248">
        <f t="shared" si="45"/>
        <v>-1</v>
      </c>
      <c r="N248">
        <f t="shared" si="46"/>
        <v>-1</v>
      </c>
      <c r="O248">
        <f t="shared" si="47"/>
        <v>-1</v>
      </c>
      <c r="P248">
        <f t="shared" si="48"/>
        <v>-1</v>
      </c>
      <c r="Q248">
        <f t="shared" si="49"/>
        <v>-1</v>
      </c>
      <c r="R248">
        <f t="shared" si="50"/>
        <v>-1</v>
      </c>
      <c r="S248">
        <f t="shared" si="51"/>
        <v>-1</v>
      </c>
      <c r="T248">
        <f t="shared" si="52"/>
        <v>-1</v>
      </c>
      <c r="U248">
        <f t="shared" si="53"/>
        <v>-1</v>
      </c>
      <c r="V248">
        <f t="shared" si="54"/>
        <v>-1</v>
      </c>
    </row>
    <row r="249" spans="3:22" x14ac:dyDescent="0.3">
      <c r="C249">
        <f t="shared" si="35"/>
        <v>-1</v>
      </c>
      <c r="D249">
        <f t="shared" si="36"/>
        <v>-1</v>
      </c>
      <c r="E249">
        <f t="shared" si="37"/>
        <v>-1</v>
      </c>
      <c r="F249">
        <f t="shared" si="38"/>
        <v>-1</v>
      </c>
      <c r="G249">
        <f t="shared" si="39"/>
        <v>-1</v>
      </c>
      <c r="H249">
        <f t="shared" si="40"/>
        <v>-1</v>
      </c>
      <c r="I249">
        <f t="shared" si="41"/>
        <v>-1</v>
      </c>
      <c r="J249">
        <f t="shared" si="42"/>
        <v>-1</v>
      </c>
      <c r="K249">
        <f t="shared" si="43"/>
        <v>-1</v>
      </c>
      <c r="L249">
        <f t="shared" si="44"/>
        <v>-1</v>
      </c>
      <c r="M249">
        <f t="shared" si="45"/>
        <v>-1</v>
      </c>
      <c r="N249">
        <f t="shared" si="46"/>
        <v>-1</v>
      </c>
      <c r="O249">
        <f t="shared" si="47"/>
        <v>-1</v>
      </c>
      <c r="P249">
        <f t="shared" si="48"/>
        <v>-1</v>
      </c>
      <c r="Q249">
        <f t="shared" si="49"/>
        <v>-1</v>
      </c>
      <c r="R249">
        <f t="shared" si="50"/>
        <v>-1</v>
      </c>
      <c r="S249">
        <f t="shared" si="51"/>
        <v>-1</v>
      </c>
      <c r="T249">
        <f t="shared" si="52"/>
        <v>-1</v>
      </c>
      <c r="U249">
        <f t="shared" si="53"/>
        <v>-1</v>
      </c>
      <c r="V249">
        <f t="shared" si="54"/>
        <v>-1</v>
      </c>
    </row>
    <row r="250" spans="3:22" x14ac:dyDescent="0.3">
      <c r="C250">
        <f t="shared" si="35"/>
        <v>-1</v>
      </c>
      <c r="D250">
        <f t="shared" si="36"/>
        <v>-1</v>
      </c>
      <c r="E250">
        <f t="shared" si="37"/>
        <v>-1</v>
      </c>
      <c r="F250">
        <f t="shared" si="38"/>
        <v>-1</v>
      </c>
      <c r="G250">
        <f t="shared" si="39"/>
        <v>-1</v>
      </c>
      <c r="H250">
        <f t="shared" si="40"/>
        <v>-1</v>
      </c>
      <c r="I250">
        <f t="shared" si="41"/>
        <v>-1</v>
      </c>
      <c r="J250">
        <f t="shared" si="42"/>
        <v>-1</v>
      </c>
      <c r="K250">
        <f t="shared" si="43"/>
        <v>-1</v>
      </c>
      <c r="L250">
        <f t="shared" si="44"/>
        <v>-1</v>
      </c>
      <c r="M250">
        <f t="shared" si="45"/>
        <v>-1</v>
      </c>
      <c r="N250">
        <f t="shared" si="46"/>
        <v>-1</v>
      </c>
      <c r="O250">
        <f t="shared" si="47"/>
        <v>-1</v>
      </c>
      <c r="P250">
        <f t="shared" si="48"/>
        <v>-1</v>
      </c>
      <c r="Q250">
        <f t="shared" si="49"/>
        <v>-1</v>
      </c>
      <c r="R250">
        <f t="shared" si="50"/>
        <v>-1</v>
      </c>
      <c r="S250">
        <f t="shared" si="51"/>
        <v>-1</v>
      </c>
      <c r="T250">
        <f t="shared" si="52"/>
        <v>-1</v>
      </c>
      <c r="U250">
        <f t="shared" si="53"/>
        <v>-1</v>
      </c>
      <c r="V250">
        <f t="shared" si="54"/>
        <v>-1</v>
      </c>
    </row>
    <row r="251" spans="3:22" x14ac:dyDescent="0.3">
      <c r="C251">
        <f t="shared" si="35"/>
        <v>-1</v>
      </c>
      <c r="D251">
        <f t="shared" si="36"/>
        <v>-1</v>
      </c>
      <c r="E251">
        <f t="shared" si="37"/>
        <v>-1</v>
      </c>
      <c r="F251">
        <f t="shared" si="38"/>
        <v>-1</v>
      </c>
      <c r="G251">
        <f t="shared" si="39"/>
        <v>-1</v>
      </c>
      <c r="H251">
        <f t="shared" si="40"/>
        <v>-1</v>
      </c>
      <c r="I251">
        <f t="shared" si="41"/>
        <v>-1</v>
      </c>
      <c r="J251">
        <f t="shared" si="42"/>
        <v>-1</v>
      </c>
      <c r="K251">
        <f t="shared" si="43"/>
        <v>-1</v>
      </c>
      <c r="L251">
        <f t="shared" si="44"/>
        <v>-1</v>
      </c>
      <c r="M251">
        <f t="shared" si="45"/>
        <v>-1</v>
      </c>
      <c r="N251">
        <f t="shared" si="46"/>
        <v>-1</v>
      </c>
      <c r="O251">
        <f t="shared" si="47"/>
        <v>-1</v>
      </c>
      <c r="P251">
        <f t="shared" si="48"/>
        <v>-1</v>
      </c>
      <c r="Q251">
        <f t="shared" si="49"/>
        <v>-1</v>
      </c>
      <c r="R251">
        <f t="shared" si="50"/>
        <v>-1</v>
      </c>
      <c r="S251">
        <f t="shared" si="51"/>
        <v>-1</v>
      </c>
      <c r="T251">
        <f t="shared" si="52"/>
        <v>-1</v>
      </c>
      <c r="U251">
        <f t="shared" si="53"/>
        <v>-1</v>
      </c>
      <c r="V251">
        <f t="shared" si="54"/>
        <v>-1</v>
      </c>
    </row>
    <row r="252" spans="3:22" x14ac:dyDescent="0.3">
      <c r="C252">
        <f t="shared" si="35"/>
        <v>-1</v>
      </c>
      <c r="D252">
        <f t="shared" si="36"/>
        <v>-1</v>
      </c>
      <c r="E252">
        <f t="shared" si="37"/>
        <v>-1</v>
      </c>
      <c r="F252">
        <f t="shared" si="38"/>
        <v>-1</v>
      </c>
      <c r="G252">
        <f t="shared" si="39"/>
        <v>-1</v>
      </c>
      <c r="H252">
        <f t="shared" si="40"/>
        <v>-1</v>
      </c>
      <c r="I252">
        <f t="shared" si="41"/>
        <v>-1</v>
      </c>
      <c r="J252">
        <f t="shared" si="42"/>
        <v>-1</v>
      </c>
      <c r="K252">
        <f t="shared" si="43"/>
        <v>-1</v>
      </c>
      <c r="L252">
        <f t="shared" si="44"/>
        <v>-1</v>
      </c>
      <c r="M252">
        <f t="shared" si="45"/>
        <v>-1</v>
      </c>
      <c r="N252">
        <f t="shared" si="46"/>
        <v>-1</v>
      </c>
      <c r="O252">
        <f t="shared" si="47"/>
        <v>-1</v>
      </c>
      <c r="P252">
        <f t="shared" si="48"/>
        <v>-1</v>
      </c>
      <c r="Q252">
        <f t="shared" si="49"/>
        <v>-1</v>
      </c>
      <c r="R252">
        <f t="shared" si="50"/>
        <v>-1</v>
      </c>
      <c r="S252">
        <f t="shared" si="51"/>
        <v>-1</v>
      </c>
      <c r="T252">
        <f t="shared" si="52"/>
        <v>-1</v>
      </c>
      <c r="U252">
        <f t="shared" si="53"/>
        <v>-1</v>
      </c>
      <c r="V252">
        <f t="shared" si="54"/>
        <v>-1</v>
      </c>
    </row>
    <row r="253" spans="3:22" x14ac:dyDescent="0.3">
      <c r="C253">
        <f t="shared" si="35"/>
        <v>-1</v>
      </c>
      <c r="D253">
        <f t="shared" si="36"/>
        <v>-1</v>
      </c>
      <c r="E253">
        <f t="shared" si="37"/>
        <v>-1</v>
      </c>
      <c r="F253">
        <f t="shared" si="38"/>
        <v>-1</v>
      </c>
      <c r="G253">
        <f t="shared" si="39"/>
        <v>-1</v>
      </c>
      <c r="H253">
        <f t="shared" si="40"/>
        <v>-1</v>
      </c>
      <c r="I253">
        <f t="shared" si="41"/>
        <v>-1</v>
      </c>
      <c r="J253">
        <f t="shared" si="42"/>
        <v>-1</v>
      </c>
      <c r="K253">
        <f t="shared" si="43"/>
        <v>-1</v>
      </c>
      <c r="L253">
        <f t="shared" si="44"/>
        <v>-1</v>
      </c>
      <c r="M253">
        <f t="shared" si="45"/>
        <v>-1</v>
      </c>
      <c r="N253">
        <f t="shared" si="46"/>
        <v>-1</v>
      </c>
      <c r="O253">
        <f t="shared" si="47"/>
        <v>-1</v>
      </c>
      <c r="P253">
        <f t="shared" si="48"/>
        <v>-1</v>
      </c>
      <c r="Q253">
        <f t="shared" si="49"/>
        <v>-1</v>
      </c>
      <c r="R253">
        <f t="shared" si="50"/>
        <v>-1</v>
      </c>
      <c r="S253">
        <f t="shared" si="51"/>
        <v>-1</v>
      </c>
      <c r="T253">
        <f t="shared" si="52"/>
        <v>-1</v>
      </c>
      <c r="U253">
        <f t="shared" si="53"/>
        <v>-1</v>
      </c>
      <c r="V253">
        <f t="shared" si="54"/>
        <v>-1</v>
      </c>
    </row>
    <row r="254" spans="3:22" x14ac:dyDescent="0.3">
      <c r="C254">
        <f t="shared" si="35"/>
        <v>-1</v>
      </c>
      <c r="D254">
        <f t="shared" si="36"/>
        <v>-1</v>
      </c>
      <c r="E254">
        <f t="shared" si="37"/>
        <v>-1</v>
      </c>
      <c r="F254">
        <f t="shared" si="38"/>
        <v>-1</v>
      </c>
      <c r="G254">
        <f t="shared" si="39"/>
        <v>-1</v>
      </c>
      <c r="H254">
        <f t="shared" si="40"/>
        <v>-1</v>
      </c>
      <c r="I254">
        <f t="shared" si="41"/>
        <v>-1</v>
      </c>
      <c r="J254">
        <f t="shared" si="42"/>
        <v>-1</v>
      </c>
      <c r="K254">
        <f t="shared" si="43"/>
        <v>-1</v>
      </c>
      <c r="L254">
        <f t="shared" si="44"/>
        <v>-1</v>
      </c>
      <c r="M254">
        <f t="shared" si="45"/>
        <v>-1</v>
      </c>
      <c r="N254">
        <f t="shared" si="46"/>
        <v>-1</v>
      </c>
      <c r="O254">
        <f t="shared" si="47"/>
        <v>-1</v>
      </c>
      <c r="P254">
        <f t="shared" si="48"/>
        <v>-1</v>
      </c>
      <c r="Q254">
        <f t="shared" si="49"/>
        <v>-1</v>
      </c>
      <c r="R254">
        <f t="shared" si="50"/>
        <v>-1</v>
      </c>
      <c r="S254">
        <f t="shared" si="51"/>
        <v>-1</v>
      </c>
      <c r="T254">
        <f t="shared" si="52"/>
        <v>-1</v>
      </c>
      <c r="U254">
        <f t="shared" si="53"/>
        <v>-1</v>
      </c>
      <c r="V254">
        <f t="shared" si="54"/>
        <v>-1</v>
      </c>
    </row>
    <row r="255" spans="3:22" x14ac:dyDescent="0.3">
      <c r="C255">
        <f t="shared" si="35"/>
        <v>-1</v>
      </c>
      <c r="D255">
        <f t="shared" si="36"/>
        <v>-1</v>
      </c>
      <c r="E255">
        <f t="shared" si="37"/>
        <v>-1</v>
      </c>
      <c r="F255">
        <f t="shared" si="38"/>
        <v>-1</v>
      </c>
      <c r="G255">
        <f t="shared" si="39"/>
        <v>-1</v>
      </c>
      <c r="H255">
        <f t="shared" si="40"/>
        <v>-1</v>
      </c>
      <c r="I255">
        <f t="shared" si="41"/>
        <v>-1</v>
      </c>
      <c r="J255">
        <f t="shared" si="42"/>
        <v>-1</v>
      </c>
      <c r="K255">
        <f t="shared" si="43"/>
        <v>-1</v>
      </c>
      <c r="L255">
        <f t="shared" si="44"/>
        <v>-1</v>
      </c>
      <c r="M255">
        <f t="shared" si="45"/>
        <v>-1</v>
      </c>
      <c r="N255">
        <f t="shared" si="46"/>
        <v>-1</v>
      </c>
      <c r="O255">
        <f t="shared" si="47"/>
        <v>-1</v>
      </c>
      <c r="P255">
        <f t="shared" si="48"/>
        <v>-1</v>
      </c>
      <c r="Q255">
        <f t="shared" si="49"/>
        <v>-1</v>
      </c>
      <c r="R255">
        <f t="shared" si="50"/>
        <v>-1</v>
      </c>
      <c r="S255">
        <f t="shared" si="51"/>
        <v>-1</v>
      </c>
      <c r="T255">
        <f t="shared" si="52"/>
        <v>-1</v>
      </c>
      <c r="U255">
        <f t="shared" si="53"/>
        <v>-1</v>
      </c>
      <c r="V255">
        <f t="shared" si="54"/>
        <v>-1</v>
      </c>
    </row>
    <row r="256" spans="3:22" x14ac:dyDescent="0.3">
      <c r="C256">
        <f t="shared" si="35"/>
        <v>-1</v>
      </c>
      <c r="D256">
        <f t="shared" si="36"/>
        <v>-1</v>
      </c>
      <c r="E256">
        <f t="shared" si="37"/>
        <v>-1</v>
      </c>
      <c r="F256">
        <f t="shared" si="38"/>
        <v>-1</v>
      </c>
      <c r="G256">
        <f t="shared" si="39"/>
        <v>-1</v>
      </c>
      <c r="H256">
        <f t="shared" si="40"/>
        <v>-1</v>
      </c>
      <c r="I256">
        <f t="shared" si="41"/>
        <v>-1</v>
      </c>
      <c r="J256">
        <f t="shared" si="42"/>
        <v>-1</v>
      </c>
      <c r="K256">
        <f t="shared" si="43"/>
        <v>-1</v>
      </c>
      <c r="L256">
        <f t="shared" si="44"/>
        <v>-1</v>
      </c>
      <c r="M256">
        <f t="shared" si="45"/>
        <v>-1</v>
      </c>
      <c r="N256">
        <f t="shared" si="46"/>
        <v>-1</v>
      </c>
      <c r="O256">
        <f t="shared" si="47"/>
        <v>-1</v>
      </c>
      <c r="P256">
        <f t="shared" si="48"/>
        <v>-1</v>
      </c>
      <c r="Q256">
        <f t="shared" si="49"/>
        <v>-1</v>
      </c>
      <c r="R256">
        <f t="shared" si="50"/>
        <v>-1</v>
      </c>
      <c r="S256">
        <f t="shared" si="51"/>
        <v>-1</v>
      </c>
      <c r="T256">
        <f t="shared" si="52"/>
        <v>-1</v>
      </c>
      <c r="U256">
        <f t="shared" si="53"/>
        <v>-1</v>
      </c>
      <c r="V256">
        <f t="shared" si="54"/>
        <v>-1</v>
      </c>
    </row>
    <row r="257" spans="3:22" x14ac:dyDescent="0.3">
      <c r="C257">
        <f t="shared" si="35"/>
        <v>-1</v>
      </c>
      <c r="D257">
        <f t="shared" si="36"/>
        <v>-1</v>
      </c>
      <c r="E257">
        <f t="shared" si="37"/>
        <v>-1</v>
      </c>
      <c r="F257">
        <f t="shared" si="38"/>
        <v>-1</v>
      </c>
      <c r="G257">
        <f t="shared" si="39"/>
        <v>-1</v>
      </c>
      <c r="H257">
        <f t="shared" si="40"/>
        <v>-1</v>
      </c>
      <c r="I257">
        <f t="shared" si="41"/>
        <v>-1</v>
      </c>
      <c r="J257">
        <f t="shared" si="42"/>
        <v>-1</v>
      </c>
      <c r="K257">
        <f t="shared" si="43"/>
        <v>-1</v>
      </c>
      <c r="L257">
        <f t="shared" si="44"/>
        <v>-1</v>
      </c>
      <c r="M257">
        <f t="shared" si="45"/>
        <v>-1</v>
      </c>
      <c r="N257">
        <f t="shared" si="46"/>
        <v>-1</v>
      </c>
      <c r="O257">
        <f t="shared" si="47"/>
        <v>-1</v>
      </c>
      <c r="P257">
        <f t="shared" si="48"/>
        <v>-1</v>
      </c>
      <c r="Q257">
        <f t="shared" si="49"/>
        <v>-1</v>
      </c>
      <c r="R257">
        <f t="shared" si="50"/>
        <v>-1</v>
      </c>
      <c r="S257">
        <f t="shared" si="51"/>
        <v>-1</v>
      </c>
      <c r="T257">
        <f t="shared" si="52"/>
        <v>-1</v>
      </c>
      <c r="U257">
        <f t="shared" si="53"/>
        <v>-1</v>
      </c>
      <c r="V257">
        <f t="shared" si="54"/>
        <v>-1</v>
      </c>
    </row>
    <row r="258" spans="3:22" x14ac:dyDescent="0.3">
      <c r="C258">
        <f t="shared" si="35"/>
        <v>-1</v>
      </c>
      <c r="D258">
        <f t="shared" si="36"/>
        <v>-1</v>
      </c>
      <c r="E258">
        <f t="shared" si="37"/>
        <v>-1</v>
      </c>
      <c r="F258">
        <f t="shared" si="38"/>
        <v>-1</v>
      </c>
      <c r="G258">
        <f t="shared" si="39"/>
        <v>-1</v>
      </c>
      <c r="H258">
        <f t="shared" si="40"/>
        <v>-1</v>
      </c>
      <c r="I258">
        <f t="shared" si="41"/>
        <v>-1</v>
      </c>
      <c r="J258">
        <f t="shared" si="42"/>
        <v>-1</v>
      </c>
      <c r="K258">
        <f t="shared" si="43"/>
        <v>-1</v>
      </c>
      <c r="L258">
        <f t="shared" si="44"/>
        <v>-1</v>
      </c>
      <c r="M258">
        <f t="shared" si="45"/>
        <v>-1</v>
      </c>
      <c r="N258">
        <f t="shared" si="46"/>
        <v>-1</v>
      </c>
      <c r="O258">
        <f t="shared" si="47"/>
        <v>-1</v>
      </c>
      <c r="P258">
        <f t="shared" si="48"/>
        <v>-1</v>
      </c>
      <c r="Q258">
        <f t="shared" si="49"/>
        <v>-1</v>
      </c>
      <c r="R258">
        <f t="shared" si="50"/>
        <v>-1</v>
      </c>
      <c r="S258">
        <f t="shared" si="51"/>
        <v>-1</v>
      </c>
      <c r="T258">
        <f t="shared" si="52"/>
        <v>-1</v>
      </c>
      <c r="U258">
        <f t="shared" si="53"/>
        <v>-1</v>
      </c>
      <c r="V258">
        <f t="shared" si="54"/>
        <v>-1</v>
      </c>
    </row>
    <row r="259" spans="3:22" x14ac:dyDescent="0.3">
      <c r="C259">
        <f t="shared" si="35"/>
        <v>-1</v>
      </c>
      <c r="D259">
        <f t="shared" si="36"/>
        <v>-1</v>
      </c>
      <c r="E259">
        <f t="shared" si="37"/>
        <v>-1</v>
      </c>
      <c r="F259">
        <f t="shared" si="38"/>
        <v>-1</v>
      </c>
      <c r="G259">
        <f t="shared" si="39"/>
        <v>-1</v>
      </c>
      <c r="H259">
        <f t="shared" si="40"/>
        <v>-1</v>
      </c>
      <c r="I259">
        <f t="shared" si="41"/>
        <v>-1</v>
      </c>
      <c r="J259">
        <f t="shared" si="42"/>
        <v>-1</v>
      </c>
      <c r="K259">
        <f t="shared" si="43"/>
        <v>-1</v>
      </c>
      <c r="L259">
        <f t="shared" si="44"/>
        <v>-1</v>
      </c>
      <c r="M259">
        <f t="shared" si="45"/>
        <v>-1</v>
      </c>
      <c r="N259">
        <f t="shared" si="46"/>
        <v>-1</v>
      </c>
      <c r="O259">
        <f t="shared" si="47"/>
        <v>-1</v>
      </c>
      <c r="P259">
        <f t="shared" si="48"/>
        <v>-1</v>
      </c>
      <c r="Q259">
        <f t="shared" si="49"/>
        <v>-1</v>
      </c>
      <c r="R259">
        <f t="shared" si="50"/>
        <v>-1</v>
      </c>
      <c r="S259">
        <f t="shared" si="51"/>
        <v>-1</v>
      </c>
      <c r="T259">
        <f t="shared" si="52"/>
        <v>-1</v>
      </c>
      <c r="U259">
        <f t="shared" si="53"/>
        <v>-1</v>
      </c>
      <c r="V259">
        <f t="shared" si="54"/>
        <v>-1</v>
      </c>
    </row>
    <row r="260" spans="3:22" x14ac:dyDescent="0.3">
      <c r="C260">
        <f t="shared" si="35"/>
        <v>-1</v>
      </c>
      <c r="D260">
        <f t="shared" si="36"/>
        <v>-1</v>
      </c>
      <c r="E260">
        <f t="shared" si="37"/>
        <v>-1</v>
      </c>
      <c r="F260">
        <f t="shared" si="38"/>
        <v>-1</v>
      </c>
      <c r="G260">
        <f t="shared" si="39"/>
        <v>-1</v>
      </c>
      <c r="H260">
        <f t="shared" si="40"/>
        <v>-1</v>
      </c>
      <c r="I260">
        <f t="shared" si="41"/>
        <v>-1</v>
      </c>
      <c r="J260">
        <f t="shared" si="42"/>
        <v>-1</v>
      </c>
      <c r="K260">
        <f t="shared" si="43"/>
        <v>-1</v>
      </c>
      <c r="L260">
        <f t="shared" si="44"/>
        <v>-1</v>
      </c>
      <c r="M260">
        <f t="shared" si="45"/>
        <v>-1</v>
      </c>
      <c r="N260">
        <f t="shared" si="46"/>
        <v>-1</v>
      </c>
      <c r="O260">
        <f t="shared" si="47"/>
        <v>-1</v>
      </c>
      <c r="P260">
        <f t="shared" si="48"/>
        <v>-1</v>
      </c>
      <c r="Q260">
        <f t="shared" si="49"/>
        <v>-1</v>
      </c>
      <c r="R260">
        <f t="shared" si="50"/>
        <v>-1</v>
      </c>
      <c r="S260">
        <f t="shared" si="51"/>
        <v>-1</v>
      </c>
      <c r="T260">
        <f t="shared" si="52"/>
        <v>-1</v>
      </c>
      <c r="U260">
        <f t="shared" si="53"/>
        <v>-1</v>
      </c>
      <c r="V260">
        <f t="shared" si="54"/>
        <v>-1</v>
      </c>
    </row>
    <row r="261" spans="3:22" x14ac:dyDescent="0.3">
      <c r="C261">
        <f t="shared" si="35"/>
        <v>-1</v>
      </c>
      <c r="D261">
        <f t="shared" si="36"/>
        <v>-1</v>
      </c>
      <c r="E261">
        <f t="shared" si="37"/>
        <v>-1</v>
      </c>
      <c r="F261">
        <f t="shared" si="38"/>
        <v>-1</v>
      </c>
      <c r="G261">
        <f t="shared" si="39"/>
        <v>-1</v>
      </c>
      <c r="H261">
        <f t="shared" si="40"/>
        <v>-1</v>
      </c>
      <c r="I261">
        <f t="shared" si="41"/>
        <v>-1</v>
      </c>
      <c r="J261">
        <f t="shared" si="42"/>
        <v>-1</v>
      </c>
      <c r="K261">
        <f t="shared" si="43"/>
        <v>-1</v>
      </c>
      <c r="L261">
        <f t="shared" si="44"/>
        <v>-1</v>
      </c>
      <c r="M261">
        <f t="shared" si="45"/>
        <v>-1</v>
      </c>
      <c r="N261">
        <f t="shared" si="46"/>
        <v>-1</v>
      </c>
      <c r="O261">
        <f t="shared" si="47"/>
        <v>-1</v>
      </c>
      <c r="P261">
        <f t="shared" si="48"/>
        <v>-1</v>
      </c>
      <c r="Q261">
        <f t="shared" si="49"/>
        <v>-1</v>
      </c>
      <c r="R261">
        <f t="shared" si="50"/>
        <v>-1</v>
      </c>
      <c r="S261">
        <f t="shared" si="51"/>
        <v>-1</v>
      </c>
      <c r="T261">
        <f t="shared" si="52"/>
        <v>-1</v>
      </c>
      <c r="U261">
        <f t="shared" si="53"/>
        <v>-1</v>
      </c>
      <c r="V261">
        <f t="shared" si="54"/>
        <v>-1</v>
      </c>
    </row>
    <row r="262" spans="3:22" x14ac:dyDescent="0.3">
      <c r="C262">
        <f t="shared" si="35"/>
        <v>-1</v>
      </c>
      <c r="D262">
        <f t="shared" si="36"/>
        <v>-1</v>
      </c>
      <c r="E262">
        <f t="shared" si="37"/>
        <v>-1</v>
      </c>
      <c r="F262">
        <f t="shared" si="38"/>
        <v>-1</v>
      </c>
      <c r="G262">
        <f t="shared" si="39"/>
        <v>-1</v>
      </c>
      <c r="H262">
        <f t="shared" si="40"/>
        <v>-1</v>
      </c>
      <c r="I262">
        <f t="shared" si="41"/>
        <v>-1</v>
      </c>
      <c r="J262">
        <f t="shared" si="42"/>
        <v>-1</v>
      </c>
      <c r="K262">
        <f t="shared" si="43"/>
        <v>-1</v>
      </c>
      <c r="L262">
        <f t="shared" si="44"/>
        <v>-1</v>
      </c>
      <c r="M262">
        <f t="shared" si="45"/>
        <v>-1</v>
      </c>
      <c r="N262">
        <f t="shared" si="46"/>
        <v>-1</v>
      </c>
      <c r="O262">
        <f t="shared" si="47"/>
        <v>-1</v>
      </c>
      <c r="P262">
        <f t="shared" si="48"/>
        <v>-1</v>
      </c>
      <c r="Q262">
        <f t="shared" si="49"/>
        <v>-1</v>
      </c>
      <c r="R262">
        <f t="shared" si="50"/>
        <v>-1</v>
      </c>
      <c r="S262">
        <f t="shared" si="51"/>
        <v>-1</v>
      </c>
      <c r="T262">
        <f t="shared" si="52"/>
        <v>-1</v>
      </c>
      <c r="U262">
        <f t="shared" si="53"/>
        <v>-1</v>
      </c>
      <c r="V262">
        <f t="shared" si="54"/>
        <v>-1</v>
      </c>
    </row>
    <row r="263" spans="3:22" x14ac:dyDescent="0.3">
      <c r="C263">
        <f t="shared" si="35"/>
        <v>-1</v>
      </c>
      <c r="D263">
        <f t="shared" si="36"/>
        <v>-1</v>
      </c>
      <c r="E263">
        <f t="shared" si="37"/>
        <v>-1</v>
      </c>
      <c r="F263">
        <f t="shared" si="38"/>
        <v>-1</v>
      </c>
      <c r="G263">
        <f t="shared" si="39"/>
        <v>-1</v>
      </c>
      <c r="H263">
        <f t="shared" si="40"/>
        <v>-1</v>
      </c>
      <c r="I263">
        <f t="shared" si="41"/>
        <v>-1</v>
      </c>
      <c r="J263">
        <f t="shared" si="42"/>
        <v>-1</v>
      </c>
      <c r="K263">
        <f t="shared" si="43"/>
        <v>-1</v>
      </c>
      <c r="L263">
        <f t="shared" si="44"/>
        <v>-1</v>
      </c>
      <c r="M263">
        <f t="shared" si="45"/>
        <v>-1</v>
      </c>
      <c r="N263">
        <f t="shared" si="46"/>
        <v>-1</v>
      </c>
      <c r="O263">
        <f t="shared" si="47"/>
        <v>-1</v>
      </c>
      <c r="P263">
        <f t="shared" si="48"/>
        <v>-1</v>
      </c>
      <c r="Q263">
        <f t="shared" si="49"/>
        <v>-1</v>
      </c>
      <c r="R263">
        <f t="shared" si="50"/>
        <v>-1</v>
      </c>
      <c r="S263">
        <f t="shared" si="51"/>
        <v>-1</v>
      </c>
      <c r="T263">
        <f t="shared" si="52"/>
        <v>-1</v>
      </c>
      <c r="U263">
        <f t="shared" si="53"/>
        <v>-1</v>
      </c>
      <c r="V263">
        <f t="shared" si="54"/>
        <v>-1</v>
      </c>
    </row>
    <row r="264" spans="3:22" x14ac:dyDescent="0.3">
      <c r="C264">
        <f t="shared" si="35"/>
        <v>-1</v>
      </c>
      <c r="D264">
        <f t="shared" si="36"/>
        <v>-1</v>
      </c>
      <c r="E264">
        <f t="shared" si="37"/>
        <v>-1</v>
      </c>
      <c r="F264">
        <f t="shared" si="38"/>
        <v>-1</v>
      </c>
      <c r="G264">
        <f t="shared" si="39"/>
        <v>-1</v>
      </c>
      <c r="H264">
        <f t="shared" si="40"/>
        <v>-1</v>
      </c>
      <c r="I264">
        <f t="shared" si="41"/>
        <v>-1</v>
      </c>
      <c r="J264">
        <f t="shared" si="42"/>
        <v>-1</v>
      </c>
      <c r="K264">
        <f t="shared" si="43"/>
        <v>-1</v>
      </c>
      <c r="L264">
        <f t="shared" si="44"/>
        <v>-1</v>
      </c>
      <c r="M264">
        <f t="shared" si="45"/>
        <v>-1</v>
      </c>
      <c r="N264">
        <f t="shared" si="46"/>
        <v>-1</v>
      </c>
      <c r="O264">
        <f t="shared" si="47"/>
        <v>-1</v>
      </c>
      <c r="P264">
        <f t="shared" si="48"/>
        <v>-1</v>
      </c>
      <c r="Q264">
        <f t="shared" si="49"/>
        <v>-1</v>
      </c>
      <c r="R264">
        <f t="shared" si="50"/>
        <v>-1</v>
      </c>
      <c r="S264">
        <f t="shared" si="51"/>
        <v>-1</v>
      </c>
      <c r="T264">
        <f t="shared" si="52"/>
        <v>-1</v>
      </c>
      <c r="U264">
        <f t="shared" si="53"/>
        <v>-1</v>
      </c>
      <c r="V264">
        <f t="shared" si="54"/>
        <v>-1</v>
      </c>
    </row>
    <row r="265" spans="3:22" x14ac:dyDescent="0.3">
      <c r="C265">
        <f t="shared" si="35"/>
        <v>-1</v>
      </c>
      <c r="D265">
        <f t="shared" si="36"/>
        <v>-1</v>
      </c>
      <c r="E265">
        <f t="shared" si="37"/>
        <v>-1</v>
      </c>
      <c r="F265">
        <f t="shared" si="38"/>
        <v>-1</v>
      </c>
      <c r="G265">
        <f t="shared" si="39"/>
        <v>-1</v>
      </c>
      <c r="H265">
        <f t="shared" si="40"/>
        <v>-1</v>
      </c>
      <c r="I265">
        <f t="shared" si="41"/>
        <v>-1</v>
      </c>
      <c r="J265">
        <f t="shared" si="42"/>
        <v>-1</v>
      </c>
      <c r="K265">
        <f t="shared" si="43"/>
        <v>-1</v>
      </c>
      <c r="L265">
        <f t="shared" si="44"/>
        <v>-1</v>
      </c>
      <c r="M265">
        <f t="shared" si="45"/>
        <v>-1</v>
      </c>
      <c r="N265">
        <f t="shared" si="46"/>
        <v>-1</v>
      </c>
      <c r="O265">
        <f t="shared" si="47"/>
        <v>-1</v>
      </c>
      <c r="P265">
        <f t="shared" si="48"/>
        <v>-1</v>
      </c>
      <c r="Q265">
        <f t="shared" si="49"/>
        <v>-1</v>
      </c>
      <c r="R265">
        <f t="shared" si="50"/>
        <v>-1</v>
      </c>
      <c r="S265">
        <f t="shared" si="51"/>
        <v>-1</v>
      </c>
      <c r="T265">
        <f t="shared" si="52"/>
        <v>-1</v>
      </c>
      <c r="U265">
        <f t="shared" si="53"/>
        <v>-1</v>
      </c>
      <c r="V265">
        <f t="shared" si="54"/>
        <v>-1</v>
      </c>
    </row>
    <row r="266" spans="3:22" x14ac:dyDescent="0.3">
      <c r="C266">
        <f t="shared" si="35"/>
        <v>-1</v>
      </c>
      <c r="D266">
        <f t="shared" si="36"/>
        <v>-1</v>
      </c>
      <c r="E266">
        <f t="shared" si="37"/>
        <v>-1</v>
      </c>
      <c r="F266">
        <f t="shared" si="38"/>
        <v>-1</v>
      </c>
      <c r="G266">
        <f t="shared" si="39"/>
        <v>-1</v>
      </c>
      <c r="H266">
        <f t="shared" si="40"/>
        <v>-1</v>
      </c>
      <c r="I266">
        <f t="shared" si="41"/>
        <v>-1</v>
      </c>
      <c r="J266">
        <f t="shared" si="42"/>
        <v>-1</v>
      </c>
      <c r="K266">
        <f t="shared" si="43"/>
        <v>-1</v>
      </c>
      <c r="L266">
        <f t="shared" si="44"/>
        <v>-1</v>
      </c>
      <c r="M266">
        <f t="shared" si="45"/>
        <v>-1</v>
      </c>
      <c r="N266">
        <f t="shared" si="46"/>
        <v>-1</v>
      </c>
      <c r="O266">
        <f t="shared" si="47"/>
        <v>-1</v>
      </c>
      <c r="P266">
        <f t="shared" si="48"/>
        <v>-1</v>
      </c>
      <c r="Q266">
        <f t="shared" si="49"/>
        <v>-1</v>
      </c>
      <c r="R266">
        <f t="shared" si="50"/>
        <v>-1</v>
      </c>
      <c r="S266">
        <f t="shared" si="51"/>
        <v>-1</v>
      </c>
      <c r="T266">
        <f t="shared" si="52"/>
        <v>-1</v>
      </c>
      <c r="U266">
        <f t="shared" si="53"/>
        <v>-1</v>
      </c>
      <c r="V266">
        <f t="shared" si="54"/>
        <v>-1</v>
      </c>
    </row>
    <row r="267" spans="3:22" x14ac:dyDescent="0.3">
      <c r="C267">
        <f t="shared" si="35"/>
        <v>-1</v>
      </c>
      <c r="D267">
        <f t="shared" si="36"/>
        <v>-1</v>
      </c>
      <c r="E267">
        <f t="shared" si="37"/>
        <v>-1</v>
      </c>
      <c r="F267">
        <f t="shared" si="38"/>
        <v>-1</v>
      </c>
      <c r="G267">
        <f t="shared" si="39"/>
        <v>-1</v>
      </c>
      <c r="H267">
        <f t="shared" si="40"/>
        <v>-1</v>
      </c>
      <c r="I267">
        <f t="shared" si="41"/>
        <v>-1</v>
      </c>
      <c r="J267">
        <f t="shared" si="42"/>
        <v>-1</v>
      </c>
      <c r="K267">
        <f t="shared" si="43"/>
        <v>-1</v>
      </c>
      <c r="L267">
        <f t="shared" si="44"/>
        <v>-1</v>
      </c>
      <c r="M267">
        <f t="shared" si="45"/>
        <v>-1</v>
      </c>
      <c r="N267">
        <f t="shared" si="46"/>
        <v>-1</v>
      </c>
      <c r="O267">
        <f t="shared" si="47"/>
        <v>-1</v>
      </c>
      <c r="P267">
        <f t="shared" si="48"/>
        <v>-1</v>
      </c>
      <c r="Q267">
        <f t="shared" si="49"/>
        <v>-1</v>
      </c>
      <c r="R267">
        <f t="shared" si="50"/>
        <v>-1</v>
      </c>
      <c r="S267">
        <f t="shared" si="51"/>
        <v>-1</v>
      </c>
      <c r="T267">
        <f t="shared" si="52"/>
        <v>-1</v>
      </c>
      <c r="U267">
        <f t="shared" si="53"/>
        <v>-1</v>
      </c>
      <c r="V267">
        <f t="shared" si="54"/>
        <v>-1</v>
      </c>
    </row>
    <row r="268" spans="3:22" x14ac:dyDescent="0.3">
      <c r="C268">
        <f t="shared" si="35"/>
        <v>-1</v>
      </c>
      <c r="D268">
        <f t="shared" si="36"/>
        <v>-1</v>
      </c>
      <c r="E268">
        <f t="shared" si="37"/>
        <v>-1</v>
      </c>
      <c r="F268">
        <f t="shared" si="38"/>
        <v>-1</v>
      </c>
      <c r="G268">
        <f t="shared" si="39"/>
        <v>-1</v>
      </c>
      <c r="H268">
        <f t="shared" si="40"/>
        <v>-1</v>
      </c>
      <c r="I268">
        <f t="shared" si="41"/>
        <v>-1</v>
      </c>
      <c r="J268">
        <f t="shared" si="42"/>
        <v>-1</v>
      </c>
      <c r="K268">
        <f t="shared" si="43"/>
        <v>-1</v>
      </c>
      <c r="L268">
        <f t="shared" si="44"/>
        <v>-1</v>
      </c>
      <c r="M268">
        <f t="shared" si="45"/>
        <v>-1</v>
      </c>
      <c r="N268">
        <f t="shared" si="46"/>
        <v>-1</v>
      </c>
      <c r="O268">
        <f t="shared" si="47"/>
        <v>-1</v>
      </c>
      <c r="P268">
        <f t="shared" si="48"/>
        <v>-1</v>
      </c>
      <c r="Q268">
        <f t="shared" si="49"/>
        <v>-1</v>
      </c>
      <c r="R268">
        <f t="shared" si="50"/>
        <v>-1</v>
      </c>
      <c r="S268">
        <f t="shared" si="51"/>
        <v>-1</v>
      </c>
      <c r="T268">
        <f t="shared" si="52"/>
        <v>-1</v>
      </c>
      <c r="U268">
        <f t="shared" si="53"/>
        <v>-1</v>
      </c>
      <c r="V268">
        <f t="shared" si="54"/>
        <v>-1</v>
      </c>
    </row>
    <row r="269" spans="3:22" x14ac:dyDescent="0.3">
      <c r="C269">
        <f t="shared" si="35"/>
        <v>-1</v>
      </c>
      <c r="D269">
        <f t="shared" si="36"/>
        <v>-1</v>
      </c>
      <c r="E269">
        <f t="shared" si="37"/>
        <v>-1</v>
      </c>
      <c r="F269">
        <f t="shared" si="38"/>
        <v>-1</v>
      </c>
      <c r="G269">
        <f t="shared" si="39"/>
        <v>-1</v>
      </c>
      <c r="H269">
        <f t="shared" si="40"/>
        <v>-1</v>
      </c>
      <c r="I269">
        <f t="shared" si="41"/>
        <v>-1</v>
      </c>
      <c r="J269">
        <f t="shared" si="42"/>
        <v>-1</v>
      </c>
      <c r="K269">
        <f t="shared" si="43"/>
        <v>-1</v>
      </c>
      <c r="L269">
        <f t="shared" si="44"/>
        <v>-1</v>
      </c>
      <c r="M269">
        <f t="shared" si="45"/>
        <v>-1</v>
      </c>
      <c r="N269">
        <f t="shared" si="46"/>
        <v>-1</v>
      </c>
      <c r="O269">
        <f t="shared" si="47"/>
        <v>-1</v>
      </c>
      <c r="P269">
        <f t="shared" si="48"/>
        <v>-1</v>
      </c>
      <c r="Q269">
        <f t="shared" si="49"/>
        <v>-1</v>
      </c>
      <c r="R269">
        <f t="shared" si="50"/>
        <v>-1</v>
      </c>
      <c r="S269">
        <f t="shared" si="51"/>
        <v>-1</v>
      </c>
      <c r="T269">
        <f t="shared" si="52"/>
        <v>-1</v>
      </c>
      <c r="U269">
        <f t="shared" si="53"/>
        <v>-1</v>
      </c>
      <c r="V269">
        <f t="shared" si="54"/>
        <v>-1</v>
      </c>
    </row>
    <row r="270" spans="3:22" x14ac:dyDescent="0.3">
      <c r="C270">
        <f t="shared" si="35"/>
        <v>-1</v>
      </c>
      <c r="D270">
        <f t="shared" si="36"/>
        <v>-1</v>
      </c>
      <c r="E270">
        <f t="shared" si="37"/>
        <v>-1</v>
      </c>
      <c r="F270">
        <f t="shared" si="38"/>
        <v>-1</v>
      </c>
      <c r="G270">
        <f t="shared" si="39"/>
        <v>-1</v>
      </c>
      <c r="H270">
        <f t="shared" si="40"/>
        <v>-1</v>
      </c>
      <c r="I270">
        <f t="shared" si="41"/>
        <v>-1</v>
      </c>
      <c r="J270">
        <f t="shared" si="42"/>
        <v>-1</v>
      </c>
      <c r="K270">
        <f t="shared" si="43"/>
        <v>-1</v>
      </c>
      <c r="L270">
        <f t="shared" si="44"/>
        <v>-1</v>
      </c>
      <c r="M270">
        <f t="shared" si="45"/>
        <v>-1</v>
      </c>
      <c r="N270">
        <f t="shared" si="46"/>
        <v>-1</v>
      </c>
      <c r="O270">
        <f t="shared" si="47"/>
        <v>-1</v>
      </c>
      <c r="P270">
        <f t="shared" si="48"/>
        <v>-1</v>
      </c>
      <c r="Q270">
        <f t="shared" si="49"/>
        <v>-1</v>
      </c>
      <c r="R270">
        <f t="shared" si="50"/>
        <v>-1</v>
      </c>
      <c r="S270">
        <f t="shared" si="51"/>
        <v>-1</v>
      </c>
      <c r="T270">
        <f t="shared" si="52"/>
        <v>-1</v>
      </c>
      <c r="U270">
        <f t="shared" si="53"/>
        <v>-1</v>
      </c>
      <c r="V270">
        <f t="shared" si="54"/>
        <v>-1</v>
      </c>
    </row>
    <row r="271" spans="3:22" x14ac:dyDescent="0.3">
      <c r="C271">
        <f t="shared" si="35"/>
        <v>-1</v>
      </c>
      <c r="D271">
        <f t="shared" si="36"/>
        <v>-1</v>
      </c>
      <c r="E271">
        <f t="shared" si="37"/>
        <v>-1</v>
      </c>
      <c r="F271">
        <f t="shared" si="38"/>
        <v>-1</v>
      </c>
      <c r="G271">
        <f t="shared" si="39"/>
        <v>-1</v>
      </c>
      <c r="H271">
        <f t="shared" si="40"/>
        <v>-1</v>
      </c>
      <c r="I271">
        <f t="shared" si="41"/>
        <v>-1</v>
      </c>
      <c r="J271">
        <f t="shared" si="42"/>
        <v>-1</v>
      </c>
      <c r="K271">
        <f t="shared" si="43"/>
        <v>-1</v>
      </c>
      <c r="L271">
        <f t="shared" si="44"/>
        <v>-1</v>
      </c>
      <c r="M271">
        <f t="shared" si="45"/>
        <v>-1</v>
      </c>
      <c r="N271">
        <f t="shared" si="46"/>
        <v>-1</v>
      </c>
      <c r="O271">
        <f t="shared" si="47"/>
        <v>-1</v>
      </c>
      <c r="P271">
        <f t="shared" si="48"/>
        <v>-1</v>
      </c>
      <c r="Q271">
        <f t="shared" si="49"/>
        <v>-1</v>
      </c>
      <c r="R271">
        <f t="shared" si="50"/>
        <v>-1</v>
      </c>
      <c r="S271">
        <f t="shared" si="51"/>
        <v>-1</v>
      </c>
      <c r="T271">
        <f t="shared" si="52"/>
        <v>-1</v>
      </c>
      <c r="U271">
        <f t="shared" si="53"/>
        <v>-1</v>
      </c>
      <c r="V271">
        <f t="shared" si="54"/>
        <v>-1</v>
      </c>
    </row>
    <row r="272" spans="3:22" x14ac:dyDescent="0.3">
      <c r="C272">
        <f t="shared" si="35"/>
        <v>-1</v>
      </c>
      <c r="D272">
        <f t="shared" si="36"/>
        <v>-1</v>
      </c>
      <c r="E272">
        <f t="shared" si="37"/>
        <v>-1</v>
      </c>
      <c r="F272">
        <f t="shared" si="38"/>
        <v>-1</v>
      </c>
      <c r="G272">
        <f t="shared" si="39"/>
        <v>-1</v>
      </c>
      <c r="H272">
        <f t="shared" si="40"/>
        <v>-1</v>
      </c>
      <c r="I272">
        <f t="shared" si="41"/>
        <v>-1</v>
      </c>
      <c r="J272">
        <f t="shared" si="42"/>
        <v>-1</v>
      </c>
      <c r="K272">
        <f t="shared" si="43"/>
        <v>-1</v>
      </c>
      <c r="L272">
        <f t="shared" si="44"/>
        <v>-1</v>
      </c>
      <c r="M272">
        <f t="shared" si="45"/>
        <v>-1</v>
      </c>
      <c r="N272">
        <f t="shared" si="46"/>
        <v>-1</v>
      </c>
      <c r="O272">
        <f t="shared" si="47"/>
        <v>-1</v>
      </c>
      <c r="P272">
        <f t="shared" si="48"/>
        <v>-1</v>
      </c>
      <c r="Q272">
        <f t="shared" si="49"/>
        <v>-1</v>
      </c>
      <c r="R272">
        <f t="shared" si="50"/>
        <v>-1</v>
      </c>
      <c r="S272">
        <f t="shared" si="51"/>
        <v>-1</v>
      </c>
      <c r="T272">
        <f t="shared" si="52"/>
        <v>-1</v>
      </c>
      <c r="U272">
        <f t="shared" si="53"/>
        <v>-1</v>
      </c>
      <c r="V272">
        <f t="shared" si="54"/>
        <v>-1</v>
      </c>
    </row>
    <row r="273" spans="1:22" x14ac:dyDescent="0.3">
      <c r="C273">
        <f t="shared" si="35"/>
        <v>-1</v>
      </c>
      <c r="D273">
        <f t="shared" si="36"/>
        <v>-1</v>
      </c>
      <c r="E273">
        <f t="shared" si="37"/>
        <v>-1</v>
      </c>
      <c r="F273">
        <f t="shared" si="38"/>
        <v>-1</v>
      </c>
      <c r="G273">
        <f t="shared" si="39"/>
        <v>-1</v>
      </c>
      <c r="H273">
        <f t="shared" si="40"/>
        <v>-1</v>
      </c>
      <c r="I273">
        <f t="shared" si="41"/>
        <v>-1</v>
      </c>
      <c r="J273">
        <f t="shared" si="42"/>
        <v>-1</v>
      </c>
      <c r="K273">
        <f t="shared" si="43"/>
        <v>-1</v>
      </c>
      <c r="L273">
        <f t="shared" si="44"/>
        <v>-1</v>
      </c>
      <c r="M273">
        <f t="shared" si="45"/>
        <v>-1</v>
      </c>
      <c r="N273">
        <f t="shared" si="46"/>
        <v>-1</v>
      </c>
      <c r="O273">
        <f t="shared" si="47"/>
        <v>-1</v>
      </c>
      <c r="P273">
        <f t="shared" si="48"/>
        <v>-1</v>
      </c>
      <c r="Q273">
        <f t="shared" si="49"/>
        <v>-1</v>
      </c>
      <c r="R273">
        <f t="shared" si="50"/>
        <v>-1</v>
      </c>
      <c r="S273">
        <f t="shared" si="51"/>
        <v>-1</v>
      </c>
      <c r="T273">
        <f t="shared" si="52"/>
        <v>-1</v>
      </c>
      <c r="U273">
        <f t="shared" si="53"/>
        <v>-1</v>
      </c>
      <c r="V273">
        <f t="shared" si="54"/>
        <v>-1</v>
      </c>
    </row>
    <row r="274" spans="1:22" x14ac:dyDescent="0.3">
      <c r="C274">
        <f t="shared" si="35"/>
        <v>-1</v>
      </c>
      <c r="D274">
        <f t="shared" si="36"/>
        <v>-1</v>
      </c>
      <c r="E274">
        <f t="shared" si="37"/>
        <v>-1</v>
      </c>
      <c r="F274">
        <f t="shared" si="38"/>
        <v>-1</v>
      </c>
      <c r="G274">
        <f t="shared" si="39"/>
        <v>-1</v>
      </c>
      <c r="H274">
        <f t="shared" si="40"/>
        <v>-1</v>
      </c>
      <c r="I274">
        <f t="shared" si="41"/>
        <v>-1</v>
      </c>
      <c r="J274">
        <f t="shared" si="42"/>
        <v>-1</v>
      </c>
      <c r="K274">
        <f t="shared" si="43"/>
        <v>-1</v>
      </c>
      <c r="L274">
        <f t="shared" si="44"/>
        <v>-1</v>
      </c>
      <c r="M274">
        <f t="shared" si="45"/>
        <v>-1</v>
      </c>
      <c r="N274">
        <f t="shared" si="46"/>
        <v>-1</v>
      </c>
      <c r="O274">
        <f t="shared" si="47"/>
        <v>-1</v>
      </c>
      <c r="P274">
        <f t="shared" si="48"/>
        <v>-1</v>
      </c>
      <c r="Q274">
        <f t="shared" si="49"/>
        <v>-1</v>
      </c>
      <c r="R274">
        <f t="shared" si="50"/>
        <v>-1</v>
      </c>
      <c r="S274">
        <f t="shared" si="51"/>
        <v>-1</v>
      </c>
      <c r="T274">
        <f t="shared" si="52"/>
        <v>-1</v>
      </c>
      <c r="U274">
        <f t="shared" si="53"/>
        <v>-1</v>
      </c>
      <c r="V274">
        <f t="shared" si="54"/>
        <v>-1</v>
      </c>
    </row>
    <row r="277" spans="1:22" x14ac:dyDescent="0.3">
      <c r="A277" t="s">
        <v>161</v>
      </c>
    </row>
    <row r="278" spans="1:22" x14ac:dyDescent="0.3">
      <c r="C278" t="str">
        <f>IF(LARGE($C$230:$V$230,1)&lt;0,"",MATCH(LARGE($C$230:$V$230,1),$C$230:$V$230,0))</f>
        <v/>
      </c>
      <c r="D278" t="str">
        <f>IF(LARGE($C$230:$V$230,2)&lt;0,"",MATCH(LARGE($C$230:$V$230,2),$C$230:$V$230,0))</f>
        <v/>
      </c>
      <c r="E278" t="str">
        <f>IF(LARGE($C$230:$V$230,3)&lt;0,"",MATCH(LARGE($C$230:$V$230,3),$C$230:$V$230,0))</f>
        <v/>
      </c>
      <c r="F278" t="str">
        <f>IF(LARGE($C$230:$V$230,4)&lt;0,"",MATCH(LARGE($C$230:$V$230,4),$C$230:$V$230,0))</f>
        <v/>
      </c>
      <c r="G278" t="str">
        <f>IF(LARGE($C$230:$V$230,5)&lt;0,"",MATCH(LARGE($C$230:$V$230,5),$C$230:$V$230,0))</f>
        <v/>
      </c>
      <c r="H278" t="str">
        <f>IF(LARGE($C$230:$V$230,6)&lt;0,"",MATCH(LARGE($C$230:$V$230,6),$C$230:$V$230,0))</f>
        <v/>
      </c>
      <c r="I278" t="str">
        <f>IF(LARGE($C$230:$V$230,7)&lt;0,"",MATCH(LARGE($C$230:$V$230,7),$C$230:$V$230,0))</f>
        <v/>
      </c>
      <c r="J278" t="str">
        <f>IF(LARGE($C$230:$V$230,8)&lt;0,"",MATCH(LARGE($C$230:$V$230,8),$C$230:$V$230,0))</f>
        <v/>
      </c>
      <c r="K278" t="str">
        <f>IF(LARGE($C$230:$V$230,9)&lt;0,"",MATCH(LARGE($C$230:$V$230,9),$C$230:$V$230,0))</f>
        <v/>
      </c>
      <c r="L278" t="str">
        <f>IF(LARGE($C$230:$V$230,10)&lt;0,"",MATCH(LARGE($C$230:$V$230,10),$C$230:$V$230,0))</f>
        <v/>
      </c>
      <c r="M278" t="str">
        <f>IF(LARGE($C$230:$V$230,11)&lt;0,"",MATCH(LARGE($C$230:$V$230,11),$C$230:$V$230,0))</f>
        <v/>
      </c>
      <c r="N278" t="str">
        <f>IF(LARGE($C$230:$V$230,12)&lt;0,"",MATCH(LARGE($C$230:$V$230,12),$C$230:$V$230,0))</f>
        <v/>
      </c>
      <c r="O278" t="str">
        <f>IF(LARGE($C$230:$V$230,13)&lt;0,"",MATCH(LARGE($C$230:$V$230,13),$C$230:$V$230,0))</f>
        <v/>
      </c>
      <c r="P278" t="str">
        <f>IF(LARGE($C$230:$V$230,14)&lt;0,"",MATCH(LARGE($C$230:$V$230,14),$C$230:$V$230,0))</f>
        <v/>
      </c>
      <c r="Q278" t="str">
        <f>IF(LARGE($C$230:$V$230,15)&lt;0,"",MATCH(LARGE($C$230:$V$230,15),$C$230:$V$230,0))</f>
        <v/>
      </c>
      <c r="R278" t="str">
        <f>IF(LARGE($C$230:$V$230,16)&lt;0,"",MATCH(LARGE($C$230:$V$230,16),$C$230:$V$230,0))</f>
        <v/>
      </c>
      <c r="S278" t="str">
        <f>IF(LARGE($C$230:$V$230,17)&lt;0,"",MATCH(LARGE($C$230:$V$230,17),$C$230:$V$230,0))</f>
        <v/>
      </c>
      <c r="T278" t="str">
        <f>IF(LARGE($C$230:$V$230,18)&lt;0,"",MATCH(LARGE($C$230:$V$230,18),$C$230:$V$230,0))</f>
        <v/>
      </c>
      <c r="U278" t="str">
        <f>IF(LARGE($C$230:$V$230,19)&lt;0,"",MATCH(LARGE($C$230:$V$230,19),$C$230:$V$230,0))</f>
        <v/>
      </c>
      <c r="V278" t="str">
        <f>IF(LARGE($C$230:$V$230,20)&lt;0,"",MATCH(LARGE($C$230:$V$230,20),$C$230:$V$230,0))</f>
        <v/>
      </c>
    </row>
    <row r="279" spans="1:22" x14ac:dyDescent="0.3">
      <c r="C279" t="str">
        <f>IF(LARGE($C$231:$V$231,1)&lt;0,"",MATCH(LARGE($C$231:$V$231,1),$C$231:$V$231,0))</f>
        <v/>
      </c>
      <c r="D279" t="str">
        <f>IF(LARGE($C$231:$V$231,2)&lt;0,"",MATCH(LARGE($C$231:$V$231,2),$C$231:$V$231,0))</f>
        <v/>
      </c>
      <c r="E279" t="str">
        <f>IF(LARGE($C$231:$V$231,3)&lt;0,"",MATCH(LARGE($C$231:$V$231,3),$C$231:$V$231,0))</f>
        <v/>
      </c>
      <c r="F279" t="str">
        <f>IF(LARGE($C$231:$V$231,4)&lt;0,"",MATCH(LARGE($C$231:$V$231,4),$C$231:$V$231,0))</f>
        <v/>
      </c>
      <c r="G279" t="str">
        <f>IF(LARGE($C$231:$V$231,5)&lt;0,"",MATCH(LARGE($C$231:$V$231,5),$C$231:$V$231,0))</f>
        <v/>
      </c>
      <c r="H279" t="str">
        <f>IF(LARGE($C$231:$V$231,6)&lt;0,"",MATCH(LARGE($C$231:$V$231,6),$C$231:$V$231,0))</f>
        <v/>
      </c>
      <c r="I279" t="str">
        <f>IF(LARGE($C$231:$V$231,7)&lt;0,"",MATCH(LARGE($C$231:$V$231,7),$C$231:$V$231,0))</f>
        <v/>
      </c>
      <c r="J279" t="str">
        <f>IF(LARGE($C$231:$V$231,8)&lt;0,"",MATCH(LARGE($C$231:$V$231,8),$C$231:$V$231,0))</f>
        <v/>
      </c>
      <c r="K279" t="str">
        <f>IF(LARGE($C$231:$V$231,9)&lt;0,"",MATCH(LARGE($C$231:$V$231,9),$C$231:$V$231,0))</f>
        <v/>
      </c>
      <c r="L279" t="str">
        <f>IF(LARGE($C$231:$V$231,10)&lt;0,"",MATCH(LARGE($C$231:$V$231,10),$C$231:$V$231,0))</f>
        <v/>
      </c>
      <c r="M279" t="str">
        <f>IF(LARGE($C$231:$V$231,11)&lt;0,"",MATCH(LARGE($C$231:$V$231,11),$C$231:$V$231,0))</f>
        <v/>
      </c>
      <c r="N279" t="str">
        <f>IF(LARGE($C$231:$V$231,12)&lt;0,"",MATCH(LARGE($C$231:$V$231,12),$C$231:$V$231,0))</f>
        <v/>
      </c>
      <c r="O279" t="str">
        <f>IF(LARGE($C$231:$V$231,13)&lt;0,"",MATCH(LARGE($C$231:$V$231,13),$C$231:$V$231,0))</f>
        <v/>
      </c>
      <c r="P279" t="str">
        <f>IF(LARGE($C$231:$V$231,14)&lt;0,"",MATCH(LARGE($C$231:$V$231,14),$C$231:$V$231,0))</f>
        <v/>
      </c>
      <c r="Q279" t="str">
        <f>IF(LARGE($C$231:$V$231,15)&lt;0,"",MATCH(LARGE($C$231:$V$231,15),$C$231:$V$231,0))</f>
        <v/>
      </c>
      <c r="R279" t="str">
        <f>IF(LARGE($C$231:$V$231,16)&lt;0,"",MATCH(LARGE($C$231:$V$231,16),$C$231:$V$231,0))</f>
        <v/>
      </c>
      <c r="S279" t="str">
        <f>IF(LARGE($C$231:$V$231,17)&lt;0,"",MATCH(LARGE($C$231:$V$231,17),$C$231:$V$231,0))</f>
        <v/>
      </c>
      <c r="T279" t="str">
        <f>IF(LARGE($C$231:$V$231,18)&lt;0,"",MATCH(LARGE($C$231:$V$231,18),$C$231:$V$231,0))</f>
        <v/>
      </c>
      <c r="U279" t="str">
        <f>IF(LARGE($C$231:$V$231,19)&lt;0,"",MATCH(LARGE($C$231:$V$231,19),$C$231:$V$231,0))</f>
        <v/>
      </c>
      <c r="V279" t="str">
        <f>IF(LARGE($C$231:$V$231,20)&lt;0,"",MATCH(LARGE($C$231:$V$231,20),$C$231:$V$231,0))</f>
        <v/>
      </c>
    </row>
    <row r="280" spans="1:22" x14ac:dyDescent="0.3">
      <c r="C280" t="str">
        <f>IF(LARGE($C$232:$V$232,1)&lt;0,"",MATCH(LARGE($C$232:$V$232,1),$C$232:$V$232,0))</f>
        <v/>
      </c>
      <c r="D280" t="str">
        <f>IF(LARGE($C$232:$V$232,2)&lt;0,"",MATCH(LARGE($C$232:$V$232,2),$C$232:$V$232,0))</f>
        <v/>
      </c>
      <c r="E280" t="str">
        <f>IF(LARGE($C$232:$V$232,3)&lt;0,"",MATCH(LARGE($C$232:$V$232,3),$C$232:$V$232,0))</f>
        <v/>
      </c>
      <c r="F280" t="str">
        <f>IF(LARGE($C$232:$V$232,4)&lt;0,"",MATCH(LARGE($C$232:$V$232,4),$C$232:$V$232,0))</f>
        <v/>
      </c>
      <c r="G280" t="str">
        <f>IF(LARGE($C$232:$V$232,5)&lt;0,"",MATCH(LARGE($C$232:$V$232,5),$C$232:$V$232,0))</f>
        <v/>
      </c>
      <c r="H280" t="str">
        <f>IF(LARGE($C$232:$V$232,6)&lt;0,"",MATCH(LARGE($C$232:$V$232,6),$C$232:$V$232,0))</f>
        <v/>
      </c>
      <c r="I280" t="str">
        <f>IF(LARGE($C$232:$V$232,7)&lt;0,"",MATCH(LARGE($C$232:$V$232,7),$C$232:$V$232,0))</f>
        <v/>
      </c>
      <c r="J280" t="str">
        <f>IF(LARGE($C$232:$V$232,8)&lt;0,"",MATCH(LARGE($C$232:$V$232,8),$C$232:$V$232,0))</f>
        <v/>
      </c>
      <c r="K280" t="str">
        <f>IF(LARGE($C$232:$V$232,9)&lt;0,"",MATCH(LARGE($C$232:$V$232,9),$C$232:$V$232,0))</f>
        <v/>
      </c>
      <c r="L280" t="str">
        <f>IF(LARGE($C$232:$V$232,10)&lt;0,"",MATCH(LARGE($C$232:$V$232,10),$C$232:$V$232,0))</f>
        <v/>
      </c>
      <c r="M280" t="str">
        <f>IF(LARGE($C$232:$V$232,11)&lt;0,"",MATCH(LARGE($C$232:$V$232,11),$C$232:$V$232,0))</f>
        <v/>
      </c>
      <c r="N280" t="str">
        <f>IF(LARGE($C$232:$V$232,12)&lt;0,"",MATCH(LARGE($C$232:$V$232,12),$C$232:$V$232,0))</f>
        <v/>
      </c>
      <c r="O280" t="str">
        <f>IF(LARGE($C$232:$V$232,13)&lt;0,"",MATCH(LARGE($C$232:$V$232,13),$C$232:$V$232,0))</f>
        <v/>
      </c>
      <c r="P280" t="str">
        <f>IF(LARGE($C$232:$V$232,14)&lt;0,"",MATCH(LARGE($C$232:$V$232,14),$C$232:$V$232,0))</f>
        <v/>
      </c>
      <c r="Q280" t="str">
        <f>IF(LARGE($C$232:$V$232,15)&lt;0,"",MATCH(LARGE($C$232:$V$232,15),$C$232:$V$232,0))</f>
        <v/>
      </c>
      <c r="R280" t="str">
        <f>IF(LARGE($C$232:$V$232,16)&lt;0,"",MATCH(LARGE($C$232:$V$232,16),$C$232:$V$232,0))</f>
        <v/>
      </c>
      <c r="S280" t="str">
        <f>IF(LARGE($C$232:$V$232,17)&lt;0,"",MATCH(LARGE($C$232:$V$232,17),$C$232:$V$232,0))</f>
        <v/>
      </c>
      <c r="T280" t="str">
        <f>IF(LARGE($C$232:$V$232,18)&lt;0,"",MATCH(LARGE($C$232:$V$232,18),$C$232:$V$232,0))</f>
        <v/>
      </c>
      <c r="U280" t="str">
        <f>IF(LARGE($C$232:$V$232,19)&lt;0,"",MATCH(LARGE($C$232:$V$232,19),$C$232:$V$232,0))</f>
        <v/>
      </c>
      <c r="V280" t="str">
        <f>IF(LARGE($C$232:$V$232,20)&lt;0,"",MATCH(LARGE($C$232:$V$232,20),$C$232:$V$232,0))</f>
        <v/>
      </c>
    </row>
    <row r="281" spans="1:22" x14ac:dyDescent="0.3">
      <c r="C281" t="str">
        <f>IF(LARGE($C$233:$V$233,1)&lt;0,"",MATCH(LARGE($C$233:$V$233,1),$C$233:$V$233,0))</f>
        <v/>
      </c>
      <c r="D281" t="str">
        <f>IF(LARGE($C$233:$V$233,2)&lt;0,"",MATCH(LARGE($C$233:$V$233,2),$C$233:$V$233,0))</f>
        <v/>
      </c>
      <c r="E281" t="str">
        <f>IF(LARGE($C$233:$V$233,3)&lt;0,"",MATCH(LARGE($C$233:$V$233,3),$C$233:$V$233,0))</f>
        <v/>
      </c>
      <c r="F281" t="str">
        <f>IF(LARGE($C$233:$V$233,4)&lt;0,"",MATCH(LARGE($C$233:$V$233,4),$C$233:$V$233,0))</f>
        <v/>
      </c>
      <c r="G281" t="str">
        <f>IF(LARGE($C$233:$V$233,5)&lt;0,"",MATCH(LARGE($C$233:$V$233,5),$C$233:$V$233,0))</f>
        <v/>
      </c>
      <c r="H281" t="str">
        <f>IF(LARGE($C$233:$V$233,6)&lt;0,"",MATCH(LARGE($C$233:$V$233,6),$C$233:$V$233,0))</f>
        <v/>
      </c>
      <c r="I281" t="str">
        <f>IF(LARGE($C$233:$V$233,7)&lt;0,"",MATCH(LARGE($C$233:$V$233,7),$C$233:$V$233,0))</f>
        <v/>
      </c>
      <c r="J281" t="str">
        <f>IF(LARGE($C$233:$V$233,8)&lt;0,"",MATCH(LARGE($C$233:$V$233,8),$C$233:$V$233,0))</f>
        <v/>
      </c>
      <c r="K281" t="str">
        <f>IF(LARGE($C$233:$V$233,9)&lt;0,"",MATCH(LARGE($C$233:$V$233,9),$C$233:$V$233,0))</f>
        <v/>
      </c>
      <c r="L281" t="str">
        <f>IF(LARGE($C$233:$V$233,10)&lt;0,"",MATCH(LARGE($C$233:$V$233,10),$C$233:$V$233,0))</f>
        <v/>
      </c>
      <c r="M281" t="str">
        <f>IF(LARGE($C$233:$V$233,11)&lt;0,"",MATCH(LARGE($C$233:$V$233,11),$C$233:$V$233,0))</f>
        <v/>
      </c>
      <c r="N281" t="str">
        <f>IF(LARGE($C$233:$V$233,12)&lt;0,"",MATCH(LARGE($C$233:$V$233,12),$C$233:$V$233,0))</f>
        <v/>
      </c>
      <c r="O281" t="str">
        <f>IF(LARGE($C$233:$V$233,13)&lt;0,"",MATCH(LARGE($C$233:$V$233,13),$C$233:$V$233,0))</f>
        <v/>
      </c>
      <c r="P281" t="str">
        <f>IF(LARGE($C$233:$V$233,14)&lt;0,"",MATCH(LARGE($C$233:$V$233,14),$C$233:$V$233,0))</f>
        <v/>
      </c>
      <c r="Q281" t="str">
        <f>IF(LARGE($C$233:$V$233,15)&lt;0,"",MATCH(LARGE($C$233:$V$233,15),$C$233:$V$233,0))</f>
        <v/>
      </c>
      <c r="R281" t="str">
        <f>IF(LARGE($C$233:$V$233,16)&lt;0,"",MATCH(LARGE($C$233:$V$233,16),$C$233:$V$233,0))</f>
        <v/>
      </c>
      <c r="S281" t="str">
        <f>IF(LARGE($C$233:$V$233,17)&lt;0,"",MATCH(LARGE($C$233:$V$233,17),$C$233:$V$233,0))</f>
        <v/>
      </c>
      <c r="T281" t="str">
        <f>IF(LARGE($C$233:$V$233,18)&lt;0,"",MATCH(LARGE($C$233:$V$233,18),$C$233:$V$233,0))</f>
        <v/>
      </c>
      <c r="U281" t="str">
        <f>IF(LARGE($C$233:$V$233,19)&lt;0,"",MATCH(LARGE($C$233:$V$233,19),$C$233:$V$233,0))</f>
        <v/>
      </c>
      <c r="V281" t="str">
        <f>IF(LARGE($C$233:$V$233,20)&lt;0,"",MATCH(LARGE($C$233:$V$233,20),$C$233:$V$233,0))</f>
        <v/>
      </c>
    </row>
    <row r="282" spans="1:22" x14ac:dyDescent="0.3">
      <c r="C282" t="str">
        <f>IF(LARGE($C$234:$V$234,1)&lt;0,"",MATCH(LARGE($C$234:$V$234,1),$C$234:$V$234,0))</f>
        <v/>
      </c>
      <c r="D282" t="str">
        <f>IF(LARGE($C$234:$V$234,2)&lt;0,"",MATCH(LARGE($C$234:$V$234,2),$C$234:$V$234,0))</f>
        <v/>
      </c>
      <c r="E282" t="str">
        <f>IF(LARGE($C$234:$V$234,3)&lt;0,"",MATCH(LARGE($C$234:$V$234,3),$C$234:$V$234,0))</f>
        <v/>
      </c>
      <c r="F282" t="str">
        <f>IF(LARGE($C$234:$V$234,4)&lt;0,"",MATCH(LARGE($C$234:$V$234,4),$C$234:$V$234,0))</f>
        <v/>
      </c>
      <c r="G282" t="str">
        <f>IF(LARGE($C$234:$V$234,5)&lt;0,"",MATCH(LARGE($C$234:$V$234,5),$C$234:$V$234,0))</f>
        <v/>
      </c>
      <c r="H282" t="str">
        <f>IF(LARGE($C$234:$V$234,6)&lt;0,"",MATCH(LARGE($C$234:$V$234,6),$C$234:$V$234,0))</f>
        <v/>
      </c>
      <c r="I282" t="str">
        <f>IF(LARGE($C$234:$V$234,7)&lt;0,"",MATCH(LARGE($C$234:$V$234,7),$C$234:$V$234,0))</f>
        <v/>
      </c>
      <c r="J282" t="str">
        <f>IF(LARGE($C$234:$V$234,8)&lt;0,"",MATCH(LARGE($C$234:$V$234,8),$C$234:$V$234,0))</f>
        <v/>
      </c>
      <c r="K282" t="str">
        <f>IF(LARGE($C$234:$V$234,9)&lt;0,"",MATCH(LARGE($C$234:$V$234,9),$C$234:$V$234,0))</f>
        <v/>
      </c>
      <c r="L282" t="str">
        <f>IF(LARGE($C$234:$V$234,10)&lt;0,"",MATCH(LARGE($C$234:$V$234,10),$C$234:$V$234,0))</f>
        <v/>
      </c>
      <c r="M282" t="str">
        <f>IF(LARGE($C$234:$V$234,11)&lt;0,"",MATCH(LARGE($C$234:$V$234,11),$C$234:$V$234,0))</f>
        <v/>
      </c>
      <c r="N282" t="str">
        <f>IF(LARGE($C$234:$V$234,12)&lt;0,"",MATCH(LARGE($C$234:$V$234,12),$C$234:$V$234,0))</f>
        <v/>
      </c>
      <c r="O282" t="str">
        <f>IF(LARGE($C$234:$V$234,13)&lt;0,"",MATCH(LARGE($C$234:$V$234,13),$C$234:$V$234,0))</f>
        <v/>
      </c>
      <c r="P282" t="str">
        <f>IF(LARGE($C$234:$V$234,14)&lt;0,"",MATCH(LARGE($C$234:$V$234,14),$C$234:$V$234,0))</f>
        <v/>
      </c>
      <c r="Q282" t="str">
        <f>IF(LARGE($C$234:$V$234,15)&lt;0,"",MATCH(LARGE($C$234:$V$234,15),$C$234:$V$234,0))</f>
        <v/>
      </c>
      <c r="R282" t="str">
        <f>IF(LARGE($C$234:$V$234,16)&lt;0,"",MATCH(LARGE($C$234:$V$234,16),$C$234:$V$234,0))</f>
        <v/>
      </c>
      <c r="S282" t="str">
        <f>IF(LARGE($C$234:$V$234,17)&lt;0,"",MATCH(LARGE($C$234:$V$234,17),$C$234:$V$234,0))</f>
        <v/>
      </c>
      <c r="T282" t="str">
        <f>IF(LARGE($C$234:$V$234,18)&lt;0,"",MATCH(LARGE($C$234:$V$234,18),$C$234:$V$234,0))</f>
        <v/>
      </c>
      <c r="U282" t="str">
        <f>IF(LARGE($C$234:$V$234,19)&lt;0,"",MATCH(LARGE($C$234:$V$234,19),$C$234:$V$234,0))</f>
        <v/>
      </c>
      <c r="V282" t="str">
        <f>IF(LARGE($C$234:$V$234,20)&lt;0,"",MATCH(LARGE($C$234:$V$234,20),$C$234:$V$234,0))</f>
        <v/>
      </c>
    </row>
    <row r="283" spans="1:22" x14ac:dyDescent="0.3">
      <c r="C283" t="str">
        <f>IF(LARGE($C$235:$V$235,1)&lt;0,"",MATCH(LARGE($C$235:$V$235,1),$C$235:$V$235,0))</f>
        <v/>
      </c>
      <c r="D283" t="str">
        <f>IF(LARGE($C$235:$V$235,2)&lt;0,"",MATCH(LARGE($C$235:$V$235,2),$C$235:$V$235,0))</f>
        <v/>
      </c>
      <c r="E283" t="str">
        <f>IF(LARGE($C$235:$V$235,3)&lt;0,"",MATCH(LARGE($C$235:$V$235,3),$C$235:$V$235,0))</f>
        <v/>
      </c>
      <c r="F283" t="str">
        <f>IF(LARGE($C$235:$V$235,4)&lt;0,"",MATCH(LARGE($C$235:$V$235,4),$C$235:$V$235,0))</f>
        <v/>
      </c>
      <c r="G283" t="str">
        <f>IF(LARGE($C$235:$V$235,5)&lt;0,"",MATCH(LARGE($C$235:$V$235,5),$C$235:$V$235,0))</f>
        <v/>
      </c>
      <c r="H283" t="str">
        <f>IF(LARGE($C$235:$V$235,6)&lt;0,"",MATCH(LARGE($C$235:$V$235,6),$C$235:$V$235,0))</f>
        <v/>
      </c>
      <c r="I283" t="str">
        <f>IF(LARGE($C$235:$V$235,7)&lt;0,"",MATCH(LARGE($C$235:$V$235,7),$C$235:$V$235,0))</f>
        <v/>
      </c>
      <c r="J283" t="str">
        <f>IF(LARGE($C$235:$V$235,8)&lt;0,"",MATCH(LARGE($C$235:$V$235,8),$C$235:$V$235,0))</f>
        <v/>
      </c>
      <c r="K283" t="str">
        <f>IF(LARGE($C$235:$V$235,9)&lt;0,"",MATCH(LARGE($C$235:$V$235,9),$C$235:$V$235,0))</f>
        <v/>
      </c>
      <c r="L283" t="str">
        <f>IF(LARGE($C$235:$V$235,10)&lt;0,"",MATCH(LARGE($C$235:$V$235,10),$C$235:$V$235,0))</f>
        <v/>
      </c>
      <c r="M283" t="str">
        <f>IF(LARGE($C$235:$V$235,11)&lt;0,"",MATCH(LARGE($C$235:$V$235,11),$C$235:$V$235,0))</f>
        <v/>
      </c>
      <c r="N283" t="str">
        <f>IF(LARGE($C$235:$V$235,12)&lt;0,"",MATCH(LARGE($C$235:$V$235,12),$C$235:$V$235,0))</f>
        <v/>
      </c>
      <c r="O283" t="str">
        <f>IF(LARGE($C$235:$V$235,13)&lt;0,"",MATCH(LARGE($C$235:$V$235,13),$C$235:$V$235,0))</f>
        <v/>
      </c>
      <c r="P283" t="str">
        <f>IF(LARGE($C$235:$V$235,14)&lt;0,"",MATCH(LARGE($C$235:$V$235,14),$C$235:$V$235,0))</f>
        <v/>
      </c>
      <c r="Q283" t="str">
        <f>IF(LARGE($C$235:$V$235,15)&lt;0,"",MATCH(LARGE($C$235:$V$235,15),$C$235:$V$235,0))</f>
        <v/>
      </c>
      <c r="R283" t="str">
        <f>IF(LARGE($C$235:$V$235,16)&lt;0,"",MATCH(LARGE($C$235:$V$235,16),$C$235:$V$235,0))</f>
        <v/>
      </c>
      <c r="S283" t="str">
        <f>IF(LARGE($C$235:$V$235,17)&lt;0,"",MATCH(LARGE($C$235:$V$235,17),$C$235:$V$235,0))</f>
        <v/>
      </c>
      <c r="T283" t="str">
        <f>IF(LARGE($C$235:$V$235,18)&lt;0,"",MATCH(LARGE($C$235:$V$235,18),$C$235:$V$235,0))</f>
        <v/>
      </c>
      <c r="U283" t="str">
        <f>IF(LARGE($C$235:$V$235,19)&lt;0,"",MATCH(LARGE($C$235:$V$235,19),$C$235:$V$235,0))</f>
        <v/>
      </c>
      <c r="V283" t="str">
        <f>IF(LARGE($C$235:$V$235,20)&lt;0,"",MATCH(LARGE($C$235:$V$235,20),$C$235:$V$235,0))</f>
        <v/>
      </c>
    </row>
    <row r="284" spans="1:22" x14ac:dyDescent="0.3">
      <c r="C284" t="str">
        <f>IF(LARGE($C$236:$V$236,1)&lt;0,"",MATCH(LARGE($C$236:$V$236,1),$C$236:$V$236,0))</f>
        <v/>
      </c>
      <c r="D284" t="str">
        <f>IF(LARGE($C$236:$V$236,2)&lt;0,"",MATCH(LARGE($C$236:$V$236,2),$C$236:$V$236,0))</f>
        <v/>
      </c>
      <c r="E284" t="str">
        <f>IF(LARGE($C$236:$V$236,3)&lt;0,"",MATCH(LARGE($C$236:$V$236,3),$C$236:$V$236,0))</f>
        <v/>
      </c>
      <c r="F284" t="str">
        <f>IF(LARGE($C$236:$V$236,4)&lt;0,"",MATCH(LARGE($C$236:$V$236,4),$C$236:$V$236,0))</f>
        <v/>
      </c>
      <c r="G284" t="str">
        <f>IF(LARGE($C$236:$V$236,5)&lt;0,"",MATCH(LARGE($C$236:$V$236,5),$C$236:$V$236,0))</f>
        <v/>
      </c>
      <c r="H284" t="str">
        <f>IF(LARGE($C$236:$V$236,6)&lt;0,"",MATCH(LARGE($C$236:$V$236,6),$C$236:$V$236,0))</f>
        <v/>
      </c>
      <c r="I284" t="str">
        <f>IF(LARGE($C$236:$V$236,7)&lt;0,"",MATCH(LARGE($C$236:$V$236,7),$C$236:$V$236,0))</f>
        <v/>
      </c>
      <c r="J284" t="str">
        <f>IF(LARGE($C$236:$V$236,8)&lt;0,"",MATCH(LARGE($C$236:$V$236,8),$C$236:$V$236,0))</f>
        <v/>
      </c>
      <c r="K284" t="str">
        <f>IF(LARGE($C$236:$V$236,9)&lt;0,"",MATCH(LARGE($C$236:$V$236,9),$C$236:$V$236,0))</f>
        <v/>
      </c>
      <c r="L284" t="str">
        <f>IF(LARGE($C$236:$V$236,10)&lt;0,"",MATCH(LARGE($C$236:$V$236,10),$C$236:$V$236,0))</f>
        <v/>
      </c>
      <c r="M284" t="str">
        <f>IF(LARGE($C$236:$V$236,11)&lt;0,"",MATCH(LARGE($C$236:$V$236,11),$C$236:$V$236,0))</f>
        <v/>
      </c>
      <c r="N284" t="str">
        <f>IF(LARGE($C$236:$V$236,12)&lt;0,"",MATCH(LARGE($C$236:$V$236,12),$C$236:$V$236,0))</f>
        <v/>
      </c>
      <c r="O284" t="str">
        <f>IF(LARGE($C$236:$V$236,13)&lt;0,"",MATCH(LARGE($C$236:$V$236,13),$C$236:$V$236,0))</f>
        <v/>
      </c>
      <c r="P284" t="str">
        <f>IF(LARGE($C$236:$V$236,14)&lt;0,"",MATCH(LARGE($C$236:$V$236,14),$C$236:$V$236,0))</f>
        <v/>
      </c>
      <c r="Q284" t="str">
        <f>IF(LARGE($C$236:$V$236,15)&lt;0,"",MATCH(LARGE($C$236:$V$236,15),$C$236:$V$236,0))</f>
        <v/>
      </c>
      <c r="R284" t="str">
        <f>IF(LARGE($C$236:$V$236,16)&lt;0,"",MATCH(LARGE($C$236:$V$236,16),$C$236:$V$236,0))</f>
        <v/>
      </c>
      <c r="S284" t="str">
        <f>IF(LARGE($C$236:$V$236,17)&lt;0,"",MATCH(LARGE($C$236:$V$236,17),$C$236:$V$236,0))</f>
        <v/>
      </c>
      <c r="T284" t="str">
        <f>IF(LARGE($C$236:$V$236,18)&lt;0,"",MATCH(LARGE($C$236:$V$236,18),$C$236:$V$236,0))</f>
        <v/>
      </c>
      <c r="U284" t="str">
        <f>IF(LARGE($C$236:$V$236,19)&lt;0,"",MATCH(LARGE($C$236:$V$236,19),$C$236:$V$236,0))</f>
        <v/>
      </c>
      <c r="V284" t="str">
        <f>IF(LARGE($C$236:$V$236,20)&lt;0,"",MATCH(LARGE($C$236:$V$236,20),$C$236:$V$236,0))</f>
        <v/>
      </c>
    </row>
    <row r="285" spans="1:22" x14ac:dyDescent="0.3">
      <c r="C285" t="str">
        <f>IF(LARGE($C$237:$V$237,1)&lt;0,"",MATCH(LARGE($C$237:$V$237,1),$C$237:$V$237,0))</f>
        <v/>
      </c>
      <c r="D285" t="str">
        <f>IF(LARGE($C$237:$V$237,2)&lt;0,"",MATCH(LARGE($C$237:$V$237,2),$C$237:$V$237,0))</f>
        <v/>
      </c>
      <c r="E285" t="str">
        <f>IF(LARGE($C$237:$V$237,3)&lt;0,"",MATCH(LARGE($C$237:$V$237,3),$C$237:$V$237,0))</f>
        <v/>
      </c>
      <c r="F285" t="str">
        <f>IF(LARGE($C$237:$V$237,4)&lt;0,"",MATCH(LARGE($C$237:$V$237,4),$C$237:$V$237,0))</f>
        <v/>
      </c>
      <c r="G285" t="str">
        <f>IF(LARGE($C$237:$V$237,5)&lt;0,"",MATCH(LARGE($C$237:$V$237,5),$C$237:$V$237,0))</f>
        <v/>
      </c>
      <c r="H285" t="str">
        <f>IF(LARGE($C$237:$V$237,6)&lt;0,"",MATCH(LARGE($C$237:$V$237,6),$C$237:$V$237,0))</f>
        <v/>
      </c>
      <c r="I285" t="str">
        <f>IF(LARGE($C$237:$V$237,7)&lt;0,"",MATCH(LARGE($C$237:$V$237,7),$C$237:$V$237,0))</f>
        <v/>
      </c>
      <c r="J285" t="str">
        <f>IF(LARGE($C$237:$V$237,8)&lt;0,"",MATCH(LARGE($C$237:$V$237,8),$C$237:$V$237,0))</f>
        <v/>
      </c>
      <c r="K285" t="str">
        <f>IF(LARGE($C$237:$V$237,9)&lt;0,"",MATCH(LARGE($C$237:$V$237,9),$C$237:$V$237,0))</f>
        <v/>
      </c>
      <c r="L285" t="str">
        <f>IF(LARGE($C$237:$V$237,10)&lt;0,"",MATCH(LARGE($C$237:$V$237,10),$C$237:$V$237,0))</f>
        <v/>
      </c>
      <c r="M285" t="str">
        <f>IF(LARGE($C$237:$V$237,11)&lt;0,"",MATCH(LARGE($C$237:$V$237,11),$C$237:$V$237,0))</f>
        <v/>
      </c>
      <c r="N285" t="str">
        <f>IF(LARGE($C$237:$V$237,12)&lt;0,"",MATCH(LARGE($C$237:$V$237,12),$C$237:$V$237,0))</f>
        <v/>
      </c>
      <c r="O285" t="str">
        <f>IF(LARGE($C$237:$V$237,13)&lt;0,"",MATCH(LARGE($C$237:$V$237,13),$C$237:$V$237,0))</f>
        <v/>
      </c>
      <c r="P285" t="str">
        <f>IF(LARGE($C$237:$V$237,14)&lt;0,"",MATCH(LARGE($C$237:$V$237,14),$C$237:$V$237,0))</f>
        <v/>
      </c>
      <c r="Q285" t="str">
        <f>IF(LARGE($C$237:$V$237,15)&lt;0,"",MATCH(LARGE($C$237:$V$237,15),$C$237:$V$237,0))</f>
        <v/>
      </c>
      <c r="R285" t="str">
        <f>IF(LARGE($C$237:$V$237,16)&lt;0,"",MATCH(LARGE($C$237:$V$237,16),$C$237:$V$237,0))</f>
        <v/>
      </c>
      <c r="S285" t="str">
        <f>IF(LARGE($C$237:$V$237,17)&lt;0,"",MATCH(LARGE($C$237:$V$237,17),$C$237:$V$237,0))</f>
        <v/>
      </c>
      <c r="T285" t="str">
        <f>IF(LARGE($C$237:$V$237,18)&lt;0,"",MATCH(LARGE($C$237:$V$237,18),$C$237:$V$237,0))</f>
        <v/>
      </c>
      <c r="U285" t="str">
        <f>IF(LARGE($C$237:$V$237,19)&lt;0,"",MATCH(LARGE($C$237:$V$237,19),$C$237:$V$237,0))</f>
        <v/>
      </c>
      <c r="V285" t="str">
        <f>IF(LARGE($C$237:$V$237,20)&lt;0,"",MATCH(LARGE($C$237:$V$237,20),$C$237:$V$237,0))</f>
        <v/>
      </c>
    </row>
    <row r="286" spans="1:22" x14ac:dyDescent="0.3">
      <c r="C286" t="str">
        <f>IF(LARGE($C$238:$V$238,1)&lt;0,"",MATCH(LARGE($C$238:$V$238,1),$C$238:$V$238,0))</f>
        <v/>
      </c>
      <c r="D286" t="str">
        <f>IF(LARGE($C$238:$V$238,2)&lt;0,"",MATCH(LARGE($C$238:$V$238,2),$C$238:$V$238,0))</f>
        <v/>
      </c>
      <c r="E286" t="str">
        <f>IF(LARGE($C$238:$V$238,3)&lt;0,"",MATCH(LARGE($C$238:$V$238,3),$C$238:$V$238,0))</f>
        <v/>
      </c>
      <c r="F286" t="str">
        <f>IF(LARGE($C$238:$V$238,4)&lt;0,"",MATCH(LARGE($C$238:$V$238,4),$C$238:$V$238,0))</f>
        <v/>
      </c>
      <c r="G286" t="str">
        <f>IF(LARGE($C$238:$V$238,5)&lt;0,"",MATCH(LARGE($C$238:$V$238,5),$C$238:$V$238,0))</f>
        <v/>
      </c>
      <c r="H286" t="str">
        <f>IF(LARGE($C$238:$V$238,6)&lt;0,"",MATCH(LARGE($C$238:$V$238,6),$C$238:$V$238,0))</f>
        <v/>
      </c>
      <c r="I286" t="str">
        <f>IF(LARGE($C$238:$V$238,7)&lt;0,"",MATCH(LARGE($C$238:$V$238,7),$C$238:$V$238,0))</f>
        <v/>
      </c>
      <c r="J286" t="str">
        <f>IF(LARGE($C$238:$V$238,8)&lt;0,"",MATCH(LARGE($C$238:$V$238,8),$C$238:$V$238,0))</f>
        <v/>
      </c>
      <c r="K286" t="str">
        <f>IF(LARGE($C$238:$V$238,9)&lt;0,"",MATCH(LARGE($C$238:$V$238,9),$C$238:$V$238,0))</f>
        <v/>
      </c>
      <c r="L286" t="str">
        <f>IF(LARGE($C$238:$V$238,10)&lt;0,"",MATCH(LARGE($C$238:$V$238,10),$C$238:$V$238,0))</f>
        <v/>
      </c>
      <c r="M286" t="str">
        <f>IF(LARGE($C$238:$V$238,11)&lt;0,"",MATCH(LARGE($C$238:$V$238,11),$C$238:$V$238,0))</f>
        <v/>
      </c>
      <c r="N286" t="str">
        <f>IF(LARGE($C$238:$V$238,12)&lt;0,"",MATCH(LARGE($C$238:$V$238,12),$C$238:$V$238,0))</f>
        <v/>
      </c>
      <c r="O286" t="str">
        <f>IF(LARGE($C$238:$V$238,13)&lt;0,"",MATCH(LARGE($C$238:$V$238,13),$C$238:$V$238,0))</f>
        <v/>
      </c>
      <c r="P286" t="str">
        <f>IF(LARGE($C$238:$V$238,14)&lt;0,"",MATCH(LARGE($C$238:$V$238,14),$C$238:$V$238,0))</f>
        <v/>
      </c>
      <c r="Q286" t="str">
        <f>IF(LARGE($C$238:$V$238,15)&lt;0,"",MATCH(LARGE($C$238:$V$238,15),$C$238:$V$238,0))</f>
        <v/>
      </c>
      <c r="R286" t="str">
        <f>IF(LARGE($C$238:$V$238,16)&lt;0,"",MATCH(LARGE($C$238:$V$238,16),$C$238:$V$238,0))</f>
        <v/>
      </c>
      <c r="S286" t="str">
        <f>IF(LARGE($C$238:$V$238,17)&lt;0,"",MATCH(LARGE($C$238:$V$238,17),$C$238:$V$238,0))</f>
        <v/>
      </c>
      <c r="T286" t="str">
        <f>IF(LARGE($C$238:$V$238,18)&lt;0,"",MATCH(LARGE($C$238:$V$238,18),$C$238:$V$238,0))</f>
        <v/>
      </c>
      <c r="U286" t="str">
        <f>IF(LARGE($C$238:$V$238,19)&lt;0,"",MATCH(LARGE($C$238:$V$238,19),$C$238:$V$238,0))</f>
        <v/>
      </c>
      <c r="V286" t="str">
        <f>IF(LARGE($C$238:$V$238,20)&lt;0,"",MATCH(LARGE($C$238:$V$238,20),$C$238:$V$238,0))</f>
        <v/>
      </c>
    </row>
    <row r="287" spans="1:22" x14ac:dyDescent="0.3">
      <c r="C287" t="str">
        <f>IF(LARGE($C$239:$V$239,1)&lt;0,"",MATCH(LARGE($C$239:$V$239,1),$C$239:$V$239,0))</f>
        <v/>
      </c>
      <c r="D287" t="str">
        <f>IF(LARGE($C$239:$V$239,2)&lt;0,"",MATCH(LARGE($C$239:$V$239,2),$C$239:$V$239,0))</f>
        <v/>
      </c>
      <c r="E287" t="str">
        <f>IF(LARGE($C$239:$V$239,3)&lt;0,"",MATCH(LARGE($C$239:$V$239,3),$C$239:$V$239,0))</f>
        <v/>
      </c>
      <c r="F287" t="str">
        <f>IF(LARGE($C$239:$V$239,4)&lt;0,"",MATCH(LARGE($C$239:$V$239,4),$C$239:$V$239,0))</f>
        <v/>
      </c>
      <c r="G287" t="str">
        <f>IF(LARGE($C$239:$V$239,5)&lt;0,"",MATCH(LARGE($C$239:$V$239,5),$C$239:$V$239,0))</f>
        <v/>
      </c>
      <c r="H287" t="str">
        <f>IF(LARGE($C$239:$V$239,6)&lt;0,"",MATCH(LARGE($C$239:$V$239,6),$C$239:$V$239,0))</f>
        <v/>
      </c>
      <c r="I287" t="str">
        <f>IF(LARGE($C$239:$V$239,7)&lt;0,"",MATCH(LARGE($C$239:$V$239,7),$C$239:$V$239,0))</f>
        <v/>
      </c>
      <c r="J287" t="str">
        <f>IF(LARGE($C$239:$V$239,8)&lt;0,"",MATCH(LARGE($C$239:$V$239,8),$C$239:$V$239,0))</f>
        <v/>
      </c>
      <c r="K287" t="str">
        <f>IF(LARGE($C$239:$V$239,9)&lt;0,"",MATCH(LARGE($C$239:$V$239,9),$C$239:$V$239,0))</f>
        <v/>
      </c>
      <c r="L287" t="str">
        <f>IF(LARGE($C$239:$V$239,10)&lt;0,"",MATCH(LARGE($C$239:$V$239,10),$C$239:$V$239,0))</f>
        <v/>
      </c>
      <c r="M287" t="str">
        <f>IF(LARGE($C$239:$V$239,11)&lt;0,"",MATCH(LARGE($C$239:$V$239,11),$C$239:$V$239,0))</f>
        <v/>
      </c>
      <c r="N287" t="str">
        <f>IF(LARGE($C$239:$V$239,12)&lt;0,"",MATCH(LARGE($C$239:$V$239,12),$C$239:$V$239,0))</f>
        <v/>
      </c>
      <c r="O287" t="str">
        <f>IF(LARGE($C$239:$V$239,13)&lt;0,"",MATCH(LARGE($C$239:$V$239,13),$C$239:$V$239,0))</f>
        <v/>
      </c>
      <c r="P287" t="str">
        <f>IF(LARGE($C$239:$V$239,14)&lt;0,"",MATCH(LARGE($C$239:$V$239,14),$C$239:$V$239,0))</f>
        <v/>
      </c>
      <c r="Q287" t="str">
        <f>IF(LARGE($C$239:$V$239,15)&lt;0,"",MATCH(LARGE($C$239:$V$239,15),$C$239:$V$239,0))</f>
        <v/>
      </c>
      <c r="R287" t="str">
        <f>IF(LARGE($C$239:$V$239,16)&lt;0,"",MATCH(LARGE($C$239:$V$239,16),$C$239:$V$239,0))</f>
        <v/>
      </c>
      <c r="S287" t="str">
        <f>IF(LARGE($C$239:$V$239,17)&lt;0,"",MATCH(LARGE($C$239:$V$239,17),$C$239:$V$239,0))</f>
        <v/>
      </c>
      <c r="T287" t="str">
        <f>IF(LARGE($C$239:$V$239,18)&lt;0,"",MATCH(LARGE($C$239:$V$239,18),$C$239:$V$239,0))</f>
        <v/>
      </c>
      <c r="U287" t="str">
        <f>IF(LARGE($C$239:$V$239,19)&lt;0,"",MATCH(LARGE($C$239:$V$239,19),$C$239:$V$239,0))</f>
        <v/>
      </c>
      <c r="V287" t="str">
        <f>IF(LARGE($C$239:$V$239,20)&lt;0,"",MATCH(LARGE($C$239:$V$239,20),$C$239:$V$239,0))</f>
        <v/>
      </c>
    </row>
    <row r="288" spans="1:22" x14ac:dyDescent="0.3">
      <c r="C288" t="str">
        <f>IF(LARGE($C$240:$V$240,1)&lt;0,"",MATCH(LARGE($C$240:$V$240,1),$C$240:$V$240,0))</f>
        <v/>
      </c>
      <c r="D288" t="str">
        <f>IF(LARGE($C$240:$V$240,2)&lt;0,"",MATCH(LARGE($C$240:$V$240,2),$C$240:$V$240,0))</f>
        <v/>
      </c>
      <c r="E288" t="str">
        <f>IF(LARGE($C$240:$V$240,3)&lt;0,"",MATCH(LARGE($C$240:$V$240,3),$C$240:$V$240,0))</f>
        <v/>
      </c>
      <c r="F288" t="str">
        <f>IF(LARGE($C$240:$V$240,4)&lt;0,"",MATCH(LARGE($C$240:$V$240,4),$C$240:$V$240,0))</f>
        <v/>
      </c>
      <c r="G288" t="str">
        <f>IF(LARGE($C$240:$V$240,5)&lt;0,"",MATCH(LARGE($C$240:$V$240,5),$C$240:$V$240,0))</f>
        <v/>
      </c>
      <c r="H288" t="str">
        <f>IF(LARGE($C$240:$V$240,6)&lt;0,"",MATCH(LARGE($C$240:$V$240,6),$C$240:$V$240,0))</f>
        <v/>
      </c>
      <c r="I288" t="str">
        <f>IF(LARGE($C$240:$V$240,7)&lt;0,"",MATCH(LARGE($C$240:$V$240,7),$C$240:$V$240,0))</f>
        <v/>
      </c>
      <c r="J288" t="str">
        <f>IF(LARGE($C$240:$V$240,8)&lt;0,"",MATCH(LARGE($C$240:$V$240,8),$C$240:$V$240,0))</f>
        <v/>
      </c>
      <c r="K288" t="str">
        <f>IF(LARGE($C$240:$V$240,9)&lt;0,"",MATCH(LARGE($C$240:$V$240,9),$C$240:$V$240,0))</f>
        <v/>
      </c>
      <c r="L288" t="str">
        <f>IF(LARGE($C$240:$V$240,10)&lt;0,"",MATCH(LARGE($C$240:$V$240,10),$C$240:$V$240,0))</f>
        <v/>
      </c>
      <c r="M288" t="str">
        <f>IF(LARGE($C$240:$V$240,11)&lt;0,"",MATCH(LARGE($C$240:$V$240,11),$C$240:$V$240,0))</f>
        <v/>
      </c>
      <c r="N288" t="str">
        <f>IF(LARGE($C$240:$V$240,12)&lt;0,"",MATCH(LARGE($C$240:$V$240,12),$C$240:$V$240,0))</f>
        <v/>
      </c>
      <c r="O288" t="str">
        <f>IF(LARGE($C$240:$V$240,13)&lt;0,"",MATCH(LARGE($C$240:$V$240,13),$C$240:$V$240,0))</f>
        <v/>
      </c>
      <c r="P288" t="str">
        <f>IF(LARGE($C$240:$V$240,14)&lt;0,"",MATCH(LARGE($C$240:$V$240,14),$C$240:$V$240,0))</f>
        <v/>
      </c>
      <c r="Q288" t="str">
        <f>IF(LARGE($C$240:$V$240,15)&lt;0,"",MATCH(LARGE($C$240:$V$240,15),$C$240:$V$240,0))</f>
        <v/>
      </c>
      <c r="R288" t="str">
        <f>IF(LARGE($C$240:$V$240,16)&lt;0,"",MATCH(LARGE($C$240:$V$240,16),$C$240:$V$240,0))</f>
        <v/>
      </c>
      <c r="S288" t="str">
        <f>IF(LARGE($C$240:$V$240,17)&lt;0,"",MATCH(LARGE($C$240:$V$240,17),$C$240:$V$240,0))</f>
        <v/>
      </c>
      <c r="T288" t="str">
        <f>IF(LARGE($C$240:$V$240,18)&lt;0,"",MATCH(LARGE($C$240:$V$240,18),$C$240:$V$240,0))</f>
        <v/>
      </c>
      <c r="U288" t="str">
        <f>IF(LARGE($C$240:$V$240,19)&lt;0,"",MATCH(LARGE($C$240:$V$240,19),$C$240:$V$240,0))</f>
        <v/>
      </c>
      <c r="V288" t="str">
        <f>IF(LARGE($C$240:$V$240,20)&lt;0,"",MATCH(LARGE($C$240:$V$240,20),$C$240:$V$240,0))</f>
        <v/>
      </c>
    </row>
    <row r="289" spans="3:22" x14ac:dyDescent="0.3">
      <c r="C289" t="str">
        <f>IF(LARGE($C$241:$V$241,1)&lt;0,"",MATCH(LARGE($C$241:$V$241,1),$C$241:$V$241,0))</f>
        <v/>
      </c>
      <c r="D289" t="str">
        <f>IF(LARGE($C$241:$V$241,2)&lt;0,"",MATCH(LARGE($C$241:$V$241,2),$C$241:$V$241,0))</f>
        <v/>
      </c>
      <c r="E289" t="str">
        <f>IF(LARGE($C$241:$V$241,3)&lt;0,"",MATCH(LARGE($C$241:$V$241,3),$C$241:$V$241,0))</f>
        <v/>
      </c>
      <c r="F289" t="str">
        <f>IF(LARGE($C$241:$V$241,4)&lt;0,"",MATCH(LARGE($C$241:$V$241,4),$C$241:$V$241,0))</f>
        <v/>
      </c>
      <c r="G289" t="str">
        <f>IF(LARGE($C$241:$V$241,5)&lt;0,"",MATCH(LARGE($C$241:$V$241,5),$C$241:$V$241,0))</f>
        <v/>
      </c>
      <c r="H289" t="str">
        <f>IF(LARGE($C$241:$V$241,6)&lt;0,"",MATCH(LARGE($C$241:$V$241,6),$C$241:$V$241,0))</f>
        <v/>
      </c>
      <c r="I289" t="str">
        <f>IF(LARGE($C$241:$V$241,7)&lt;0,"",MATCH(LARGE($C$241:$V$241,7),$C$241:$V$241,0))</f>
        <v/>
      </c>
      <c r="J289" t="str">
        <f>IF(LARGE($C$241:$V$241,8)&lt;0,"",MATCH(LARGE($C$241:$V$241,8),$C$241:$V$241,0))</f>
        <v/>
      </c>
      <c r="K289" t="str">
        <f>IF(LARGE($C$241:$V$241,9)&lt;0,"",MATCH(LARGE($C$241:$V$241,9),$C$241:$V$241,0))</f>
        <v/>
      </c>
      <c r="L289" t="str">
        <f>IF(LARGE($C$241:$V$241,10)&lt;0,"",MATCH(LARGE($C$241:$V$241,10),$C$241:$V$241,0))</f>
        <v/>
      </c>
      <c r="M289" t="str">
        <f>IF(LARGE($C$241:$V$241,11)&lt;0,"",MATCH(LARGE($C$241:$V$241,11),$C$241:$V$241,0))</f>
        <v/>
      </c>
      <c r="N289" t="str">
        <f>IF(LARGE($C$241:$V$241,12)&lt;0,"",MATCH(LARGE($C$241:$V$241,12),$C$241:$V$241,0))</f>
        <v/>
      </c>
      <c r="O289" t="str">
        <f>IF(LARGE($C$241:$V$241,13)&lt;0,"",MATCH(LARGE($C$241:$V$241,13),$C$241:$V$241,0))</f>
        <v/>
      </c>
      <c r="P289" t="str">
        <f>IF(LARGE($C$241:$V$241,14)&lt;0,"",MATCH(LARGE($C$241:$V$241,14),$C$241:$V$241,0))</f>
        <v/>
      </c>
      <c r="Q289" t="str">
        <f>IF(LARGE($C$241:$V$241,15)&lt;0,"",MATCH(LARGE($C$241:$V$241,15),$C$241:$V$241,0))</f>
        <v/>
      </c>
      <c r="R289" t="str">
        <f>IF(LARGE($C$241:$V$241,16)&lt;0,"",MATCH(LARGE($C$241:$V$241,16),$C$241:$V$241,0))</f>
        <v/>
      </c>
      <c r="S289" t="str">
        <f>IF(LARGE($C$241:$V$241,17)&lt;0,"",MATCH(LARGE($C$241:$V$241,17),$C$241:$V$241,0))</f>
        <v/>
      </c>
      <c r="T289" t="str">
        <f>IF(LARGE($C$241:$V$241,18)&lt;0,"",MATCH(LARGE($C$241:$V$241,18),$C$241:$V$241,0))</f>
        <v/>
      </c>
      <c r="U289" t="str">
        <f>IF(LARGE($C$241:$V$241,19)&lt;0,"",MATCH(LARGE($C$241:$V$241,19),$C$241:$V$241,0))</f>
        <v/>
      </c>
      <c r="V289" t="str">
        <f>IF(LARGE($C$241:$V$241,20)&lt;0,"",MATCH(LARGE($C$241:$V$241,20),$C$241:$V$241,0))</f>
        <v/>
      </c>
    </row>
    <row r="290" spans="3:22" x14ac:dyDescent="0.3">
      <c r="C290" t="str">
        <f>IF(LARGE($C$242:$V$242,1)&lt;0,"",MATCH(LARGE($C$242:$V$242,1),$C$242:$V$242,0))</f>
        <v/>
      </c>
      <c r="D290" t="str">
        <f>IF(LARGE($C$242:$V$242,2)&lt;0,"",MATCH(LARGE($C$242:$V$242,2),$C$242:$V$242,0))</f>
        <v/>
      </c>
      <c r="E290" t="str">
        <f>IF(LARGE($C$242:$V$242,3)&lt;0,"",MATCH(LARGE($C$242:$V$242,3),$C$242:$V$242,0))</f>
        <v/>
      </c>
      <c r="F290" t="str">
        <f>IF(LARGE($C$242:$V$242,4)&lt;0,"",MATCH(LARGE($C$242:$V$242,4),$C$242:$V$242,0))</f>
        <v/>
      </c>
      <c r="G290" t="str">
        <f>IF(LARGE($C$242:$V$242,5)&lt;0,"",MATCH(LARGE($C$242:$V$242,5),$C$242:$V$242,0))</f>
        <v/>
      </c>
      <c r="H290" t="str">
        <f>IF(LARGE($C$242:$V$242,6)&lt;0,"",MATCH(LARGE($C$242:$V$242,6),$C$242:$V$242,0))</f>
        <v/>
      </c>
      <c r="I290" t="str">
        <f>IF(LARGE($C$242:$V$242,7)&lt;0,"",MATCH(LARGE($C$242:$V$242,7),$C$242:$V$242,0))</f>
        <v/>
      </c>
      <c r="J290" t="str">
        <f>IF(LARGE($C$242:$V$242,8)&lt;0,"",MATCH(LARGE($C$242:$V$242,8),$C$242:$V$242,0))</f>
        <v/>
      </c>
      <c r="K290" t="str">
        <f>IF(LARGE($C$242:$V$242,9)&lt;0,"",MATCH(LARGE($C$242:$V$242,9),$C$242:$V$242,0))</f>
        <v/>
      </c>
      <c r="L290" t="str">
        <f>IF(LARGE($C$242:$V$242,10)&lt;0,"",MATCH(LARGE($C$242:$V$242,10),$C$242:$V$242,0))</f>
        <v/>
      </c>
      <c r="M290" t="str">
        <f>IF(LARGE($C$242:$V$242,11)&lt;0,"",MATCH(LARGE($C$242:$V$242,11),$C$242:$V$242,0))</f>
        <v/>
      </c>
      <c r="N290" t="str">
        <f>IF(LARGE($C$242:$V$242,12)&lt;0,"",MATCH(LARGE($C$242:$V$242,12),$C$242:$V$242,0))</f>
        <v/>
      </c>
      <c r="O290" t="str">
        <f>IF(LARGE($C$242:$V$242,13)&lt;0,"",MATCH(LARGE($C$242:$V$242,13),$C$242:$V$242,0))</f>
        <v/>
      </c>
      <c r="P290" t="str">
        <f>IF(LARGE($C$242:$V$242,14)&lt;0,"",MATCH(LARGE($C$242:$V$242,14),$C$242:$V$242,0))</f>
        <v/>
      </c>
      <c r="Q290" t="str">
        <f>IF(LARGE($C$242:$V$242,15)&lt;0,"",MATCH(LARGE($C$242:$V$242,15),$C$242:$V$242,0))</f>
        <v/>
      </c>
      <c r="R290" t="str">
        <f>IF(LARGE($C$242:$V$242,16)&lt;0,"",MATCH(LARGE($C$242:$V$242,16),$C$242:$V$242,0))</f>
        <v/>
      </c>
      <c r="S290" t="str">
        <f>IF(LARGE($C$242:$V$242,17)&lt;0,"",MATCH(LARGE($C$242:$V$242,17),$C$242:$V$242,0))</f>
        <v/>
      </c>
      <c r="T290" t="str">
        <f>IF(LARGE($C$242:$V$242,18)&lt;0,"",MATCH(LARGE($C$242:$V$242,18),$C$242:$V$242,0))</f>
        <v/>
      </c>
      <c r="U290" t="str">
        <f>IF(LARGE($C$242:$V$242,19)&lt;0,"",MATCH(LARGE($C$242:$V$242,19),$C$242:$V$242,0))</f>
        <v/>
      </c>
      <c r="V290" t="str">
        <f>IF(LARGE($C$242:$V$242,20)&lt;0,"",MATCH(LARGE($C$242:$V$242,20),$C$242:$V$242,0))</f>
        <v/>
      </c>
    </row>
    <row r="291" spans="3:22" x14ac:dyDescent="0.3">
      <c r="C291" t="str">
        <f>IF(LARGE($C$243:$V$243,1)&lt;0,"",MATCH(LARGE($C$243:$V$243,1),$C$243:$V$243,0))</f>
        <v/>
      </c>
      <c r="D291" t="str">
        <f>IF(LARGE($C$243:$V$243,2)&lt;0,"",MATCH(LARGE($C$243:$V$243,2),$C$243:$V$243,0))</f>
        <v/>
      </c>
      <c r="E291" t="str">
        <f>IF(LARGE($C$243:$V$243,3)&lt;0,"",MATCH(LARGE($C$243:$V$243,3),$C$243:$V$243,0))</f>
        <v/>
      </c>
      <c r="F291" t="str">
        <f>IF(LARGE($C$243:$V$243,4)&lt;0,"",MATCH(LARGE($C$243:$V$243,4),$C$243:$V$243,0))</f>
        <v/>
      </c>
      <c r="G291" t="str">
        <f>IF(LARGE($C$243:$V$243,5)&lt;0,"",MATCH(LARGE($C$243:$V$243,5),$C$243:$V$243,0))</f>
        <v/>
      </c>
      <c r="H291" t="str">
        <f>IF(LARGE($C$243:$V$243,6)&lt;0,"",MATCH(LARGE($C$243:$V$243,6),$C$243:$V$243,0))</f>
        <v/>
      </c>
      <c r="I291" t="str">
        <f>IF(LARGE($C$243:$V$243,7)&lt;0,"",MATCH(LARGE($C$243:$V$243,7),$C$243:$V$243,0))</f>
        <v/>
      </c>
      <c r="J291" t="str">
        <f>IF(LARGE($C$243:$V$243,8)&lt;0,"",MATCH(LARGE($C$243:$V$243,8),$C$243:$V$243,0))</f>
        <v/>
      </c>
      <c r="K291" t="str">
        <f>IF(LARGE($C$243:$V$243,9)&lt;0,"",MATCH(LARGE($C$243:$V$243,9),$C$243:$V$243,0))</f>
        <v/>
      </c>
      <c r="L291" t="str">
        <f>IF(LARGE($C$243:$V$243,10)&lt;0,"",MATCH(LARGE($C$243:$V$243,10),$C$243:$V$243,0))</f>
        <v/>
      </c>
      <c r="M291" t="str">
        <f>IF(LARGE($C$243:$V$243,11)&lt;0,"",MATCH(LARGE($C$243:$V$243,11),$C$243:$V$243,0))</f>
        <v/>
      </c>
      <c r="N291" t="str">
        <f>IF(LARGE($C$243:$V$243,12)&lt;0,"",MATCH(LARGE($C$243:$V$243,12),$C$243:$V$243,0))</f>
        <v/>
      </c>
      <c r="O291" t="str">
        <f>IF(LARGE($C$243:$V$243,13)&lt;0,"",MATCH(LARGE($C$243:$V$243,13),$C$243:$V$243,0))</f>
        <v/>
      </c>
      <c r="P291" t="str">
        <f>IF(LARGE($C$243:$V$243,14)&lt;0,"",MATCH(LARGE($C$243:$V$243,14),$C$243:$V$243,0))</f>
        <v/>
      </c>
      <c r="Q291" t="str">
        <f>IF(LARGE($C$243:$V$243,15)&lt;0,"",MATCH(LARGE($C$243:$V$243,15),$C$243:$V$243,0))</f>
        <v/>
      </c>
      <c r="R291" t="str">
        <f>IF(LARGE($C$243:$V$243,16)&lt;0,"",MATCH(LARGE($C$243:$V$243,16),$C$243:$V$243,0))</f>
        <v/>
      </c>
      <c r="S291" t="str">
        <f>IF(LARGE($C$243:$V$243,17)&lt;0,"",MATCH(LARGE($C$243:$V$243,17),$C$243:$V$243,0))</f>
        <v/>
      </c>
      <c r="T291" t="str">
        <f>IF(LARGE($C$243:$V$243,18)&lt;0,"",MATCH(LARGE($C$243:$V$243,18),$C$243:$V$243,0))</f>
        <v/>
      </c>
      <c r="U291" t="str">
        <f>IF(LARGE($C$243:$V$243,19)&lt;0,"",MATCH(LARGE($C$243:$V$243,19),$C$243:$V$243,0))</f>
        <v/>
      </c>
      <c r="V291" t="str">
        <f>IF(LARGE($C$243:$V$243,20)&lt;0,"",MATCH(LARGE($C$243:$V$243,20),$C$243:$V$243,0))</f>
        <v/>
      </c>
    </row>
    <row r="292" spans="3:22" x14ac:dyDescent="0.3">
      <c r="C292" t="str">
        <f>IF(LARGE($C$244:$V$244,1)&lt;0,"",MATCH(LARGE($C$244:$V$244,1),$C$244:$V$244,0))</f>
        <v/>
      </c>
      <c r="D292" t="str">
        <f>IF(LARGE($C$244:$V$244,2)&lt;0,"",MATCH(LARGE($C$244:$V$244,2),$C$244:$V$244,0))</f>
        <v/>
      </c>
      <c r="E292" t="str">
        <f>IF(LARGE($C$244:$V$244,3)&lt;0,"",MATCH(LARGE($C$244:$V$244,3),$C$244:$V$244,0))</f>
        <v/>
      </c>
      <c r="F292" t="str">
        <f>IF(LARGE($C$244:$V$244,4)&lt;0,"",MATCH(LARGE($C$244:$V$244,4),$C$244:$V$244,0))</f>
        <v/>
      </c>
      <c r="G292" t="str">
        <f>IF(LARGE($C$244:$V$244,5)&lt;0,"",MATCH(LARGE($C$244:$V$244,5),$C$244:$V$244,0))</f>
        <v/>
      </c>
      <c r="H292" t="str">
        <f>IF(LARGE($C$244:$V$244,6)&lt;0,"",MATCH(LARGE($C$244:$V$244,6),$C$244:$V$244,0))</f>
        <v/>
      </c>
      <c r="I292" t="str">
        <f>IF(LARGE($C$244:$V$244,7)&lt;0,"",MATCH(LARGE($C$244:$V$244,7),$C$244:$V$244,0))</f>
        <v/>
      </c>
      <c r="J292" t="str">
        <f>IF(LARGE($C$244:$V$244,8)&lt;0,"",MATCH(LARGE($C$244:$V$244,8),$C$244:$V$244,0))</f>
        <v/>
      </c>
      <c r="K292" t="str">
        <f>IF(LARGE($C$244:$V$244,9)&lt;0,"",MATCH(LARGE($C$244:$V$244,9),$C$244:$V$244,0))</f>
        <v/>
      </c>
      <c r="L292" t="str">
        <f>IF(LARGE($C$244:$V$244,10)&lt;0,"",MATCH(LARGE($C$244:$V$244,10),$C$244:$V$244,0))</f>
        <v/>
      </c>
      <c r="M292" t="str">
        <f>IF(LARGE($C$244:$V$244,11)&lt;0,"",MATCH(LARGE($C$244:$V$244,11),$C$244:$V$244,0))</f>
        <v/>
      </c>
      <c r="N292" t="str">
        <f>IF(LARGE($C$244:$V$244,12)&lt;0,"",MATCH(LARGE($C$244:$V$244,12),$C$244:$V$244,0))</f>
        <v/>
      </c>
      <c r="O292" t="str">
        <f>IF(LARGE($C$244:$V$244,13)&lt;0,"",MATCH(LARGE($C$244:$V$244,13),$C$244:$V$244,0))</f>
        <v/>
      </c>
      <c r="P292" t="str">
        <f>IF(LARGE($C$244:$V$244,14)&lt;0,"",MATCH(LARGE($C$244:$V$244,14),$C$244:$V$244,0))</f>
        <v/>
      </c>
      <c r="Q292" t="str">
        <f>IF(LARGE($C$244:$V$244,15)&lt;0,"",MATCH(LARGE($C$244:$V$244,15),$C$244:$V$244,0))</f>
        <v/>
      </c>
      <c r="R292" t="str">
        <f>IF(LARGE($C$244:$V$244,16)&lt;0,"",MATCH(LARGE($C$244:$V$244,16),$C$244:$V$244,0))</f>
        <v/>
      </c>
      <c r="S292" t="str">
        <f>IF(LARGE($C$244:$V$244,17)&lt;0,"",MATCH(LARGE($C$244:$V$244,17),$C$244:$V$244,0))</f>
        <v/>
      </c>
      <c r="T292" t="str">
        <f>IF(LARGE($C$244:$V$244,18)&lt;0,"",MATCH(LARGE($C$244:$V$244,18),$C$244:$V$244,0))</f>
        <v/>
      </c>
      <c r="U292" t="str">
        <f>IF(LARGE($C$244:$V$244,19)&lt;0,"",MATCH(LARGE($C$244:$V$244,19),$C$244:$V$244,0))</f>
        <v/>
      </c>
      <c r="V292" t="str">
        <f>IF(LARGE($C$244:$V$244,20)&lt;0,"",MATCH(LARGE($C$244:$V$244,20),$C$244:$V$244,0))</f>
        <v/>
      </c>
    </row>
    <row r="293" spans="3:22" x14ac:dyDescent="0.3">
      <c r="C293" t="str">
        <f>IF(LARGE($C$245:$V$245,1)&lt;0,"",MATCH(LARGE($C$245:$V$245,1),$C$245:$V$245,0))</f>
        <v/>
      </c>
      <c r="D293" t="str">
        <f>IF(LARGE($C$245:$V$245,2)&lt;0,"",MATCH(LARGE($C$245:$V$245,2),$C$245:$V$245,0))</f>
        <v/>
      </c>
      <c r="E293" t="str">
        <f>IF(LARGE($C$245:$V$245,3)&lt;0,"",MATCH(LARGE($C$245:$V$245,3),$C$245:$V$245,0))</f>
        <v/>
      </c>
      <c r="F293" t="str">
        <f>IF(LARGE($C$245:$V$245,4)&lt;0,"",MATCH(LARGE($C$245:$V$245,4),$C$245:$V$245,0))</f>
        <v/>
      </c>
      <c r="G293" t="str">
        <f>IF(LARGE($C$245:$V$245,5)&lt;0,"",MATCH(LARGE($C$245:$V$245,5),$C$245:$V$245,0))</f>
        <v/>
      </c>
      <c r="H293" t="str">
        <f>IF(LARGE($C$245:$V$245,6)&lt;0,"",MATCH(LARGE($C$245:$V$245,6),$C$245:$V$245,0))</f>
        <v/>
      </c>
      <c r="I293" t="str">
        <f>IF(LARGE($C$245:$V$245,7)&lt;0,"",MATCH(LARGE($C$245:$V$245,7),$C$245:$V$245,0))</f>
        <v/>
      </c>
      <c r="J293" t="str">
        <f>IF(LARGE($C$245:$V$245,8)&lt;0,"",MATCH(LARGE($C$245:$V$245,8),$C$245:$V$245,0))</f>
        <v/>
      </c>
      <c r="K293" t="str">
        <f>IF(LARGE($C$245:$V$245,9)&lt;0,"",MATCH(LARGE($C$245:$V$245,9),$C$245:$V$245,0))</f>
        <v/>
      </c>
      <c r="L293" t="str">
        <f>IF(LARGE($C$245:$V$245,10)&lt;0,"",MATCH(LARGE($C$245:$V$245,10),$C$245:$V$245,0))</f>
        <v/>
      </c>
      <c r="M293" t="str">
        <f>IF(LARGE($C$245:$V$245,11)&lt;0,"",MATCH(LARGE($C$245:$V$245,11),$C$245:$V$245,0))</f>
        <v/>
      </c>
      <c r="N293" t="str">
        <f>IF(LARGE($C$245:$V$245,12)&lt;0,"",MATCH(LARGE($C$245:$V$245,12),$C$245:$V$245,0))</f>
        <v/>
      </c>
      <c r="O293" t="str">
        <f>IF(LARGE($C$245:$V$245,13)&lt;0,"",MATCH(LARGE($C$245:$V$245,13),$C$245:$V$245,0))</f>
        <v/>
      </c>
      <c r="P293" t="str">
        <f>IF(LARGE($C$245:$V$245,14)&lt;0,"",MATCH(LARGE($C$245:$V$245,14),$C$245:$V$245,0))</f>
        <v/>
      </c>
      <c r="Q293" t="str">
        <f>IF(LARGE($C$245:$V$245,15)&lt;0,"",MATCH(LARGE($C$245:$V$245,15),$C$245:$V$245,0))</f>
        <v/>
      </c>
      <c r="R293" t="str">
        <f>IF(LARGE($C$245:$V$245,16)&lt;0,"",MATCH(LARGE($C$245:$V$245,16),$C$245:$V$245,0))</f>
        <v/>
      </c>
      <c r="S293" t="str">
        <f>IF(LARGE($C$245:$V$245,17)&lt;0,"",MATCH(LARGE($C$245:$V$245,17),$C$245:$V$245,0))</f>
        <v/>
      </c>
      <c r="T293" t="str">
        <f>IF(LARGE($C$245:$V$245,18)&lt;0,"",MATCH(LARGE($C$245:$V$245,18),$C$245:$V$245,0))</f>
        <v/>
      </c>
      <c r="U293" t="str">
        <f>IF(LARGE($C$245:$V$245,19)&lt;0,"",MATCH(LARGE($C$245:$V$245,19),$C$245:$V$245,0))</f>
        <v/>
      </c>
      <c r="V293" t="str">
        <f>IF(LARGE($C$245:$V$245,20)&lt;0,"",MATCH(LARGE($C$245:$V$245,20),$C$245:$V$245,0))</f>
        <v/>
      </c>
    </row>
    <row r="294" spans="3:22" x14ac:dyDescent="0.3">
      <c r="C294" t="str">
        <f>IF(LARGE($C$246:$V$246,1)&lt;0,"",MATCH(LARGE($C$246:$V$246,1),$C$246:$V$246,0))</f>
        <v/>
      </c>
      <c r="D294" t="str">
        <f>IF(LARGE($C$246:$V$246,2)&lt;0,"",MATCH(LARGE($C$246:$V$246,2),$C$246:$V$246,0))</f>
        <v/>
      </c>
      <c r="E294" t="str">
        <f>IF(LARGE($C$246:$V$246,3)&lt;0,"",MATCH(LARGE($C$246:$V$246,3),$C$246:$V$246,0))</f>
        <v/>
      </c>
      <c r="F294" t="str">
        <f>IF(LARGE($C$246:$V$246,4)&lt;0,"",MATCH(LARGE($C$246:$V$246,4),$C$246:$V$246,0))</f>
        <v/>
      </c>
      <c r="G294" t="str">
        <f>IF(LARGE($C$246:$V$246,5)&lt;0,"",MATCH(LARGE($C$246:$V$246,5),$C$246:$V$246,0))</f>
        <v/>
      </c>
      <c r="H294" t="str">
        <f>IF(LARGE($C$246:$V$246,6)&lt;0,"",MATCH(LARGE($C$246:$V$246,6),$C$246:$V$246,0))</f>
        <v/>
      </c>
      <c r="I294" t="str">
        <f>IF(LARGE($C$246:$V$246,7)&lt;0,"",MATCH(LARGE($C$246:$V$246,7),$C$246:$V$246,0))</f>
        <v/>
      </c>
      <c r="J294" t="str">
        <f>IF(LARGE($C$246:$V$246,8)&lt;0,"",MATCH(LARGE($C$246:$V$246,8),$C$246:$V$246,0))</f>
        <v/>
      </c>
      <c r="K294" t="str">
        <f>IF(LARGE($C$246:$V$246,9)&lt;0,"",MATCH(LARGE($C$246:$V$246,9),$C$246:$V$246,0))</f>
        <v/>
      </c>
      <c r="L294" t="str">
        <f>IF(LARGE($C$246:$V$246,10)&lt;0,"",MATCH(LARGE($C$246:$V$246,10),$C$246:$V$246,0))</f>
        <v/>
      </c>
      <c r="M294" t="str">
        <f>IF(LARGE($C$246:$V$246,11)&lt;0,"",MATCH(LARGE($C$246:$V$246,11),$C$246:$V$246,0))</f>
        <v/>
      </c>
      <c r="N294" t="str">
        <f>IF(LARGE($C$246:$V$246,12)&lt;0,"",MATCH(LARGE($C$246:$V$246,12),$C$246:$V$246,0))</f>
        <v/>
      </c>
      <c r="O294" t="str">
        <f>IF(LARGE($C$246:$V$246,13)&lt;0,"",MATCH(LARGE($C$246:$V$246,13),$C$246:$V$246,0))</f>
        <v/>
      </c>
      <c r="P294" t="str">
        <f>IF(LARGE($C$246:$V$246,14)&lt;0,"",MATCH(LARGE($C$246:$V$246,14),$C$246:$V$246,0))</f>
        <v/>
      </c>
      <c r="Q294" t="str">
        <f>IF(LARGE($C$246:$V$246,15)&lt;0,"",MATCH(LARGE($C$246:$V$246,15),$C$246:$V$246,0))</f>
        <v/>
      </c>
      <c r="R294" t="str">
        <f>IF(LARGE($C$246:$V$246,16)&lt;0,"",MATCH(LARGE($C$246:$V$246,16),$C$246:$V$246,0))</f>
        <v/>
      </c>
      <c r="S294" t="str">
        <f>IF(LARGE($C$246:$V$246,17)&lt;0,"",MATCH(LARGE($C$246:$V$246,17),$C$246:$V$246,0))</f>
        <v/>
      </c>
      <c r="T294" t="str">
        <f>IF(LARGE($C$246:$V$246,18)&lt;0,"",MATCH(LARGE($C$246:$V$246,18),$C$246:$V$246,0))</f>
        <v/>
      </c>
      <c r="U294" t="str">
        <f>IF(LARGE($C$246:$V$246,19)&lt;0,"",MATCH(LARGE($C$246:$V$246,19),$C$246:$V$246,0))</f>
        <v/>
      </c>
      <c r="V294" t="str">
        <f>IF(LARGE($C$246:$V$246,20)&lt;0,"",MATCH(LARGE($C$246:$V$246,20),$C$246:$V$246,0))</f>
        <v/>
      </c>
    </row>
    <row r="295" spans="3:22" x14ac:dyDescent="0.3">
      <c r="C295" t="str">
        <f>IF(LARGE($C$247:$V$247,1)&lt;0,"",MATCH(LARGE($C$247:$V$247,1),$C$247:$V$247,0))</f>
        <v/>
      </c>
      <c r="D295" t="str">
        <f>IF(LARGE($C$247:$V$247,2)&lt;0,"",MATCH(LARGE($C$247:$V$247,2),$C$247:$V$247,0))</f>
        <v/>
      </c>
      <c r="E295" t="str">
        <f>IF(LARGE($C$247:$V$247,3)&lt;0,"",MATCH(LARGE($C$247:$V$247,3),$C$247:$V$247,0))</f>
        <v/>
      </c>
      <c r="F295" t="str">
        <f>IF(LARGE($C$247:$V$247,4)&lt;0,"",MATCH(LARGE($C$247:$V$247,4),$C$247:$V$247,0))</f>
        <v/>
      </c>
      <c r="G295" t="str">
        <f>IF(LARGE($C$247:$V$247,5)&lt;0,"",MATCH(LARGE($C$247:$V$247,5),$C$247:$V$247,0))</f>
        <v/>
      </c>
      <c r="H295" t="str">
        <f>IF(LARGE($C$247:$V$247,6)&lt;0,"",MATCH(LARGE($C$247:$V$247,6),$C$247:$V$247,0))</f>
        <v/>
      </c>
      <c r="I295" t="str">
        <f>IF(LARGE($C$247:$V$247,7)&lt;0,"",MATCH(LARGE($C$247:$V$247,7),$C$247:$V$247,0))</f>
        <v/>
      </c>
      <c r="J295" t="str">
        <f>IF(LARGE($C$247:$V$247,8)&lt;0,"",MATCH(LARGE($C$247:$V$247,8),$C$247:$V$247,0))</f>
        <v/>
      </c>
      <c r="K295" t="str">
        <f>IF(LARGE($C$247:$V$247,9)&lt;0,"",MATCH(LARGE($C$247:$V$247,9),$C$247:$V$247,0))</f>
        <v/>
      </c>
      <c r="L295" t="str">
        <f>IF(LARGE($C$247:$V$247,10)&lt;0,"",MATCH(LARGE($C$247:$V$247,10),$C$247:$V$247,0))</f>
        <v/>
      </c>
      <c r="M295" t="str">
        <f>IF(LARGE($C$247:$V$247,11)&lt;0,"",MATCH(LARGE($C$247:$V$247,11),$C$247:$V$247,0))</f>
        <v/>
      </c>
      <c r="N295" t="str">
        <f>IF(LARGE($C$247:$V$247,12)&lt;0,"",MATCH(LARGE($C$247:$V$247,12),$C$247:$V$247,0))</f>
        <v/>
      </c>
      <c r="O295" t="str">
        <f>IF(LARGE($C$247:$V$247,13)&lt;0,"",MATCH(LARGE($C$247:$V$247,13),$C$247:$V$247,0))</f>
        <v/>
      </c>
      <c r="P295" t="str">
        <f>IF(LARGE($C$247:$V$247,14)&lt;0,"",MATCH(LARGE($C$247:$V$247,14),$C$247:$V$247,0))</f>
        <v/>
      </c>
      <c r="Q295" t="str">
        <f>IF(LARGE($C$247:$V$247,15)&lt;0,"",MATCH(LARGE($C$247:$V$247,15),$C$247:$V$247,0))</f>
        <v/>
      </c>
      <c r="R295" t="str">
        <f>IF(LARGE($C$247:$V$247,16)&lt;0,"",MATCH(LARGE($C$247:$V$247,16),$C$247:$V$247,0))</f>
        <v/>
      </c>
      <c r="S295" t="str">
        <f>IF(LARGE($C$247:$V$247,17)&lt;0,"",MATCH(LARGE($C$247:$V$247,17),$C$247:$V$247,0))</f>
        <v/>
      </c>
      <c r="T295" t="str">
        <f>IF(LARGE($C$247:$V$247,18)&lt;0,"",MATCH(LARGE($C$247:$V$247,18),$C$247:$V$247,0))</f>
        <v/>
      </c>
      <c r="U295" t="str">
        <f>IF(LARGE($C$247:$V$247,19)&lt;0,"",MATCH(LARGE($C$247:$V$247,19),$C$247:$V$247,0))</f>
        <v/>
      </c>
      <c r="V295" t="str">
        <f>IF(LARGE($C$247:$V$247,20)&lt;0,"",MATCH(LARGE($C$247:$V$247,20),$C$247:$V$247,0))</f>
        <v/>
      </c>
    </row>
    <row r="296" spans="3:22" x14ac:dyDescent="0.3">
      <c r="C296" t="str">
        <f>IF(LARGE($C$248:$V$248,1)&lt;0,"",MATCH(LARGE($C$248:$V$248,1),$C$248:$V$248,0))</f>
        <v/>
      </c>
      <c r="D296" t="str">
        <f>IF(LARGE($C$248:$V$248,2)&lt;0,"",MATCH(LARGE($C$248:$V$248,2),$C$248:$V$248,0))</f>
        <v/>
      </c>
      <c r="E296" t="str">
        <f>IF(LARGE($C$248:$V$248,3)&lt;0,"",MATCH(LARGE($C$248:$V$248,3),$C$248:$V$248,0))</f>
        <v/>
      </c>
      <c r="F296" t="str">
        <f>IF(LARGE($C$248:$V$248,4)&lt;0,"",MATCH(LARGE($C$248:$V$248,4),$C$248:$V$248,0))</f>
        <v/>
      </c>
      <c r="G296" t="str">
        <f>IF(LARGE($C$248:$V$248,5)&lt;0,"",MATCH(LARGE($C$248:$V$248,5),$C$248:$V$248,0))</f>
        <v/>
      </c>
      <c r="H296" t="str">
        <f>IF(LARGE($C$248:$V$248,6)&lt;0,"",MATCH(LARGE($C$248:$V$248,6),$C$248:$V$248,0))</f>
        <v/>
      </c>
      <c r="I296" t="str">
        <f>IF(LARGE($C$248:$V$248,7)&lt;0,"",MATCH(LARGE($C$248:$V$248,7),$C$248:$V$248,0))</f>
        <v/>
      </c>
      <c r="J296" t="str">
        <f>IF(LARGE($C$248:$V$248,8)&lt;0,"",MATCH(LARGE($C$248:$V$248,8),$C$248:$V$248,0))</f>
        <v/>
      </c>
      <c r="K296" t="str">
        <f>IF(LARGE($C$248:$V$248,9)&lt;0,"",MATCH(LARGE($C$248:$V$248,9),$C$248:$V$248,0))</f>
        <v/>
      </c>
      <c r="L296" t="str">
        <f>IF(LARGE($C$248:$V$248,10)&lt;0,"",MATCH(LARGE($C$248:$V$248,10),$C$248:$V$248,0))</f>
        <v/>
      </c>
      <c r="M296" t="str">
        <f>IF(LARGE($C$248:$V$248,11)&lt;0,"",MATCH(LARGE($C$248:$V$248,11),$C$248:$V$248,0))</f>
        <v/>
      </c>
      <c r="N296" t="str">
        <f>IF(LARGE($C$248:$V$248,12)&lt;0,"",MATCH(LARGE($C$248:$V$248,12),$C$248:$V$248,0))</f>
        <v/>
      </c>
      <c r="O296" t="str">
        <f>IF(LARGE($C$248:$V$248,13)&lt;0,"",MATCH(LARGE($C$248:$V$248,13),$C$248:$V$248,0))</f>
        <v/>
      </c>
      <c r="P296" t="str">
        <f>IF(LARGE($C$248:$V$248,14)&lt;0,"",MATCH(LARGE($C$248:$V$248,14),$C$248:$V$248,0))</f>
        <v/>
      </c>
      <c r="Q296" t="str">
        <f>IF(LARGE($C$248:$V$248,15)&lt;0,"",MATCH(LARGE($C$248:$V$248,15),$C$248:$V$248,0))</f>
        <v/>
      </c>
      <c r="R296" t="str">
        <f>IF(LARGE($C$248:$V$248,16)&lt;0,"",MATCH(LARGE($C$248:$V$248,16),$C$248:$V$248,0))</f>
        <v/>
      </c>
      <c r="S296" t="str">
        <f>IF(LARGE($C$248:$V$248,17)&lt;0,"",MATCH(LARGE($C$248:$V$248,17),$C$248:$V$248,0))</f>
        <v/>
      </c>
      <c r="T296" t="str">
        <f>IF(LARGE($C$248:$V$248,18)&lt;0,"",MATCH(LARGE($C$248:$V$248,18),$C$248:$V$248,0))</f>
        <v/>
      </c>
      <c r="U296" t="str">
        <f>IF(LARGE($C$248:$V$248,19)&lt;0,"",MATCH(LARGE($C$248:$V$248,19),$C$248:$V$248,0))</f>
        <v/>
      </c>
      <c r="V296" t="str">
        <f>IF(LARGE($C$248:$V$248,20)&lt;0,"",MATCH(LARGE($C$248:$V$248,20),$C$248:$V$248,0))</f>
        <v/>
      </c>
    </row>
    <row r="297" spans="3:22" x14ac:dyDescent="0.3">
      <c r="C297" t="str">
        <f>IF(LARGE($C$249:$V$249,1)&lt;0,"",MATCH(LARGE($C$249:$V$249,1),$C$249:$V$249,0))</f>
        <v/>
      </c>
      <c r="D297" t="str">
        <f>IF(LARGE($C$249:$V$249,2)&lt;0,"",MATCH(LARGE($C$249:$V$249,2),$C$249:$V$249,0))</f>
        <v/>
      </c>
      <c r="E297" t="str">
        <f>IF(LARGE($C$249:$V$249,3)&lt;0,"",MATCH(LARGE($C$249:$V$249,3),$C$249:$V$249,0))</f>
        <v/>
      </c>
      <c r="F297" t="str">
        <f>IF(LARGE($C$249:$V$249,4)&lt;0,"",MATCH(LARGE($C$249:$V$249,4),$C$249:$V$249,0))</f>
        <v/>
      </c>
      <c r="G297" t="str">
        <f>IF(LARGE($C$249:$V$249,5)&lt;0,"",MATCH(LARGE($C$249:$V$249,5),$C$249:$V$249,0))</f>
        <v/>
      </c>
      <c r="H297" t="str">
        <f>IF(LARGE($C$249:$V$249,6)&lt;0,"",MATCH(LARGE($C$249:$V$249,6),$C$249:$V$249,0))</f>
        <v/>
      </c>
      <c r="I297" t="str">
        <f>IF(LARGE($C$249:$V$249,7)&lt;0,"",MATCH(LARGE($C$249:$V$249,7),$C$249:$V$249,0))</f>
        <v/>
      </c>
      <c r="J297" t="str">
        <f>IF(LARGE($C$249:$V$249,8)&lt;0,"",MATCH(LARGE($C$249:$V$249,8),$C$249:$V$249,0))</f>
        <v/>
      </c>
      <c r="K297" t="str">
        <f>IF(LARGE($C$249:$V$249,9)&lt;0,"",MATCH(LARGE($C$249:$V$249,9),$C$249:$V$249,0))</f>
        <v/>
      </c>
      <c r="L297" t="str">
        <f>IF(LARGE($C$249:$V$249,10)&lt;0,"",MATCH(LARGE($C$249:$V$249,10),$C$249:$V$249,0))</f>
        <v/>
      </c>
      <c r="M297" t="str">
        <f>IF(LARGE($C$249:$V$249,11)&lt;0,"",MATCH(LARGE($C$249:$V$249,11),$C$249:$V$249,0))</f>
        <v/>
      </c>
      <c r="N297" t="str">
        <f>IF(LARGE($C$249:$V$249,12)&lt;0,"",MATCH(LARGE($C$249:$V$249,12),$C$249:$V$249,0))</f>
        <v/>
      </c>
      <c r="O297" t="str">
        <f>IF(LARGE($C$249:$V$249,13)&lt;0,"",MATCH(LARGE($C$249:$V$249,13),$C$249:$V$249,0))</f>
        <v/>
      </c>
      <c r="P297" t="str">
        <f>IF(LARGE($C$249:$V$249,14)&lt;0,"",MATCH(LARGE($C$249:$V$249,14),$C$249:$V$249,0))</f>
        <v/>
      </c>
      <c r="Q297" t="str">
        <f>IF(LARGE($C$249:$V$249,15)&lt;0,"",MATCH(LARGE($C$249:$V$249,15),$C$249:$V$249,0))</f>
        <v/>
      </c>
      <c r="R297" t="str">
        <f>IF(LARGE($C$249:$V$249,16)&lt;0,"",MATCH(LARGE($C$249:$V$249,16),$C$249:$V$249,0))</f>
        <v/>
      </c>
      <c r="S297" t="str">
        <f>IF(LARGE($C$249:$V$249,17)&lt;0,"",MATCH(LARGE($C$249:$V$249,17),$C$249:$V$249,0))</f>
        <v/>
      </c>
      <c r="T297" t="str">
        <f>IF(LARGE($C$249:$V$249,18)&lt;0,"",MATCH(LARGE($C$249:$V$249,18),$C$249:$V$249,0))</f>
        <v/>
      </c>
      <c r="U297" t="str">
        <f>IF(LARGE($C$249:$V$249,19)&lt;0,"",MATCH(LARGE($C$249:$V$249,19),$C$249:$V$249,0))</f>
        <v/>
      </c>
      <c r="V297" t="str">
        <f>IF(LARGE($C$249:$V$249,20)&lt;0,"",MATCH(LARGE($C$249:$V$249,20),$C$249:$V$249,0))</f>
        <v/>
      </c>
    </row>
    <row r="298" spans="3:22" x14ac:dyDescent="0.3">
      <c r="C298" t="str">
        <f>IF(LARGE($C$250:$V$250,1)&lt;0,"",MATCH(LARGE($C$250:$V$250,1),$C$250:$V$250,0))</f>
        <v/>
      </c>
      <c r="D298" t="str">
        <f>IF(LARGE($C$250:$V$250,2)&lt;0,"",MATCH(LARGE($C$250:$V$250,2),$C$250:$V$250,0))</f>
        <v/>
      </c>
      <c r="E298" t="str">
        <f>IF(LARGE($C$250:$V$250,3)&lt;0,"",MATCH(LARGE($C$250:$V$250,3),$C$250:$V$250,0))</f>
        <v/>
      </c>
      <c r="F298" t="str">
        <f>IF(LARGE($C$250:$V$250,4)&lt;0,"",MATCH(LARGE($C$250:$V$250,4),$C$250:$V$250,0))</f>
        <v/>
      </c>
      <c r="G298" t="str">
        <f>IF(LARGE($C$250:$V$250,5)&lt;0,"",MATCH(LARGE($C$250:$V$250,5),$C$250:$V$250,0))</f>
        <v/>
      </c>
      <c r="H298" t="str">
        <f>IF(LARGE($C$250:$V$250,6)&lt;0,"",MATCH(LARGE($C$250:$V$250,6),$C$250:$V$250,0))</f>
        <v/>
      </c>
      <c r="I298" t="str">
        <f>IF(LARGE($C$250:$V$250,7)&lt;0,"",MATCH(LARGE($C$250:$V$250,7),$C$250:$V$250,0))</f>
        <v/>
      </c>
      <c r="J298" t="str">
        <f>IF(LARGE($C$250:$V$250,8)&lt;0,"",MATCH(LARGE($C$250:$V$250,8),$C$250:$V$250,0))</f>
        <v/>
      </c>
      <c r="K298" t="str">
        <f>IF(LARGE($C$250:$V$250,9)&lt;0,"",MATCH(LARGE($C$250:$V$250,9),$C$250:$V$250,0))</f>
        <v/>
      </c>
      <c r="L298" t="str">
        <f>IF(LARGE($C$250:$V$250,10)&lt;0,"",MATCH(LARGE($C$250:$V$250,10),$C$250:$V$250,0))</f>
        <v/>
      </c>
      <c r="M298" t="str">
        <f>IF(LARGE($C$250:$V$250,11)&lt;0,"",MATCH(LARGE($C$250:$V$250,11),$C$250:$V$250,0))</f>
        <v/>
      </c>
      <c r="N298" t="str">
        <f>IF(LARGE($C$250:$V$250,12)&lt;0,"",MATCH(LARGE($C$250:$V$250,12),$C$250:$V$250,0))</f>
        <v/>
      </c>
      <c r="O298" t="str">
        <f>IF(LARGE($C$250:$V$250,13)&lt;0,"",MATCH(LARGE($C$250:$V$250,13),$C$250:$V$250,0))</f>
        <v/>
      </c>
      <c r="P298" t="str">
        <f>IF(LARGE($C$250:$V$250,14)&lt;0,"",MATCH(LARGE($C$250:$V$250,14),$C$250:$V$250,0))</f>
        <v/>
      </c>
      <c r="Q298" t="str">
        <f>IF(LARGE($C$250:$V$250,15)&lt;0,"",MATCH(LARGE($C$250:$V$250,15),$C$250:$V$250,0))</f>
        <v/>
      </c>
      <c r="R298" t="str">
        <f>IF(LARGE($C$250:$V$250,16)&lt;0,"",MATCH(LARGE($C$250:$V$250,16),$C$250:$V$250,0))</f>
        <v/>
      </c>
      <c r="S298" t="str">
        <f>IF(LARGE($C$250:$V$250,17)&lt;0,"",MATCH(LARGE($C$250:$V$250,17),$C$250:$V$250,0))</f>
        <v/>
      </c>
      <c r="T298" t="str">
        <f>IF(LARGE($C$250:$V$250,18)&lt;0,"",MATCH(LARGE($C$250:$V$250,18),$C$250:$V$250,0))</f>
        <v/>
      </c>
      <c r="U298" t="str">
        <f>IF(LARGE($C$250:$V$250,19)&lt;0,"",MATCH(LARGE($C$250:$V$250,19),$C$250:$V$250,0))</f>
        <v/>
      </c>
      <c r="V298" t="str">
        <f>IF(LARGE($C$250:$V$250,20)&lt;0,"",MATCH(LARGE($C$250:$V$250,20),$C$250:$V$250,0))</f>
        <v/>
      </c>
    </row>
    <row r="299" spans="3:22" x14ac:dyDescent="0.3">
      <c r="C299" t="str">
        <f>IF(LARGE($C$251:$V$251,1)&lt;0,"",MATCH(LARGE($C$251:$V$251,1),$C$251:$V$251,0))</f>
        <v/>
      </c>
      <c r="D299" t="str">
        <f>IF(LARGE($C$251:$V$251,2)&lt;0,"",MATCH(LARGE($C$251:$V$251,2),$C$251:$V$251,0))</f>
        <v/>
      </c>
      <c r="E299" t="str">
        <f>IF(LARGE($C$251:$V$251,3)&lt;0,"",MATCH(LARGE($C$251:$V$251,3),$C$251:$V$251,0))</f>
        <v/>
      </c>
      <c r="F299" t="str">
        <f>IF(LARGE($C$251:$V$251,4)&lt;0,"",MATCH(LARGE($C$251:$V$251,4),$C$251:$V$251,0))</f>
        <v/>
      </c>
      <c r="G299" t="str">
        <f>IF(LARGE($C$251:$V$251,5)&lt;0,"",MATCH(LARGE($C$251:$V$251,5),$C$251:$V$251,0))</f>
        <v/>
      </c>
      <c r="H299" t="str">
        <f>IF(LARGE($C$251:$V$251,6)&lt;0,"",MATCH(LARGE($C$251:$V$251,6),$C$251:$V$251,0))</f>
        <v/>
      </c>
      <c r="I299" t="str">
        <f>IF(LARGE($C$251:$V$251,7)&lt;0,"",MATCH(LARGE($C$251:$V$251,7),$C$251:$V$251,0))</f>
        <v/>
      </c>
      <c r="J299" t="str">
        <f>IF(LARGE($C$251:$V$251,8)&lt;0,"",MATCH(LARGE($C$251:$V$251,8),$C$251:$V$251,0))</f>
        <v/>
      </c>
      <c r="K299" t="str">
        <f>IF(LARGE($C$251:$V$251,9)&lt;0,"",MATCH(LARGE($C$251:$V$251,9),$C$251:$V$251,0))</f>
        <v/>
      </c>
      <c r="L299" t="str">
        <f>IF(LARGE($C$251:$V$251,10)&lt;0,"",MATCH(LARGE($C$251:$V$251,10),$C$251:$V$251,0))</f>
        <v/>
      </c>
      <c r="M299" t="str">
        <f>IF(LARGE($C$251:$V$251,11)&lt;0,"",MATCH(LARGE($C$251:$V$251,11),$C$251:$V$251,0))</f>
        <v/>
      </c>
      <c r="N299" t="str">
        <f>IF(LARGE($C$251:$V$251,12)&lt;0,"",MATCH(LARGE($C$251:$V$251,12),$C$251:$V$251,0))</f>
        <v/>
      </c>
      <c r="O299" t="str">
        <f>IF(LARGE($C$251:$V$251,13)&lt;0,"",MATCH(LARGE($C$251:$V$251,13),$C$251:$V$251,0))</f>
        <v/>
      </c>
      <c r="P299" t="str">
        <f>IF(LARGE($C$251:$V$251,14)&lt;0,"",MATCH(LARGE($C$251:$V$251,14),$C$251:$V$251,0))</f>
        <v/>
      </c>
      <c r="Q299" t="str">
        <f>IF(LARGE($C$251:$V$251,15)&lt;0,"",MATCH(LARGE($C$251:$V$251,15),$C$251:$V$251,0))</f>
        <v/>
      </c>
      <c r="R299" t="str">
        <f>IF(LARGE($C$251:$V$251,16)&lt;0,"",MATCH(LARGE($C$251:$V$251,16),$C$251:$V$251,0))</f>
        <v/>
      </c>
      <c r="S299" t="str">
        <f>IF(LARGE($C$251:$V$251,17)&lt;0,"",MATCH(LARGE($C$251:$V$251,17),$C$251:$V$251,0))</f>
        <v/>
      </c>
      <c r="T299" t="str">
        <f>IF(LARGE($C$251:$V$251,18)&lt;0,"",MATCH(LARGE($C$251:$V$251,18),$C$251:$V$251,0))</f>
        <v/>
      </c>
      <c r="U299" t="str">
        <f>IF(LARGE($C$251:$V$251,19)&lt;0,"",MATCH(LARGE($C$251:$V$251,19),$C$251:$V$251,0))</f>
        <v/>
      </c>
      <c r="V299" t="str">
        <f>IF(LARGE($C$251:$V$251,20)&lt;0,"",MATCH(LARGE($C$251:$V$251,20),$C$251:$V$251,0))</f>
        <v/>
      </c>
    </row>
    <row r="300" spans="3:22" x14ac:dyDescent="0.3">
      <c r="C300" t="str">
        <f>IF(LARGE($C$252:$V$252,1)&lt;0,"",MATCH(LARGE($C$252:$V$252,1),$C$252:$V$252,0))</f>
        <v/>
      </c>
      <c r="D300" t="str">
        <f>IF(LARGE($C$252:$V$252,2)&lt;0,"",MATCH(LARGE($C$252:$V$252,2),$C$252:$V$252,0))</f>
        <v/>
      </c>
      <c r="E300" t="str">
        <f>IF(LARGE($C$252:$V$252,3)&lt;0,"",MATCH(LARGE($C$252:$V$252,3),$C$252:$V$252,0))</f>
        <v/>
      </c>
      <c r="F300" t="str">
        <f>IF(LARGE($C$252:$V$252,4)&lt;0,"",MATCH(LARGE($C$252:$V$252,4),$C$252:$V$252,0))</f>
        <v/>
      </c>
      <c r="G300" t="str">
        <f>IF(LARGE($C$252:$V$252,5)&lt;0,"",MATCH(LARGE($C$252:$V$252,5),$C$252:$V$252,0))</f>
        <v/>
      </c>
      <c r="H300" t="str">
        <f>IF(LARGE($C$252:$V$252,6)&lt;0,"",MATCH(LARGE($C$252:$V$252,6),$C$252:$V$252,0))</f>
        <v/>
      </c>
      <c r="I300" t="str">
        <f>IF(LARGE($C$252:$V$252,7)&lt;0,"",MATCH(LARGE($C$252:$V$252,7),$C$252:$V$252,0))</f>
        <v/>
      </c>
      <c r="J300" t="str">
        <f>IF(LARGE($C$252:$V$252,8)&lt;0,"",MATCH(LARGE($C$252:$V$252,8),$C$252:$V$252,0))</f>
        <v/>
      </c>
      <c r="K300" t="str">
        <f>IF(LARGE($C$252:$V$252,9)&lt;0,"",MATCH(LARGE($C$252:$V$252,9),$C$252:$V$252,0))</f>
        <v/>
      </c>
      <c r="L300" t="str">
        <f>IF(LARGE($C$252:$V$252,10)&lt;0,"",MATCH(LARGE($C$252:$V$252,10),$C$252:$V$252,0))</f>
        <v/>
      </c>
      <c r="M300" t="str">
        <f>IF(LARGE($C$252:$V$252,11)&lt;0,"",MATCH(LARGE($C$252:$V$252,11),$C$252:$V$252,0))</f>
        <v/>
      </c>
      <c r="N300" t="str">
        <f>IF(LARGE($C$252:$V$252,12)&lt;0,"",MATCH(LARGE($C$252:$V$252,12),$C$252:$V$252,0))</f>
        <v/>
      </c>
      <c r="O300" t="str">
        <f>IF(LARGE($C$252:$V$252,13)&lt;0,"",MATCH(LARGE($C$252:$V$252,13),$C$252:$V$252,0))</f>
        <v/>
      </c>
      <c r="P300" t="str">
        <f>IF(LARGE($C$252:$V$252,14)&lt;0,"",MATCH(LARGE($C$252:$V$252,14),$C$252:$V$252,0))</f>
        <v/>
      </c>
      <c r="Q300" t="str">
        <f>IF(LARGE($C$252:$V$252,15)&lt;0,"",MATCH(LARGE($C$252:$V$252,15),$C$252:$V$252,0))</f>
        <v/>
      </c>
      <c r="R300" t="str">
        <f>IF(LARGE($C$252:$V$252,16)&lt;0,"",MATCH(LARGE($C$252:$V$252,16),$C$252:$V$252,0))</f>
        <v/>
      </c>
      <c r="S300" t="str">
        <f>IF(LARGE($C$252:$V$252,17)&lt;0,"",MATCH(LARGE($C$252:$V$252,17),$C$252:$V$252,0))</f>
        <v/>
      </c>
      <c r="T300" t="str">
        <f>IF(LARGE($C$252:$V$252,18)&lt;0,"",MATCH(LARGE($C$252:$V$252,18),$C$252:$V$252,0))</f>
        <v/>
      </c>
      <c r="U300" t="str">
        <f>IF(LARGE($C$252:$V$252,19)&lt;0,"",MATCH(LARGE($C$252:$V$252,19),$C$252:$V$252,0))</f>
        <v/>
      </c>
      <c r="V300" t="str">
        <f>IF(LARGE($C$252:$V$252,20)&lt;0,"",MATCH(LARGE($C$252:$V$252,20),$C$252:$V$252,0))</f>
        <v/>
      </c>
    </row>
    <row r="301" spans="3:22" x14ac:dyDescent="0.3">
      <c r="C301" t="str">
        <f>IF(LARGE($C$253:$V$253,1)&lt;0,"",MATCH(LARGE($C$253:$V$253,1),$C$253:$V$253,0))</f>
        <v/>
      </c>
      <c r="D301" t="str">
        <f>IF(LARGE($C$253:$V$253,2)&lt;0,"",MATCH(LARGE($C$253:$V$253,2),$C$253:$V$253,0))</f>
        <v/>
      </c>
      <c r="E301" t="str">
        <f>IF(LARGE($C$253:$V$253,3)&lt;0,"",MATCH(LARGE($C$253:$V$253,3),$C$253:$V$253,0))</f>
        <v/>
      </c>
      <c r="F301" t="str">
        <f>IF(LARGE($C$253:$V$253,4)&lt;0,"",MATCH(LARGE($C$253:$V$253,4),$C$253:$V$253,0))</f>
        <v/>
      </c>
      <c r="G301" t="str">
        <f>IF(LARGE($C$253:$V$253,5)&lt;0,"",MATCH(LARGE($C$253:$V$253,5),$C$253:$V$253,0))</f>
        <v/>
      </c>
      <c r="H301" t="str">
        <f>IF(LARGE($C$253:$V$253,6)&lt;0,"",MATCH(LARGE($C$253:$V$253,6),$C$253:$V$253,0))</f>
        <v/>
      </c>
      <c r="I301" t="str">
        <f>IF(LARGE($C$253:$V$253,7)&lt;0,"",MATCH(LARGE($C$253:$V$253,7),$C$253:$V$253,0))</f>
        <v/>
      </c>
      <c r="J301" t="str">
        <f>IF(LARGE($C$253:$V$253,8)&lt;0,"",MATCH(LARGE($C$253:$V$253,8),$C$253:$V$253,0))</f>
        <v/>
      </c>
      <c r="K301" t="str">
        <f>IF(LARGE($C$253:$V$253,9)&lt;0,"",MATCH(LARGE($C$253:$V$253,9),$C$253:$V$253,0))</f>
        <v/>
      </c>
      <c r="L301" t="str">
        <f>IF(LARGE($C$253:$V$253,10)&lt;0,"",MATCH(LARGE($C$253:$V$253,10),$C$253:$V$253,0))</f>
        <v/>
      </c>
      <c r="M301" t="str">
        <f>IF(LARGE($C$253:$V$253,11)&lt;0,"",MATCH(LARGE($C$253:$V$253,11),$C$253:$V$253,0))</f>
        <v/>
      </c>
      <c r="N301" t="str">
        <f>IF(LARGE($C$253:$V$253,12)&lt;0,"",MATCH(LARGE($C$253:$V$253,12),$C$253:$V$253,0))</f>
        <v/>
      </c>
      <c r="O301" t="str">
        <f>IF(LARGE($C$253:$V$253,13)&lt;0,"",MATCH(LARGE($C$253:$V$253,13),$C$253:$V$253,0))</f>
        <v/>
      </c>
      <c r="P301" t="str">
        <f>IF(LARGE($C$253:$V$253,14)&lt;0,"",MATCH(LARGE($C$253:$V$253,14),$C$253:$V$253,0))</f>
        <v/>
      </c>
      <c r="Q301" t="str">
        <f>IF(LARGE($C$253:$V$253,15)&lt;0,"",MATCH(LARGE($C$253:$V$253,15),$C$253:$V$253,0))</f>
        <v/>
      </c>
      <c r="R301" t="str">
        <f>IF(LARGE($C$253:$V$253,16)&lt;0,"",MATCH(LARGE($C$253:$V$253,16),$C$253:$V$253,0))</f>
        <v/>
      </c>
      <c r="S301" t="str">
        <f>IF(LARGE($C$253:$V$253,17)&lt;0,"",MATCH(LARGE($C$253:$V$253,17),$C$253:$V$253,0))</f>
        <v/>
      </c>
      <c r="T301" t="str">
        <f>IF(LARGE($C$253:$V$253,18)&lt;0,"",MATCH(LARGE($C$253:$V$253,18),$C$253:$V$253,0))</f>
        <v/>
      </c>
      <c r="U301" t="str">
        <f>IF(LARGE($C$253:$V$253,19)&lt;0,"",MATCH(LARGE($C$253:$V$253,19),$C$253:$V$253,0))</f>
        <v/>
      </c>
      <c r="V301" t="str">
        <f>IF(LARGE($C$253:$V$253,20)&lt;0,"",MATCH(LARGE($C$253:$V$253,20),$C$253:$V$253,0))</f>
        <v/>
      </c>
    </row>
    <row r="302" spans="3:22" x14ac:dyDescent="0.3">
      <c r="C302" t="str">
        <f>IF(LARGE($C$254:$V$254,1)&lt;0,"",MATCH(LARGE($C$254:$V$254,1),$C$254:$V$254,0))</f>
        <v/>
      </c>
      <c r="D302" t="str">
        <f>IF(LARGE($C$254:$V$254,2)&lt;0,"",MATCH(LARGE($C$254:$V$254,2),$C$254:$V$254,0))</f>
        <v/>
      </c>
      <c r="E302" t="str">
        <f>IF(LARGE($C$254:$V$254,3)&lt;0,"",MATCH(LARGE($C$254:$V$254,3),$C$254:$V$254,0))</f>
        <v/>
      </c>
      <c r="F302" t="str">
        <f>IF(LARGE($C$254:$V$254,4)&lt;0,"",MATCH(LARGE($C$254:$V$254,4),$C$254:$V$254,0))</f>
        <v/>
      </c>
      <c r="G302" t="str">
        <f>IF(LARGE($C$254:$V$254,5)&lt;0,"",MATCH(LARGE($C$254:$V$254,5),$C$254:$V$254,0))</f>
        <v/>
      </c>
      <c r="H302" t="str">
        <f>IF(LARGE($C$254:$V$254,6)&lt;0,"",MATCH(LARGE($C$254:$V$254,6),$C$254:$V$254,0))</f>
        <v/>
      </c>
      <c r="I302" t="str">
        <f>IF(LARGE($C$254:$V$254,7)&lt;0,"",MATCH(LARGE($C$254:$V$254,7),$C$254:$V$254,0))</f>
        <v/>
      </c>
      <c r="J302" t="str">
        <f>IF(LARGE($C$254:$V$254,8)&lt;0,"",MATCH(LARGE($C$254:$V$254,8),$C$254:$V$254,0))</f>
        <v/>
      </c>
      <c r="K302" t="str">
        <f>IF(LARGE($C$254:$V$254,9)&lt;0,"",MATCH(LARGE($C$254:$V$254,9),$C$254:$V$254,0))</f>
        <v/>
      </c>
      <c r="L302" t="str">
        <f>IF(LARGE($C$254:$V$254,10)&lt;0,"",MATCH(LARGE($C$254:$V$254,10),$C$254:$V$254,0))</f>
        <v/>
      </c>
      <c r="M302" t="str">
        <f>IF(LARGE($C$254:$V$254,11)&lt;0,"",MATCH(LARGE($C$254:$V$254,11),$C$254:$V$254,0))</f>
        <v/>
      </c>
      <c r="N302" t="str">
        <f>IF(LARGE($C$254:$V$254,12)&lt;0,"",MATCH(LARGE($C$254:$V$254,12),$C$254:$V$254,0))</f>
        <v/>
      </c>
      <c r="O302" t="str">
        <f>IF(LARGE($C$254:$V$254,13)&lt;0,"",MATCH(LARGE($C$254:$V$254,13),$C$254:$V$254,0))</f>
        <v/>
      </c>
      <c r="P302" t="str">
        <f>IF(LARGE($C$254:$V$254,14)&lt;0,"",MATCH(LARGE($C$254:$V$254,14),$C$254:$V$254,0))</f>
        <v/>
      </c>
      <c r="Q302" t="str">
        <f>IF(LARGE($C$254:$V$254,15)&lt;0,"",MATCH(LARGE($C$254:$V$254,15),$C$254:$V$254,0))</f>
        <v/>
      </c>
      <c r="R302" t="str">
        <f>IF(LARGE($C$254:$V$254,16)&lt;0,"",MATCH(LARGE($C$254:$V$254,16),$C$254:$V$254,0))</f>
        <v/>
      </c>
      <c r="S302" t="str">
        <f>IF(LARGE($C$254:$V$254,17)&lt;0,"",MATCH(LARGE($C$254:$V$254,17),$C$254:$V$254,0))</f>
        <v/>
      </c>
      <c r="T302" t="str">
        <f>IF(LARGE($C$254:$V$254,18)&lt;0,"",MATCH(LARGE($C$254:$V$254,18),$C$254:$V$254,0))</f>
        <v/>
      </c>
      <c r="U302" t="str">
        <f>IF(LARGE($C$254:$V$254,19)&lt;0,"",MATCH(LARGE($C$254:$V$254,19),$C$254:$V$254,0))</f>
        <v/>
      </c>
      <c r="V302" t="str">
        <f>IF(LARGE($C$254:$V$254,20)&lt;0,"",MATCH(LARGE($C$254:$V$254,20),$C$254:$V$254,0))</f>
        <v/>
      </c>
    </row>
    <row r="303" spans="3:22" x14ac:dyDescent="0.3">
      <c r="C303" t="str">
        <f>IF(LARGE($C$255:$V$255,1)&lt;0,"",MATCH(LARGE($C$255:$V$255,1),$C$255:$V$255,0))</f>
        <v/>
      </c>
      <c r="D303" t="str">
        <f>IF(LARGE($C$255:$V$255,2)&lt;0,"",MATCH(LARGE($C$255:$V$255,2),$C$255:$V$255,0))</f>
        <v/>
      </c>
      <c r="E303" t="str">
        <f>IF(LARGE($C$255:$V$255,3)&lt;0,"",MATCH(LARGE($C$255:$V$255,3),$C$255:$V$255,0))</f>
        <v/>
      </c>
      <c r="F303" t="str">
        <f>IF(LARGE($C$255:$V$255,4)&lt;0,"",MATCH(LARGE($C$255:$V$255,4),$C$255:$V$255,0))</f>
        <v/>
      </c>
      <c r="G303" t="str">
        <f>IF(LARGE($C$255:$V$255,5)&lt;0,"",MATCH(LARGE($C$255:$V$255,5),$C$255:$V$255,0))</f>
        <v/>
      </c>
      <c r="H303" t="str">
        <f>IF(LARGE($C$255:$V$255,6)&lt;0,"",MATCH(LARGE($C$255:$V$255,6),$C$255:$V$255,0))</f>
        <v/>
      </c>
      <c r="I303" t="str">
        <f>IF(LARGE($C$255:$V$255,7)&lt;0,"",MATCH(LARGE($C$255:$V$255,7),$C$255:$V$255,0))</f>
        <v/>
      </c>
      <c r="J303" t="str">
        <f>IF(LARGE($C$255:$V$255,8)&lt;0,"",MATCH(LARGE($C$255:$V$255,8),$C$255:$V$255,0))</f>
        <v/>
      </c>
      <c r="K303" t="str">
        <f>IF(LARGE($C$255:$V$255,9)&lt;0,"",MATCH(LARGE($C$255:$V$255,9),$C$255:$V$255,0))</f>
        <v/>
      </c>
      <c r="L303" t="str">
        <f>IF(LARGE($C$255:$V$255,10)&lt;0,"",MATCH(LARGE($C$255:$V$255,10),$C$255:$V$255,0))</f>
        <v/>
      </c>
      <c r="M303" t="str">
        <f>IF(LARGE($C$255:$V$255,11)&lt;0,"",MATCH(LARGE($C$255:$V$255,11),$C$255:$V$255,0))</f>
        <v/>
      </c>
      <c r="N303" t="str">
        <f>IF(LARGE($C$255:$V$255,12)&lt;0,"",MATCH(LARGE($C$255:$V$255,12),$C$255:$V$255,0))</f>
        <v/>
      </c>
      <c r="O303" t="str">
        <f>IF(LARGE($C$255:$V$255,13)&lt;0,"",MATCH(LARGE($C$255:$V$255,13),$C$255:$V$255,0))</f>
        <v/>
      </c>
      <c r="P303" t="str">
        <f>IF(LARGE($C$255:$V$255,14)&lt;0,"",MATCH(LARGE($C$255:$V$255,14),$C$255:$V$255,0))</f>
        <v/>
      </c>
      <c r="Q303" t="str">
        <f>IF(LARGE($C$255:$V$255,15)&lt;0,"",MATCH(LARGE($C$255:$V$255,15),$C$255:$V$255,0))</f>
        <v/>
      </c>
      <c r="R303" t="str">
        <f>IF(LARGE($C$255:$V$255,16)&lt;0,"",MATCH(LARGE($C$255:$V$255,16),$C$255:$V$255,0))</f>
        <v/>
      </c>
      <c r="S303" t="str">
        <f>IF(LARGE($C$255:$V$255,17)&lt;0,"",MATCH(LARGE($C$255:$V$255,17),$C$255:$V$255,0))</f>
        <v/>
      </c>
      <c r="T303" t="str">
        <f>IF(LARGE($C$255:$V$255,18)&lt;0,"",MATCH(LARGE($C$255:$V$255,18),$C$255:$V$255,0))</f>
        <v/>
      </c>
      <c r="U303" t="str">
        <f>IF(LARGE($C$255:$V$255,19)&lt;0,"",MATCH(LARGE($C$255:$V$255,19),$C$255:$V$255,0))</f>
        <v/>
      </c>
      <c r="V303" t="str">
        <f>IF(LARGE($C$255:$V$255,20)&lt;0,"",MATCH(LARGE($C$255:$V$255,20),$C$255:$V$255,0))</f>
        <v/>
      </c>
    </row>
    <row r="304" spans="3:22" x14ac:dyDescent="0.3">
      <c r="C304" t="str">
        <f>IF(LARGE($C$256:$V$256,1)&lt;0,"",MATCH(LARGE($C$256:$V$256,1),$C$256:$V$256,0))</f>
        <v/>
      </c>
      <c r="D304" t="str">
        <f>IF(LARGE($C$256:$V$256,2)&lt;0,"",MATCH(LARGE($C$256:$V$256,2),$C$256:$V$256,0))</f>
        <v/>
      </c>
      <c r="E304" t="str">
        <f>IF(LARGE($C$256:$V$256,3)&lt;0,"",MATCH(LARGE($C$256:$V$256,3),$C$256:$V$256,0))</f>
        <v/>
      </c>
      <c r="F304" t="str">
        <f>IF(LARGE($C$256:$V$256,4)&lt;0,"",MATCH(LARGE($C$256:$V$256,4),$C$256:$V$256,0))</f>
        <v/>
      </c>
      <c r="G304" t="str">
        <f>IF(LARGE($C$256:$V$256,5)&lt;0,"",MATCH(LARGE($C$256:$V$256,5),$C$256:$V$256,0))</f>
        <v/>
      </c>
      <c r="H304" t="str">
        <f>IF(LARGE($C$256:$V$256,6)&lt;0,"",MATCH(LARGE($C$256:$V$256,6),$C$256:$V$256,0))</f>
        <v/>
      </c>
      <c r="I304" t="str">
        <f>IF(LARGE($C$256:$V$256,7)&lt;0,"",MATCH(LARGE($C$256:$V$256,7),$C$256:$V$256,0))</f>
        <v/>
      </c>
      <c r="J304" t="str">
        <f>IF(LARGE($C$256:$V$256,8)&lt;0,"",MATCH(LARGE($C$256:$V$256,8),$C$256:$V$256,0))</f>
        <v/>
      </c>
      <c r="K304" t="str">
        <f>IF(LARGE($C$256:$V$256,9)&lt;0,"",MATCH(LARGE($C$256:$V$256,9),$C$256:$V$256,0))</f>
        <v/>
      </c>
      <c r="L304" t="str">
        <f>IF(LARGE($C$256:$V$256,10)&lt;0,"",MATCH(LARGE($C$256:$V$256,10),$C$256:$V$256,0))</f>
        <v/>
      </c>
      <c r="M304" t="str">
        <f>IF(LARGE($C$256:$V$256,11)&lt;0,"",MATCH(LARGE($C$256:$V$256,11),$C$256:$V$256,0))</f>
        <v/>
      </c>
      <c r="N304" t="str">
        <f>IF(LARGE($C$256:$V$256,12)&lt;0,"",MATCH(LARGE($C$256:$V$256,12),$C$256:$V$256,0))</f>
        <v/>
      </c>
      <c r="O304" t="str">
        <f>IF(LARGE($C$256:$V$256,13)&lt;0,"",MATCH(LARGE($C$256:$V$256,13),$C$256:$V$256,0))</f>
        <v/>
      </c>
      <c r="P304" t="str">
        <f>IF(LARGE($C$256:$V$256,14)&lt;0,"",MATCH(LARGE($C$256:$V$256,14),$C$256:$V$256,0))</f>
        <v/>
      </c>
      <c r="Q304" t="str">
        <f>IF(LARGE($C$256:$V$256,15)&lt;0,"",MATCH(LARGE($C$256:$V$256,15),$C$256:$V$256,0))</f>
        <v/>
      </c>
      <c r="R304" t="str">
        <f>IF(LARGE($C$256:$V$256,16)&lt;0,"",MATCH(LARGE($C$256:$V$256,16),$C$256:$V$256,0))</f>
        <v/>
      </c>
      <c r="S304" t="str">
        <f>IF(LARGE($C$256:$V$256,17)&lt;0,"",MATCH(LARGE($C$256:$V$256,17),$C$256:$V$256,0))</f>
        <v/>
      </c>
      <c r="T304" t="str">
        <f>IF(LARGE($C$256:$V$256,18)&lt;0,"",MATCH(LARGE($C$256:$V$256,18),$C$256:$V$256,0))</f>
        <v/>
      </c>
      <c r="U304" t="str">
        <f>IF(LARGE($C$256:$V$256,19)&lt;0,"",MATCH(LARGE($C$256:$V$256,19),$C$256:$V$256,0))</f>
        <v/>
      </c>
      <c r="V304" t="str">
        <f>IF(LARGE($C$256:$V$256,20)&lt;0,"",MATCH(LARGE($C$256:$V$256,20),$C$256:$V$256,0))</f>
        <v/>
      </c>
    </row>
    <row r="305" spans="3:22" x14ac:dyDescent="0.3">
      <c r="C305" t="str">
        <f>IF(LARGE($C$257:$V$257,1)&lt;0,"",MATCH(LARGE($C$257:$V$257,1),$C$257:$V$257,0))</f>
        <v/>
      </c>
      <c r="D305" t="str">
        <f>IF(LARGE($C$257:$V$257,2)&lt;0,"",MATCH(LARGE($C$257:$V$257,2),$C$257:$V$257,0))</f>
        <v/>
      </c>
      <c r="E305" t="str">
        <f>IF(LARGE($C$257:$V$257,3)&lt;0,"",MATCH(LARGE($C$257:$V$257,3),$C$257:$V$257,0))</f>
        <v/>
      </c>
      <c r="F305" t="str">
        <f>IF(LARGE($C$257:$V$257,4)&lt;0,"",MATCH(LARGE($C$257:$V$257,4),$C$257:$V$257,0))</f>
        <v/>
      </c>
      <c r="G305" t="str">
        <f>IF(LARGE($C$257:$V$257,5)&lt;0,"",MATCH(LARGE($C$257:$V$257,5),$C$257:$V$257,0))</f>
        <v/>
      </c>
      <c r="H305" t="str">
        <f>IF(LARGE($C$257:$V$257,6)&lt;0,"",MATCH(LARGE($C$257:$V$257,6),$C$257:$V$257,0))</f>
        <v/>
      </c>
      <c r="I305" t="str">
        <f>IF(LARGE($C$257:$V$257,7)&lt;0,"",MATCH(LARGE($C$257:$V$257,7),$C$257:$V$257,0))</f>
        <v/>
      </c>
      <c r="J305" t="str">
        <f>IF(LARGE($C$257:$V$257,8)&lt;0,"",MATCH(LARGE($C$257:$V$257,8),$C$257:$V$257,0))</f>
        <v/>
      </c>
      <c r="K305" t="str">
        <f>IF(LARGE($C$257:$V$257,9)&lt;0,"",MATCH(LARGE($C$257:$V$257,9),$C$257:$V$257,0))</f>
        <v/>
      </c>
      <c r="L305" t="str">
        <f>IF(LARGE($C$257:$V$257,10)&lt;0,"",MATCH(LARGE($C$257:$V$257,10),$C$257:$V$257,0))</f>
        <v/>
      </c>
      <c r="M305" t="str">
        <f>IF(LARGE($C$257:$V$257,11)&lt;0,"",MATCH(LARGE($C$257:$V$257,11),$C$257:$V$257,0))</f>
        <v/>
      </c>
      <c r="N305" t="str">
        <f>IF(LARGE($C$257:$V$257,12)&lt;0,"",MATCH(LARGE($C$257:$V$257,12),$C$257:$V$257,0))</f>
        <v/>
      </c>
      <c r="O305" t="str">
        <f>IF(LARGE($C$257:$V$257,13)&lt;0,"",MATCH(LARGE($C$257:$V$257,13),$C$257:$V$257,0))</f>
        <v/>
      </c>
      <c r="P305" t="str">
        <f>IF(LARGE($C$257:$V$257,14)&lt;0,"",MATCH(LARGE($C$257:$V$257,14),$C$257:$V$257,0))</f>
        <v/>
      </c>
      <c r="Q305" t="str">
        <f>IF(LARGE($C$257:$V$257,15)&lt;0,"",MATCH(LARGE($C$257:$V$257,15),$C$257:$V$257,0))</f>
        <v/>
      </c>
      <c r="R305" t="str">
        <f>IF(LARGE($C$257:$V$257,16)&lt;0,"",MATCH(LARGE($C$257:$V$257,16),$C$257:$V$257,0))</f>
        <v/>
      </c>
      <c r="S305" t="str">
        <f>IF(LARGE($C$257:$V$257,17)&lt;0,"",MATCH(LARGE($C$257:$V$257,17),$C$257:$V$257,0))</f>
        <v/>
      </c>
      <c r="T305" t="str">
        <f>IF(LARGE($C$257:$V$257,18)&lt;0,"",MATCH(LARGE($C$257:$V$257,18),$C$257:$V$257,0))</f>
        <v/>
      </c>
      <c r="U305" t="str">
        <f>IF(LARGE($C$257:$V$257,19)&lt;0,"",MATCH(LARGE($C$257:$V$257,19),$C$257:$V$257,0))</f>
        <v/>
      </c>
      <c r="V305" t="str">
        <f>IF(LARGE($C$257:$V$257,20)&lt;0,"",MATCH(LARGE($C$257:$V$257,20),$C$257:$V$257,0))</f>
        <v/>
      </c>
    </row>
    <row r="306" spans="3:22" x14ac:dyDescent="0.3">
      <c r="C306" t="str">
        <f>IF(LARGE($C$258:$V$258,1)&lt;0,"",MATCH(LARGE($C$258:$V$258,1),$C$258:$V$258,0))</f>
        <v/>
      </c>
      <c r="D306" t="str">
        <f>IF(LARGE($C$258:$V$258,2)&lt;0,"",MATCH(LARGE($C$258:$V$258,2),$C$258:$V$258,0))</f>
        <v/>
      </c>
      <c r="E306" t="str">
        <f>IF(LARGE($C$258:$V$258,3)&lt;0,"",MATCH(LARGE($C$258:$V$258,3),$C$258:$V$258,0))</f>
        <v/>
      </c>
      <c r="F306" t="str">
        <f>IF(LARGE($C$258:$V$258,4)&lt;0,"",MATCH(LARGE($C$258:$V$258,4),$C$258:$V$258,0))</f>
        <v/>
      </c>
      <c r="G306" t="str">
        <f>IF(LARGE($C$258:$V$258,5)&lt;0,"",MATCH(LARGE($C$258:$V$258,5),$C$258:$V$258,0))</f>
        <v/>
      </c>
      <c r="H306" t="str">
        <f>IF(LARGE($C$258:$V$258,6)&lt;0,"",MATCH(LARGE($C$258:$V$258,6),$C$258:$V$258,0))</f>
        <v/>
      </c>
      <c r="I306" t="str">
        <f>IF(LARGE($C$258:$V$258,7)&lt;0,"",MATCH(LARGE($C$258:$V$258,7),$C$258:$V$258,0))</f>
        <v/>
      </c>
      <c r="J306" t="str">
        <f>IF(LARGE($C$258:$V$258,8)&lt;0,"",MATCH(LARGE($C$258:$V$258,8),$C$258:$V$258,0))</f>
        <v/>
      </c>
      <c r="K306" t="str">
        <f>IF(LARGE($C$258:$V$258,9)&lt;0,"",MATCH(LARGE($C$258:$V$258,9),$C$258:$V$258,0))</f>
        <v/>
      </c>
      <c r="L306" t="str">
        <f>IF(LARGE($C$258:$V$258,10)&lt;0,"",MATCH(LARGE($C$258:$V$258,10),$C$258:$V$258,0))</f>
        <v/>
      </c>
      <c r="M306" t="str">
        <f>IF(LARGE($C$258:$V$258,11)&lt;0,"",MATCH(LARGE($C$258:$V$258,11),$C$258:$V$258,0))</f>
        <v/>
      </c>
      <c r="N306" t="str">
        <f>IF(LARGE($C$258:$V$258,12)&lt;0,"",MATCH(LARGE($C$258:$V$258,12),$C$258:$V$258,0))</f>
        <v/>
      </c>
      <c r="O306" t="str">
        <f>IF(LARGE($C$258:$V$258,13)&lt;0,"",MATCH(LARGE($C$258:$V$258,13),$C$258:$V$258,0))</f>
        <v/>
      </c>
      <c r="P306" t="str">
        <f>IF(LARGE($C$258:$V$258,14)&lt;0,"",MATCH(LARGE($C$258:$V$258,14),$C$258:$V$258,0))</f>
        <v/>
      </c>
      <c r="Q306" t="str">
        <f>IF(LARGE($C$258:$V$258,15)&lt;0,"",MATCH(LARGE($C$258:$V$258,15),$C$258:$V$258,0))</f>
        <v/>
      </c>
      <c r="R306" t="str">
        <f>IF(LARGE($C$258:$V$258,16)&lt;0,"",MATCH(LARGE($C$258:$V$258,16),$C$258:$V$258,0))</f>
        <v/>
      </c>
      <c r="S306" t="str">
        <f>IF(LARGE($C$258:$V$258,17)&lt;0,"",MATCH(LARGE($C$258:$V$258,17),$C$258:$V$258,0))</f>
        <v/>
      </c>
      <c r="T306" t="str">
        <f>IF(LARGE($C$258:$V$258,18)&lt;0,"",MATCH(LARGE($C$258:$V$258,18),$C$258:$V$258,0))</f>
        <v/>
      </c>
      <c r="U306" t="str">
        <f>IF(LARGE($C$258:$V$258,19)&lt;0,"",MATCH(LARGE($C$258:$V$258,19),$C$258:$V$258,0))</f>
        <v/>
      </c>
      <c r="V306" t="str">
        <f>IF(LARGE($C$258:$V$258,20)&lt;0,"",MATCH(LARGE($C$258:$V$258,20),$C$258:$V$258,0))</f>
        <v/>
      </c>
    </row>
    <row r="307" spans="3:22" x14ac:dyDescent="0.3">
      <c r="C307" t="str">
        <f>IF(LARGE($C$259:$V$259,1)&lt;0,"",MATCH(LARGE($C$259:$V$259,1),$C$259:$V$259,0))</f>
        <v/>
      </c>
      <c r="D307" t="str">
        <f>IF(LARGE($C$259:$V$259,2)&lt;0,"",MATCH(LARGE($C$259:$V$259,2),$C$259:$V$259,0))</f>
        <v/>
      </c>
      <c r="E307" t="str">
        <f>IF(LARGE($C$259:$V$259,3)&lt;0,"",MATCH(LARGE($C$259:$V$259,3),$C$259:$V$259,0))</f>
        <v/>
      </c>
      <c r="F307" t="str">
        <f>IF(LARGE($C$259:$V$259,4)&lt;0,"",MATCH(LARGE($C$259:$V$259,4),$C$259:$V$259,0))</f>
        <v/>
      </c>
      <c r="G307" t="str">
        <f>IF(LARGE($C$259:$V$259,5)&lt;0,"",MATCH(LARGE($C$259:$V$259,5),$C$259:$V$259,0))</f>
        <v/>
      </c>
      <c r="H307" t="str">
        <f>IF(LARGE($C$259:$V$259,6)&lt;0,"",MATCH(LARGE($C$259:$V$259,6),$C$259:$V$259,0))</f>
        <v/>
      </c>
      <c r="I307" t="str">
        <f>IF(LARGE($C$259:$V$259,7)&lt;0,"",MATCH(LARGE($C$259:$V$259,7),$C$259:$V$259,0))</f>
        <v/>
      </c>
      <c r="J307" t="str">
        <f>IF(LARGE($C$259:$V$259,8)&lt;0,"",MATCH(LARGE($C$259:$V$259,8),$C$259:$V$259,0))</f>
        <v/>
      </c>
      <c r="K307" t="str">
        <f>IF(LARGE($C$259:$V$259,9)&lt;0,"",MATCH(LARGE($C$259:$V$259,9),$C$259:$V$259,0))</f>
        <v/>
      </c>
      <c r="L307" t="str">
        <f>IF(LARGE($C$259:$V$259,10)&lt;0,"",MATCH(LARGE($C$259:$V$259,10),$C$259:$V$259,0))</f>
        <v/>
      </c>
      <c r="M307" t="str">
        <f>IF(LARGE($C$259:$V$259,11)&lt;0,"",MATCH(LARGE($C$259:$V$259,11),$C$259:$V$259,0))</f>
        <v/>
      </c>
      <c r="N307" t="str">
        <f>IF(LARGE($C$259:$V$259,12)&lt;0,"",MATCH(LARGE($C$259:$V$259,12),$C$259:$V$259,0))</f>
        <v/>
      </c>
      <c r="O307" t="str">
        <f>IF(LARGE($C$259:$V$259,13)&lt;0,"",MATCH(LARGE($C$259:$V$259,13),$C$259:$V$259,0))</f>
        <v/>
      </c>
      <c r="P307" t="str">
        <f>IF(LARGE($C$259:$V$259,14)&lt;0,"",MATCH(LARGE($C$259:$V$259,14),$C$259:$V$259,0))</f>
        <v/>
      </c>
      <c r="Q307" t="str">
        <f>IF(LARGE($C$259:$V$259,15)&lt;0,"",MATCH(LARGE($C$259:$V$259,15),$C$259:$V$259,0))</f>
        <v/>
      </c>
      <c r="R307" t="str">
        <f>IF(LARGE($C$259:$V$259,16)&lt;0,"",MATCH(LARGE($C$259:$V$259,16),$C$259:$V$259,0))</f>
        <v/>
      </c>
      <c r="S307" t="str">
        <f>IF(LARGE($C$259:$V$259,17)&lt;0,"",MATCH(LARGE($C$259:$V$259,17),$C$259:$V$259,0))</f>
        <v/>
      </c>
      <c r="T307" t="str">
        <f>IF(LARGE($C$259:$V$259,18)&lt;0,"",MATCH(LARGE($C$259:$V$259,18),$C$259:$V$259,0))</f>
        <v/>
      </c>
      <c r="U307" t="str">
        <f>IF(LARGE($C$259:$V$259,19)&lt;0,"",MATCH(LARGE($C$259:$V$259,19),$C$259:$V$259,0))</f>
        <v/>
      </c>
      <c r="V307" t="str">
        <f>IF(LARGE($C$259:$V$259,20)&lt;0,"",MATCH(LARGE($C$259:$V$259,20),$C$259:$V$259,0))</f>
        <v/>
      </c>
    </row>
    <row r="308" spans="3:22" x14ac:dyDescent="0.3">
      <c r="C308" t="str">
        <f>IF(LARGE($C$260:$V$260,1)&lt;0,"",MATCH(LARGE($C$260:$V$260,1),$C$260:$V$260,0))</f>
        <v/>
      </c>
      <c r="D308" t="str">
        <f>IF(LARGE($C$260:$V$260,2)&lt;0,"",MATCH(LARGE($C$260:$V$260,2),$C$260:$V$260,0))</f>
        <v/>
      </c>
      <c r="E308" t="str">
        <f>IF(LARGE($C$260:$V$260,3)&lt;0,"",MATCH(LARGE($C$260:$V$260,3),$C$260:$V$260,0))</f>
        <v/>
      </c>
      <c r="F308" t="str">
        <f>IF(LARGE($C$260:$V$260,4)&lt;0,"",MATCH(LARGE($C$260:$V$260,4),$C$260:$V$260,0))</f>
        <v/>
      </c>
      <c r="G308" t="str">
        <f>IF(LARGE($C$260:$V$260,5)&lt;0,"",MATCH(LARGE($C$260:$V$260,5),$C$260:$V$260,0))</f>
        <v/>
      </c>
      <c r="H308" t="str">
        <f>IF(LARGE($C$260:$V$260,6)&lt;0,"",MATCH(LARGE($C$260:$V$260,6),$C$260:$V$260,0))</f>
        <v/>
      </c>
      <c r="I308" t="str">
        <f>IF(LARGE($C$260:$V$260,7)&lt;0,"",MATCH(LARGE($C$260:$V$260,7),$C$260:$V$260,0))</f>
        <v/>
      </c>
      <c r="J308" t="str">
        <f>IF(LARGE($C$260:$V$260,8)&lt;0,"",MATCH(LARGE($C$260:$V$260,8),$C$260:$V$260,0))</f>
        <v/>
      </c>
      <c r="K308" t="str">
        <f>IF(LARGE($C$260:$V$260,9)&lt;0,"",MATCH(LARGE($C$260:$V$260,9),$C$260:$V$260,0))</f>
        <v/>
      </c>
      <c r="L308" t="str">
        <f>IF(LARGE($C$260:$V$260,10)&lt;0,"",MATCH(LARGE($C$260:$V$260,10),$C$260:$V$260,0))</f>
        <v/>
      </c>
      <c r="M308" t="str">
        <f>IF(LARGE($C$260:$V$260,11)&lt;0,"",MATCH(LARGE($C$260:$V$260,11),$C$260:$V$260,0))</f>
        <v/>
      </c>
      <c r="N308" t="str">
        <f>IF(LARGE($C$260:$V$260,12)&lt;0,"",MATCH(LARGE($C$260:$V$260,12),$C$260:$V$260,0))</f>
        <v/>
      </c>
      <c r="O308" t="str">
        <f>IF(LARGE($C$260:$V$260,13)&lt;0,"",MATCH(LARGE($C$260:$V$260,13),$C$260:$V$260,0))</f>
        <v/>
      </c>
      <c r="P308" t="str">
        <f>IF(LARGE($C$260:$V$260,14)&lt;0,"",MATCH(LARGE($C$260:$V$260,14),$C$260:$V$260,0))</f>
        <v/>
      </c>
      <c r="Q308" t="str">
        <f>IF(LARGE($C$260:$V$260,15)&lt;0,"",MATCH(LARGE($C$260:$V$260,15),$C$260:$V$260,0))</f>
        <v/>
      </c>
      <c r="R308" t="str">
        <f>IF(LARGE($C$260:$V$260,16)&lt;0,"",MATCH(LARGE($C$260:$V$260,16),$C$260:$V$260,0))</f>
        <v/>
      </c>
      <c r="S308" t="str">
        <f>IF(LARGE($C$260:$V$260,17)&lt;0,"",MATCH(LARGE($C$260:$V$260,17),$C$260:$V$260,0))</f>
        <v/>
      </c>
      <c r="T308" t="str">
        <f>IF(LARGE($C$260:$V$260,18)&lt;0,"",MATCH(LARGE($C$260:$V$260,18),$C$260:$V$260,0))</f>
        <v/>
      </c>
      <c r="U308" t="str">
        <f>IF(LARGE($C$260:$V$260,19)&lt;0,"",MATCH(LARGE($C$260:$V$260,19),$C$260:$V$260,0))</f>
        <v/>
      </c>
      <c r="V308" t="str">
        <f>IF(LARGE($C$260:$V$260,20)&lt;0,"",MATCH(LARGE($C$260:$V$260,20),$C$260:$V$260,0))</f>
        <v/>
      </c>
    </row>
    <row r="309" spans="3:22" x14ac:dyDescent="0.3">
      <c r="C309" t="str">
        <f>IF(LARGE($C$261:$V$261,1)&lt;0,"",MATCH(LARGE($C$261:$V$261,1),$C$261:$V$261,0))</f>
        <v/>
      </c>
      <c r="D309" t="str">
        <f>IF(LARGE($C$261:$V$261,2)&lt;0,"",MATCH(LARGE($C$261:$V$261,2),$C$261:$V$261,0))</f>
        <v/>
      </c>
      <c r="E309" t="str">
        <f>IF(LARGE($C$261:$V$261,3)&lt;0,"",MATCH(LARGE($C$261:$V$261,3),$C$261:$V$261,0))</f>
        <v/>
      </c>
      <c r="F309" t="str">
        <f>IF(LARGE($C$261:$V$261,4)&lt;0,"",MATCH(LARGE($C$261:$V$261,4),$C$261:$V$261,0))</f>
        <v/>
      </c>
      <c r="G309" t="str">
        <f>IF(LARGE($C$261:$V$261,5)&lt;0,"",MATCH(LARGE($C$261:$V$261,5),$C$261:$V$261,0))</f>
        <v/>
      </c>
      <c r="H309" t="str">
        <f>IF(LARGE($C$261:$V$261,6)&lt;0,"",MATCH(LARGE($C$261:$V$261,6),$C$261:$V$261,0))</f>
        <v/>
      </c>
      <c r="I309" t="str">
        <f>IF(LARGE($C$261:$V$261,7)&lt;0,"",MATCH(LARGE($C$261:$V$261,7),$C$261:$V$261,0))</f>
        <v/>
      </c>
      <c r="J309" t="str">
        <f>IF(LARGE($C$261:$V$261,8)&lt;0,"",MATCH(LARGE($C$261:$V$261,8),$C$261:$V$261,0))</f>
        <v/>
      </c>
      <c r="K309" t="str">
        <f>IF(LARGE($C$261:$V$261,9)&lt;0,"",MATCH(LARGE($C$261:$V$261,9),$C$261:$V$261,0))</f>
        <v/>
      </c>
      <c r="L309" t="str">
        <f>IF(LARGE($C$261:$V$261,10)&lt;0,"",MATCH(LARGE($C$261:$V$261,10),$C$261:$V$261,0))</f>
        <v/>
      </c>
      <c r="M309" t="str">
        <f>IF(LARGE($C$261:$V$261,11)&lt;0,"",MATCH(LARGE($C$261:$V$261,11),$C$261:$V$261,0))</f>
        <v/>
      </c>
      <c r="N309" t="str">
        <f>IF(LARGE($C$261:$V$261,12)&lt;0,"",MATCH(LARGE($C$261:$V$261,12),$C$261:$V$261,0))</f>
        <v/>
      </c>
      <c r="O309" t="str">
        <f>IF(LARGE($C$261:$V$261,13)&lt;0,"",MATCH(LARGE($C$261:$V$261,13),$C$261:$V$261,0))</f>
        <v/>
      </c>
      <c r="P309" t="str">
        <f>IF(LARGE($C$261:$V$261,14)&lt;0,"",MATCH(LARGE($C$261:$V$261,14),$C$261:$V$261,0))</f>
        <v/>
      </c>
      <c r="Q309" t="str">
        <f>IF(LARGE($C$261:$V$261,15)&lt;0,"",MATCH(LARGE($C$261:$V$261,15),$C$261:$V$261,0))</f>
        <v/>
      </c>
      <c r="R309" t="str">
        <f>IF(LARGE($C$261:$V$261,16)&lt;0,"",MATCH(LARGE($C$261:$V$261,16),$C$261:$V$261,0))</f>
        <v/>
      </c>
      <c r="S309" t="str">
        <f>IF(LARGE($C$261:$V$261,17)&lt;0,"",MATCH(LARGE($C$261:$V$261,17),$C$261:$V$261,0))</f>
        <v/>
      </c>
      <c r="T309" t="str">
        <f>IF(LARGE($C$261:$V$261,18)&lt;0,"",MATCH(LARGE($C$261:$V$261,18),$C$261:$V$261,0))</f>
        <v/>
      </c>
      <c r="U309" t="str">
        <f>IF(LARGE($C$261:$V$261,19)&lt;0,"",MATCH(LARGE($C$261:$V$261,19),$C$261:$V$261,0))</f>
        <v/>
      </c>
      <c r="V309" t="str">
        <f>IF(LARGE($C$261:$V$261,20)&lt;0,"",MATCH(LARGE($C$261:$V$261,20),$C$261:$V$261,0))</f>
        <v/>
      </c>
    </row>
    <row r="310" spans="3:22" x14ac:dyDescent="0.3">
      <c r="C310" t="str">
        <f>IF(LARGE($C$262:$V$262,1)&lt;0,"",MATCH(LARGE($C$262:$V$262,1),$C$262:$V$262,0))</f>
        <v/>
      </c>
      <c r="D310" t="str">
        <f>IF(LARGE($C$262:$V$262,2)&lt;0,"",MATCH(LARGE($C$262:$V$262,2),$C$262:$V$262,0))</f>
        <v/>
      </c>
      <c r="E310" t="str">
        <f>IF(LARGE($C$262:$V$262,3)&lt;0,"",MATCH(LARGE($C$262:$V$262,3),$C$262:$V$262,0))</f>
        <v/>
      </c>
      <c r="F310" t="str">
        <f>IF(LARGE($C$262:$V$262,4)&lt;0,"",MATCH(LARGE($C$262:$V$262,4),$C$262:$V$262,0))</f>
        <v/>
      </c>
      <c r="G310" t="str">
        <f>IF(LARGE($C$262:$V$262,5)&lt;0,"",MATCH(LARGE($C$262:$V$262,5),$C$262:$V$262,0))</f>
        <v/>
      </c>
      <c r="H310" t="str">
        <f>IF(LARGE($C$262:$V$262,6)&lt;0,"",MATCH(LARGE($C$262:$V$262,6),$C$262:$V$262,0))</f>
        <v/>
      </c>
      <c r="I310" t="str">
        <f>IF(LARGE($C$262:$V$262,7)&lt;0,"",MATCH(LARGE($C$262:$V$262,7),$C$262:$V$262,0))</f>
        <v/>
      </c>
      <c r="J310" t="str">
        <f>IF(LARGE($C$262:$V$262,8)&lt;0,"",MATCH(LARGE($C$262:$V$262,8),$C$262:$V$262,0))</f>
        <v/>
      </c>
      <c r="K310" t="str">
        <f>IF(LARGE($C$262:$V$262,9)&lt;0,"",MATCH(LARGE($C$262:$V$262,9),$C$262:$V$262,0))</f>
        <v/>
      </c>
      <c r="L310" t="str">
        <f>IF(LARGE($C$262:$V$262,10)&lt;0,"",MATCH(LARGE($C$262:$V$262,10),$C$262:$V$262,0))</f>
        <v/>
      </c>
      <c r="M310" t="str">
        <f>IF(LARGE($C$262:$V$262,11)&lt;0,"",MATCH(LARGE($C$262:$V$262,11),$C$262:$V$262,0))</f>
        <v/>
      </c>
      <c r="N310" t="str">
        <f>IF(LARGE($C$262:$V$262,12)&lt;0,"",MATCH(LARGE($C$262:$V$262,12),$C$262:$V$262,0))</f>
        <v/>
      </c>
      <c r="O310" t="str">
        <f>IF(LARGE($C$262:$V$262,13)&lt;0,"",MATCH(LARGE($C$262:$V$262,13),$C$262:$V$262,0))</f>
        <v/>
      </c>
      <c r="P310" t="str">
        <f>IF(LARGE($C$262:$V$262,14)&lt;0,"",MATCH(LARGE($C$262:$V$262,14),$C$262:$V$262,0))</f>
        <v/>
      </c>
      <c r="Q310" t="str">
        <f>IF(LARGE($C$262:$V$262,15)&lt;0,"",MATCH(LARGE($C$262:$V$262,15),$C$262:$V$262,0))</f>
        <v/>
      </c>
      <c r="R310" t="str">
        <f>IF(LARGE($C$262:$V$262,16)&lt;0,"",MATCH(LARGE($C$262:$V$262,16),$C$262:$V$262,0))</f>
        <v/>
      </c>
      <c r="S310" t="str">
        <f>IF(LARGE($C$262:$V$262,17)&lt;0,"",MATCH(LARGE($C$262:$V$262,17),$C$262:$V$262,0))</f>
        <v/>
      </c>
      <c r="T310" t="str">
        <f>IF(LARGE($C$262:$V$262,18)&lt;0,"",MATCH(LARGE($C$262:$V$262,18),$C$262:$V$262,0))</f>
        <v/>
      </c>
      <c r="U310" t="str">
        <f>IF(LARGE($C$262:$V$262,19)&lt;0,"",MATCH(LARGE($C$262:$V$262,19),$C$262:$V$262,0))</f>
        <v/>
      </c>
      <c r="V310" t="str">
        <f>IF(LARGE($C$262:$V$262,20)&lt;0,"",MATCH(LARGE($C$262:$V$262,20),$C$262:$V$262,0))</f>
        <v/>
      </c>
    </row>
    <row r="311" spans="3:22" x14ac:dyDescent="0.3">
      <c r="C311" t="str">
        <f>IF(LARGE($C$263:$V$263,1)&lt;0,"",MATCH(LARGE($C$263:$V$263,1),$C$263:$V$263,0))</f>
        <v/>
      </c>
      <c r="D311" t="str">
        <f>IF(LARGE($C$263:$V$263,2)&lt;0,"",MATCH(LARGE($C$263:$V$263,2),$C$263:$V$263,0))</f>
        <v/>
      </c>
      <c r="E311" t="str">
        <f>IF(LARGE($C$263:$V$263,3)&lt;0,"",MATCH(LARGE($C$263:$V$263,3),$C$263:$V$263,0))</f>
        <v/>
      </c>
      <c r="F311" t="str">
        <f>IF(LARGE($C$263:$V$263,4)&lt;0,"",MATCH(LARGE($C$263:$V$263,4),$C$263:$V$263,0))</f>
        <v/>
      </c>
      <c r="G311" t="str">
        <f>IF(LARGE($C$263:$V$263,5)&lt;0,"",MATCH(LARGE($C$263:$V$263,5),$C$263:$V$263,0))</f>
        <v/>
      </c>
      <c r="H311" t="str">
        <f>IF(LARGE($C$263:$V$263,6)&lt;0,"",MATCH(LARGE($C$263:$V$263,6),$C$263:$V$263,0))</f>
        <v/>
      </c>
      <c r="I311" t="str">
        <f>IF(LARGE($C$263:$V$263,7)&lt;0,"",MATCH(LARGE($C$263:$V$263,7),$C$263:$V$263,0))</f>
        <v/>
      </c>
      <c r="J311" t="str">
        <f>IF(LARGE($C$263:$V$263,8)&lt;0,"",MATCH(LARGE($C$263:$V$263,8),$C$263:$V$263,0))</f>
        <v/>
      </c>
      <c r="K311" t="str">
        <f>IF(LARGE($C$263:$V$263,9)&lt;0,"",MATCH(LARGE($C$263:$V$263,9),$C$263:$V$263,0))</f>
        <v/>
      </c>
      <c r="L311" t="str">
        <f>IF(LARGE($C$263:$V$263,10)&lt;0,"",MATCH(LARGE($C$263:$V$263,10),$C$263:$V$263,0))</f>
        <v/>
      </c>
      <c r="M311" t="str">
        <f>IF(LARGE($C$263:$V$263,11)&lt;0,"",MATCH(LARGE($C$263:$V$263,11),$C$263:$V$263,0))</f>
        <v/>
      </c>
      <c r="N311" t="str">
        <f>IF(LARGE($C$263:$V$263,12)&lt;0,"",MATCH(LARGE($C$263:$V$263,12),$C$263:$V$263,0))</f>
        <v/>
      </c>
      <c r="O311" t="str">
        <f>IF(LARGE($C$263:$V$263,13)&lt;0,"",MATCH(LARGE($C$263:$V$263,13),$C$263:$V$263,0))</f>
        <v/>
      </c>
      <c r="P311" t="str">
        <f>IF(LARGE($C$263:$V$263,14)&lt;0,"",MATCH(LARGE($C$263:$V$263,14),$C$263:$V$263,0))</f>
        <v/>
      </c>
      <c r="Q311" t="str">
        <f>IF(LARGE($C$263:$V$263,15)&lt;0,"",MATCH(LARGE($C$263:$V$263,15),$C$263:$V$263,0))</f>
        <v/>
      </c>
      <c r="R311" t="str">
        <f>IF(LARGE($C$263:$V$263,16)&lt;0,"",MATCH(LARGE($C$263:$V$263,16),$C$263:$V$263,0))</f>
        <v/>
      </c>
      <c r="S311" t="str">
        <f>IF(LARGE($C$263:$V$263,17)&lt;0,"",MATCH(LARGE($C$263:$V$263,17),$C$263:$V$263,0))</f>
        <v/>
      </c>
      <c r="T311" t="str">
        <f>IF(LARGE($C$263:$V$263,18)&lt;0,"",MATCH(LARGE($C$263:$V$263,18),$C$263:$V$263,0))</f>
        <v/>
      </c>
      <c r="U311" t="str">
        <f>IF(LARGE($C$263:$V$263,19)&lt;0,"",MATCH(LARGE($C$263:$V$263,19),$C$263:$V$263,0))</f>
        <v/>
      </c>
      <c r="V311" t="str">
        <f>IF(LARGE($C$263:$V$263,20)&lt;0,"",MATCH(LARGE($C$263:$V$263,20),$C$263:$V$263,0))</f>
        <v/>
      </c>
    </row>
    <row r="312" spans="3:22" x14ac:dyDescent="0.3">
      <c r="C312" t="str">
        <f>IF(LARGE($C$264:$V$264,1)&lt;0,"",MATCH(LARGE($C$264:$V$264,1),$C$264:$V$264,0))</f>
        <v/>
      </c>
      <c r="D312" t="str">
        <f>IF(LARGE($C$264:$V$264,2)&lt;0,"",MATCH(LARGE($C$264:$V$264,2),$C$264:$V$264,0))</f>
        <v/>
      </c>
      <c r="E312" t="str">
        <f>IF(LARGE($C$264:$V$264,3)&lt;0,"",MATCH(LARGE($C$264:$V$264,3),$C$264:$V$264,0))</f>
        <v/>
      </c>
      <c r="F312" t="str">
        <f>IF(LARGE($C$264:$V$264,4)&lt;0,"",MATCH(LARGE($C$264:$V$264,4),$C$264:$V$264,0))</f>
        <v/>
      </c>
      <c r="G312" t="str">
        <f>IF(LARGE($C$264:$V$264,5)&lt;0,"",MATCH(LARGE($C$264:$V$264,5),$C$264:$V$264,0))</f>
        <v/>
      </c>
      <c r="H312" t="str">
        <f>IF(LARGE($C$264:$V$264,6)&lt;0,"",MATCH(LARGE($C$264:$V$264,6),$C$264:$V$264,0))</f>
        <v/>
      </c>
      <c r="I312" t="str">
        <f>IF(LARGE($C$264:$V$264,7)&lt;0,"",MATCH(LARGE($C$264:$V$264,7),$C$264:$V$264,0))</f>
        <v/>
      </c>
      <c r="J312" t="str">
        <f>IF(LARGE($C$264:$V$264,8)&lt;0,"",MATCH(LARGE($C$264:$V$264,8),$C$264:$V$264,0))</f>
        <v/>
      </c>
      <c r="K312" t="str">
        <f>IF(LARGE($C$264:$V$264,9)&lt;0,"",MATCH(LARGE($C$264:$V$264,9),$C$264:$V$264,0))</f>
        <v/>
      </c>
      <c r="L312" t="str">
        <f>IF(LARGE($C$264:$V$264,10)&lt;0,"",MATCH(LARGE($C$264:$V$264,10),$C$264:$V$264,0))</f>
        <v/>
      </c>
      <c r="M312" t="str">
        <f>IF(LARGE($C$264:$V$264,11)&lt;0,"",MATCH(LARGE($C$264:$V$264,11),$C$264:$V$264,0))</f>
        <v/>
      </c>
      <c r="N312" t="str">
        <f>IF(LARGE($C$264:$V$264,12)&lt;0,"",MATCH(LARGE($C$264:$V$264,12),$C$264:$V$264,0))</f>
        <v/>
      </c>
      <c r="O312" t="str">
        <f>IF(LARGE($C$264:$V$264,13)&lt;0,"",MATCH(LARGE($C$264:$V$264,13),$C$264:$V$264,0))</f>
        <v/>
      </c>
      <c r="P312" t="str">
        <f>IF(LARGE($C$264:$V$264,14)&lt;0,"",MATCH(LARGE($C$264:$V$264,14),$C$264:$V$264,0))</f>
        <v/>
      </c>
      <c r="Q312" t="str">
        <f>IF(LARGE($C$264:$V$264,15)&lt;0,"",MATCH(LARGE($C$264:$V$264,15),$C$264:$V$264,0))</f>
        <v/>
      </c>
      <c r="R312" t="str">
        <f>IF(LARGE($C$264:$V$264,16)&lt;0,"",MATCH(LARGE($C$264:$V$264,16),$C$264:$V$264,0))</f>
        <v/>
      </c>
      <c r="S312" t="str">
        <f>IF(LARGE($C$264:$V$264,17)&lt;0,"",MATCH(LARGE($C$264:$V$264,17),$C$264:$V$264,0))</f>
        <v/>
      </c>
      <c r="T312" t="str">
        <f>IF(LARGE($C$264:$V$264,18)&lt;0,"",MATCH(LARGE($C$264:$V$264,18),$C$264:$V$264,0))</f>
        <v/>
      </c>
      <c r="U312" t="str">
        <f>IF(LARGE($C$264:$V$264,19)&lt;0,"",MATCH(LARGE($C$264:$V$264,19),$C$264:$V$264,0))</f>
        <v/>
      </c>
      <c r="V312" t="str">
        <f>IF(LARGE($C$264:$V$264,20)&lt;0,"",MATCH(LARGE($C$264:$V$264,20),$C$264:$V$264,0))</f>
        <v/>
      </c>
    </row>
    <row r="313" spans="3:22" x14ac:dyDescent="0.3">
      <c r="C313" t="str">
        <f>IF(LARGE($C$265:$V$265,1)&lt;0,"",MATCH(LARGE($C$265:$V$265,1),$C$265:$V$265,0))</f>
        <v/>
      </c>
      <c r="D313" t="str">
        <f>IF(LARGE($C$265:$V$265,2)&lt;0,"",MATCH(LARGE($C$265:$V$265,2),$C$265:$V$265,0))</f>
        <v/>
      </c>
      <c r="E313" t="str">
        <f>IF(LARGE($C$265:$V$265,3)&lt;0,"",MATCH(LARGE($C$265:$V$265,3),$C$265:$V$265,0))</f>
        <v/>
      </c>
      <c r="F313" t="str">
        <f>IF(LARGE($C$265:$V$265,4)&lt;0,"",MATCH(LARGE($C$265:$V$265,4),$C$265:$V$265,0))</f>
        <v/>
      </c>
      <c r="G313" t="str">
        <f>IF(LARGE($C$265:$V$265,5)&lt;0,"",MATCH(LARGE($C$265:$V$265,5),$C$265:$V$265,0))</f>
        <v/>
      </c>
      <c r="H313" t="str">
        <f>IF(LARGE($C$265:$V$265,6)&lt;0,"",MATCH(LARGE($C$265:$V$265,6),$C$265:$V$265,0))</f>
        <v/>
      </c>
      <c r="I313" t="str">
        <f>IF(LARGE($C$265:$V$265,7)&lt;0,"",MATCH(LARGE($C$265:$V$265,7),$C$265:$V$265,0))</f>
        <v/>
      </c>
      <c r="J313" t="str">
        <f>IF(LARGE($C$265:$V$265,8)&lt;0,"",MATCH(LARGE($C$265:$V$265,8),$C$265:$V$265,0))</f>
        <v/>
      </c>
      <c r="K313" t="str">
        <f>IF(LARGE($C$265:$V$265,9)&lt;0,"",MATCH(LARGE($C$265:$V$265,9),$C$265:$V$265,0))</f>
        <v/>
      </c>
      <c r="L313" t="str">
        <f>IF(LARGE($C$265:$V$265,10)&lt;0,"",MATCH(LARGE($C$265:$V$265,10),$C$265:$V$265,0))</f>
        <v/>
      </c>
      <c r="M313" t="str">
        <f>IF(LARGE($C$265:$V$265,11)&lt;0,"",MATCH(LARGE($C$265:$V$265,11),$C$265:$V$265,0))</f>
        <v/>
      </c>
      <c r="N313" t="str">
        <f>IF(LARGE($C$265:$V$265,12)&lt;0,"",MATCH(LARGE($C$265:$V$265,12),$C$265:$V$265,0))</f>
        <v/>
      </c>
      <c r="O313" t="str">
        <f>IF(LARGE($C$265:$V$265,13)&lt;0,"",MATCH(LARGE($C$265:$V$265,13),$C$265:$V$265,0))</f>
        <v/>
      </c>
      <c r="P313" t="str">
        <f>IF(LARGE($C$265:$V$265,14)&lt;0,"",MATCH(LARGE($C$265:$V$265,14),$C$265:$V$265,0))</f>
        <v/>
      </c>
      <c r="Q313" t="str">
        <f>IF(LARGE($C$265:$V$265,15)&lt;0,"",MATCH(LARGE($C$265:$V$265,15),$C$265:$V$265,0))</f>
        <v/>
      </c>
      <c r="R313" t="str">
        <f>IF(LARGE($C$265:$V$265,16)&lt;0,"",MATCH(LARGE($C$265:$V$265,16),$C$265:$V$265,0))</f>
        <v/>
      </c>
      <c r="S313" t="str">
        <f>IF(LARGE($C$265:$V$265,17)&lt;0,"",MATCH(LARGE($C$265:$V$265,17),$C$265:$V$265,0))</f>
        <v/>
      </c>
      <c r="T313" t="str">
        <f>IF(LARGE($C$265:$V$265,18)&lt;0,"",MATCH(LARGE($C$265:$V$265,18),$C$265:$V$265,0))</f>
        <v/>
      </c>
      <c r="U313" t="str">
        <f>IF(LARGE($C$265:$V$265,19)&lt;0,"",MATCH(LARGE($C$265:$V$265,19),$C$265:$V$265,0))</f>
        <v/>
      </c>
      <c r="V313" t="str">
        <f>IF(LARGE($C$265:$V$265,20)&lt;0,"",MATCH(LARGE($C$265:$V$265,20),$C$265:$V$265,0))</f>
        <v/>
      </c>
    </row>
    <row r="314" spans="3:22" x14ac:dyDescent="0.3">
      <c r="C314" t="str">
        <f>IF(LARGE($C$266:$V$266,1)&lt;0,"",MATCH(LARGE($C$266:$V$266,1),$C$266:$V$266,0))</f>
        <v/>
      </c>
      <c r="D314" t="str">
        <f>IF(LARGE($C$266:$V$266,2)&lt;0,"",MATCH(LARGE($C$266:$V$266,2),$C$266:$V$266,0))</f>
        <v/>
      </c>
      <c r="E314" t="str">
        <f>IF(LARGE($C$266:$V$266,3)&lt;0,"",MATCH(LARGE($C$266:$V$266,3),$C$266:$V$266,0))</f>
        <v/>
      </c>
      <c r="F314" t="str">
        <f>IF(LARGE($C$266:$V$266,4)&lt;0,"",MATCH(LARGE($C$266:$V$266,4),$C$266:$V$266,0))</f>
        <v/>
      </c>
      <c r="G314" t="str">
        <f>IF(LARGE($C$266:$V$266,5)&lt;0,"",MATCH(LARGE($C$266:$V$266,5),$C$266:$V$266,0))</f>
        <v/>
      </c>
      <c r="H314" t="str">
        <f>IF(LARGE($C$266:$V$266,6)&lt;0,"",MATCH(LARGE($C$266:$V$266,6),$C$266:$V$266,0))</f>
        <v/>
      </c>
      <c r="I314" t="str">
        <f>IF(LARGE($C$266:$V$266,7)&lt;0,"",MATCH(LARGE($C$266:$V$266,7),$C$266:$V$266,0))</f>
        <v/>
      </c>
      <c r="J314" t="str">
        <f>IF(LARGE($C$266:$V$266,8)&lt;0,"",MATCH(LARGE($C$266:$V$266,8),$C$266:$V$266,0))</f>
        <v/>
      </c>
      <c r="K314" t="str">
        <f>IF(LARGE($C$266:$V$266,9)&lt;0,"",MATCH(LARGE($C$266:$V$266,9),$C$266:$V$266,0))</f>
        <v/>
      </c>
      <c r="L314" t="str">
        <f>IF(LARGE($C$266:$V$266,10)&lt;0,"",MATCH(LARGE($C$266:$V$266,10),$C$266:$V$266,0))</f>
        <v/>
      </c>
      <c r="M314" t="str">
        <f>IF(LARGE($C$266:$V$266,11)&lt;0,"",MATCH(LARGE($C$266:$V$266,11),$C$266:$V$266,0))</f>
        <v/>
      </c>
      <c r="N314" t="str">
        <f>IF(LARGE($C$266:$V$266,12)&lt;0,"",MATCH(LARGE($C$266:$V$266,12),$C$266:$V$266,0))</f>
        <v/>
      </c>
      <c r="O314" t="str">
        <f>IF(LARGE($C$266:$V$266,13)&lt;0,"",MATCH(LARGE($C$266:$V$266,13),$C$266:$V$266,0))</f>
        <v/>
      </c>
      <c r="P314" t="str">
        <f>IF(LARGE($C$266:$V$266,14)&lt;0,"",MATCH(LARGE($C$266:$V$266,14),$C$266:$V$266,0))</f>
        <v/>
      </c>
      <c r="Q314" t="str">
        <f>IF(LARGE($C$266:$V$266,15)&lt;0,"",MATCH(LARGE($C$266:$V$266,15),$C$266:$V$266,0))</f>
        <v/>
      </c>
      <c r="R314" t="str">
        <f>IF(LARGE($C$266:$V$266,16)&lt;0,"",MATCH(LARGE($C$266:$V$266,16),$C$266:$V$266,0))</f>
        <v/>
      </c>
      <c r="S314" t="str">
        <f>IF(LARGE($C$266:$V$266,17)&lt;0,"",MATCH(LARGE($C$266:$V$266,17),$C$266:$V$266,0))</f>
        <v/>
      </c>
      <c r="T314" t="str">
        <f>IF(LARGE($C$266:$V$266,18)&lt;0,"",MATCH(LARGE($C$266:$V$266,18),$C$266:$V$266,0))</f>
        <v/>
      </c>
      <c r="U314" t="str">
        <f>IF(LARGE($C$266:$V$266,19)&lt;0,"",MATCH(LARGE($C$266:$V$266,19),$C$266:$V$266,0))</f>
        <v/>
      </c>
      <c r="V314" t="str">
        <f>IF(LARGE($C$266:$V$266,20)&lt;0,"",MATCH(LARGE($C$266:$V$266,20),$C$266:$V$266,0))</f>
        <v/>
      </c>
    </row>
    <row r="315" spans="3:22" x14ac:dyDescent="0.3">
      <c r="C315" t="str">
        <f>IF(LARGE($C$267:$V$267,1)&lt;0,"",MATCH(LARGE($C$267:$V$267,1),$C$267:$V$267,0))</f>
        <v/>
      </c>
      <c r="D315" t="str">
        <f>IF(LARGE($C$267:$V$267,2)&lt;0,"",MATCH(LARGE($C$267:$V$267,2),$C$267:$V$267,0))</f>
        <v/>
      </c>
      <c r="E315" t="str">
        <f>IF(LARGE($C$267:$V$267,3)&lt;0,"",MATCH(LARGE($C$267:$V$267,3),$C$267:$V$267,0))</f>
        <v/>
      </c>
      <c r="F315" t="str">
        <f>IF(LARGE($C$267:$V$267,4)&lt;0,"",MATCH(LARGE($C$267:$V$267,4),$C$267:$V$267,0))</f>
        <v/>
      </c>
      <c r="G315" t="str">
        <f>IF(LARGE($C$267:$V$267,5)&lt;0,"",MATCH(LARGE($C$267:$V$267,5),$C$267:$V$267,0))</f>
        <v/>
      </c>
      <c r="H315" t="str">
        <f>IF(LARGE($C$267:$V$267,6)&lt;0,"",MATCH(LARGE($C$267:$V$267,6),$C$267:$V$267,0))</f>
        <v/>
      </c>
      <c r="I315" t="str">
        <f>IF(LARGE($C$267:$V$267,7)&lt;0,"",MATCH(LARGE($C$267:$V$267,7),$C$267:$V$267,0))</f>
        <v/>
      </c>
      <c r="J315" t="str">
        <f>IF(LARGE($C$267:$V$267,8)&lt;0,"",MATCH(LARGE($C$267:$V$267,8),$C$267:$V$267,0))</f>
        <v/>
      </c>
      <c r="K315" t="str">
        <f>IF(LARGE($C$267:$V$267,9)&lt;0,"",MATCH(LARGE($C$267:$V$267,9),$C$267:$V$267,0))</f>
        <v/>
      </c>
      <c r="L315" t="str">
        <f>IF(LARGE($C$267:$V$267,10)&lt;0,"",MATCH(LARGE($C$267:$V$267,10),$C$267:$V$267,0))</f>
        <v/>
      </c>
      <c r="M315" t="str">
        <f>IF(LARGE($C$267:$V$267,11)&lt;0,"",MATCH(LARGE($C$267:$V$267,11),$C$267:$V$267,0))</f>
        <v/>
      </c>
      <c r="N315" t="str">
        <f>IF(LARGE($C$267:$V$267,12)&lt;0,"",MATCH(LARGE($C$267:$V$267,12),$C$267:$V$267,0))</f>
        <v/>
      </c>
      <c r="O315" t="str">
        <f>IF(LARGE($C$267:$V$267,13)&lt;0,"",MATCH(LARGE($C$267:$V$267,13),$C$267:$V$267,0))</f>
        <v/>
      </c>
      <c r="P315" t="str">
        <f>IF(LARGE($C$267:$V$267,14)&lt;0,"",MATCH(LARGE($C$267:$V$267,14),$C$267:$V$267,0))</f>
        <v/>
      </c>
      <c r="Q315" t="str">
        <f>IF(LARGE($C$267:$V$267,15)&lt;0,"",MATCH(LARGE($C$267:$V$267,15),$C$267:$V$267,0))</f>
        <v/>
      </c>
      <c r="R315" t="str">
        <f>IF(LARGE($C$267:$V$267,16)&lt;0,"",MATCH(LARGE($C$267:$V$267,16),$C$267:$V$267,0))</f>
        <v/>
      </c>
      <c r="S315" t="str">
        <f>IF(LARGE($C$267:$V$267,17)&lt;0,"",MATCH(LARGE($C$267:$V$267,17),$C$267:$V$267,0))</f>
        <v/>
      </c>
      <c r="T315" t="str">
        <f>IF(LARGE($C$267:$V$267,18)&lt;0,"",MATCH(LARGE($C$267:$V$267,18),$C$267:$V$267,0))</f>
        <v/>
      </c>
      <c r="U315" t="str">
        <f>IF(LARGE($C$267:$V$267,19)&lt;0,"",MATCH(LARGE($C$267:$V$267,19),$C$267:$V$267,0))</f>
        <v/>
      </c>
      <c r="V315" t="str">
        <f>IF(LARGE($C$267:$V$267,20)&lt;0,"",MATCH(LARGE($C$267:$V$267,20),$C$267:$V$267,0))</f>
        <v/>
      </c>
    </row>
    <row r="316" spans="3:22" x14ac:dyDescent="0.3">
      <c r="C316" t="str">
        <f>IF(LARGE($C$268:$V$268,1)&lt;0,"",MATCH(LARGE($C$268:$V$268,1),$C$268:$V$268,0))</f>
        <v/>
      </c>
      <c r="D316" t="str">
        <f>IF(LARGE($C$268:$V$268,2)&lt;0,"",MATCH(LARGE($C$268:$V$268,2),$C$268:$V$268,0))</f>
        <v/>
      </c>
      <c r="E316" t="str">
        <f>IF(LARGE($C$268:$V$268,3)&lt;0,"",MATCH(LARGE($C$268:$V$268,3),$C$268:$V$268,0))</f>
        <v/>
      </c>
      <c r="F316" t="str">
        <f>IF(LARGE($C$268:$V$268,4)&lt;0,"",MATCH(LARGE($C$268:$V$268,4),$C$268:$V$268,0))</f>
        <v/>
      </c>
      <c r="G316" t="str">
        <f>IF(LARGE($C$268:$V$268,5)&lt;0,"",MATCH(LARGE($C$268:$V$268,5),$C$268:$V$268,0))</f>
        <v/>
      </c>
      <c r="H316" t="str">
        <f>IF(LARGE($C$268:$V$268,6)&lt;0,"",MATCH(LARGE($C$268:$V$268,6),$C$268:$V$268,0))</f>
        <v/>
      </c>
      <c r="I316" t="str">
        <f>IF(LARGE($C$268:$V$268,7)&lt;0,"",MATCH(LARGE($C$268:$V$268,7),$C$268:$V$268,0))</f>
        <v/>
      </c>
      <c r="J316" t="str">
        <f>IF(LARGE($C$268:$V$268,8)&lt;0,"",MATCH(LARGE($C$268:$V$268,8),$C$268:$V$268,0))</f>
        <v/>
      </c>
      <c r="K316" t="str">
        <f>IF(LARGE($C$268:$V$268,9)&lt;0,"",MATCH(LARGE($C$268:$V$268,9),$C$268:$V$268,0))</f>
        <v/>
      </c>
      <c r="L316" t="str">
        <f>IF(LARGE($C$268:$V$268,10)&lt;0,"",MATCH(LARGE($C$268:$V$268,10),$C$268:$V$268,0))</f>
        <v/>
      </c>
      <c r="M316" t="str">
        <f>IF(LARGE($C$268:$V$268,11)&lt;0,"",MATCH(LARGE($C$268:$V$268,11),$C$268:$V$268,0))</f>
        <v/>
      </c>
      <c r="N316" t="str">
        <f>IF(LARGE($C$268:$V$268,12)&lt;0,"",MATCH(LARGE($C$268:$V$268,12),$C$268:$V$268,0))</f>
        <v/>
      </c>
      <c r="O316" t="str">
        <f>IF(LARGE($C$268:$V$268,13)&lt;0,"",MATCH(LARGE($C$268:$V$268,13),$C$268:$V$268,0))</f>
        <v/>
      </c>
      <c r="P316" t="str">
        <f>IF(LARGE($C$268:$V$268,14)&lt;0,"",MATCH(LARGE($C$268:$V$268,14),$C$268:$V$268,0))</f>
        <v/>
      </c>
      <c r="Q316" t="str">
        <f>IF(LARGE($C$268:$V$268,15)&lt;0,"",MATCH(LARGE($C$268:$V$268,15),$C$268:$V$268,0))</f>
        <v/>
      </c>
      <c r="R316" t="str">
        <f>IF(LARGE($C$268:$V$268,16)&lt;0,"",MATCH(LARGE($C$268:$V$268,16),$C$268:$V$268,0))</f>
        <v/>
      </c>
      <c r="S316" t="str">
        <f>IF(LARGE($C$268:$V$268,17)&lt;0,"",MATCH(LARGE($C$268:$V$268,17),$C$268:$V$268,0))</f>
        <v/>
      </c>
      <c r="T316" t="str">
        <f>IF(LARGE($C$268:$V$268,18)&lt;0,"",MATCH(LARGE($C$268:$V$268,18),$C$268:$V$268,0))</f>
        <v/>
      </c>
      <c r="U316" t="str">
        <f>IF(LARGE($C$268:$V$268,19)&lt;0,"",MATCH(LARGE($C$268:$V$268,19),$C$268:$V$268,0))</f>
        <v/>
      </c>
      <c r="V316" t="str">
        <f>IF(LARGE($C$268:$V$268,20)&lt;0,"",MATCH(LARGE($C$268:$V$268,20),$C$268:$V$268,0))</f>
        <v/>
      </c>
    </row>
    <row r="317" spans="3:22" x14ac:dyDescent="0.3">
      <c r="C317" t="str">
        <f>IF(LARGE($C$269:$V$269,1)&lt;0,"",MATCH(LARGE($C$269:$V$269,1),$C$269:$V$269,0))</f>
        <v/>
      </c>
      <c r="D317" t="str">
        <f>IF(LARGE($C$269:$V$269,2)&lt;0,"",MATCH(LARGE($C$269:$V$269,2),$C$269:$V$269,0))</f>
        <v/>
      </c>
      <c r="E317" t="str">
        <f>IF(LARGE($C$269:$V$269,3)&lt;0,"",MATCH(LARGE($C$269:$V$269,3),$C$269:$V$269,0))</f>
        <v/>
      </c>
      <c r="F317" t="str">
        <f>IF(LARGE($C$269:$V$269,4)&lt;0,"",MATCH(LARGE($C$269:$V$269,4),$C$269:$V$269,0))</f>
        <v/>
      </c>
      <c r="G317" t="str">
        <f>IF(LARGE($C$269:$V$269,5)&lt;0,"",MATCH(LARGE($C$269:$V$269,5),$C$269:$V$269,0))</f>
        <v/>
      </c>
      <c r="H317" t="str">
        <f>IF(LARGE($C$269:$V$269,6)&lt;0,"",MATCH(LARGE($C$269:$V$269,6),$C$269:$V$269,0))</f>
        <v/>
      </c>
      <c r="I317" t="str">
        <f>IF(LARGE($C$269:$V$269,7)&lt;0,"",MATCH(LARGE($C$269:$V$269,7),$C$269:$V$269,0))</f>
        <v/>
      </c>
      <c r="J317" t="str">
        <f>IF(LARGE($C$269:$V$269,8)&lt;0,"",MATCH(LARGE($C$269:$V$269,8),$C$269:$V$269,0))</f>
        <v/>
      </c>
      <c r="K317" t="str">
        <f>IF(LARGE($C$269:$V$269,9)&lt;0,"",MATCH(LARGE($C$269:$V$269,9),$C$269:$V$269,0))</f>
        <v/>
      </c>
      <c r="L317" t="str">
        <f>IF(LARGE($C$269:$V$269,10)&lt;0,"",MATCH(LARGE($C$269:$V$269,10),$C$269:$V$269,0))</f>
        <v/>
      </c>
      <c r="M317" t="str">
        <f>IF(LARGE($C$269:$V$269,11)&lt;0,"",MATCH(LARGE($C$269:$V$269,11),$C$269:$V$269,0))</f>
        <v/>
      </c>
      <c r="N317" t="str">
        <f>IF(LARGE($C$269:$V$269,12)&lt;0,"",MATCH(LARGE($C$269:$V$269,12),$C$269:$V$269,0))</f>
        <v/>
      </c>
      <c r="O317" t="str">
        <f>IF(LARGE($C$269:$V$269,13)&lt;0,"",MATCH(LARGE($C$269:$V$269,13),$C$269:$V$269,0))</f>
        <v/>
      </c>
      <c r="P317" t="str">
        <f>IF(LARGE($C$269:$V$269,14)&lt;0,"",MATCH(LARGE($C$269:$V$269,14),$C$269:$V$269,0))</f>
        <v/>
      </c>
      <c r="Q317" t="str">
        <f>IF(LARGE($C$269:$V$269,15)&lt;0,"",MATCH(LARGE($C$269:$V$269,15),$C$269:$V$269,0))</f>
        <v/>
      </c>
      <c r="R317" t="str">
        <f>IF(LARGE($C$269:$V$269,16)&lt;0,"",MATCH(LARGE($C$269:$V$269,16),$C$269:$V$269,0))</f>
        <v/>
      </c>
      <c r="S317" t="str">
        <f>IF(LARGE($C$269:$V$269,17)&lt;0,"",MATCH(LARGE($C$269:$V$269,17),$C$269:$V$269,0))</f>
        <v/>
      </c>
      <c r="T317" t="str">
        <f>IF(LARGE($C$269:$V$269,18)&lt;0,"",MATCH(LARGE($C$269:$V$269,18),$C$269:$V$269,0))</f>
        <v/>
      </c>
      <c r="U317" t="str">
        <f>IF(LARGE($C$269:$V$269,19)&lt;0,"",MATCH(LARGE($C$269:$V$269,19),$C$269:$V$269,0))</f>
        <v/>
      </c>
      <c r="V317" t="str">
        <f>IF(LARGE($C$269:$V$269,20)&lt;0,"",MATCH(LARGE($C$269:$V$269,20),$C$269:$V$269,0))</f>
        <v/>
      </c>
    </row>
    <row r="318" spans="3:22" x14ac:dyDescent="0.3">
      <c r="C318" t="str">
        <f>IF(LARGE($C$270:$V$270,1)&lt;0,"",MATCH(LARGE($C$270:$V$270,1),$C$270:$V$270,0))</f>
        <v/>
      </c>
      <c r="D318" t="str">
        <f>IF(LARGE($C$270:$V$270,2)&lt;0,"",MATCH(LARGE($C$270:$V$270,2),$C$270:$V$270,0))</f>
        <v/>
      </c>
      <c r="E318" t="str">
        <f>IF(LARGE($C$270:$V$270,3)&lt;0,"",MATCH(LARGE($C$270:$V$270,3),$C$270:$V$270,0))</f>
        <v/>
      </c>
      <c r="F318" t="str">
        <f>IF(LARGE($C$270:$V$270,4)&lt;0,"",MATCH(LARGE($C$270:$V$270,4),$C$270:$V$270,0))</f>
        <v/>
      </c>
      <c r="G318" t="str">
        <f>IF(LARGE($C$270:$V$270,5)&lt;0,"",MATCH(LARGE($C$270:$V$270,5),$C$270:$V$270,0))</f>
        <v/>
      </c>
      <c r="H318" t="str">
        <f>IF(LARGE($C$270:$V$270,6)&lt;0,"",MATCH(LARGE($C$270:$V$270,6),$C$270:$V$270,0))</f>
        <v/>
      </c>
      <c r="I318" t="str">
        <f>IF(LARGE($C$270:$V$270,7)&lt;0,"",MATCH(LARGE($C$270:$V$270,7),$C$270:$V$270,0))</f>
        <v/>
      </c>
      <c r="J318" t="str">
        <f>IF(LARGE($C$270:$V$270,8)&lt;0,"",MATCH(LARGE($C$270:$V$270,8),$C$270:$V$270,0))</f>
        <v/>
      </c>
      <c r="K318" t="str">
        <f>IF(LARGE($C$270:$V$270,9)&lt;0,"",MATCH(LARGE($C$270:$V$270,9),$C$270:$V$270,0))</f>
        <v/>
      </c>
      <c r="L318" t="str">
        <f>IF(LARGE($C$270:$V$270,10)&lt;0,"",MATCH(LARGE($C$270:$V$270,10),$C$270:$V$270,0))</f>
        <v/>
      </c>
      <c r="M318" t="str">
        <f>IF(LARGE($C$270:$V$270,11)&lt;0,"",MATCH(LARGE($C$270:$V$270,11),$C$270:$V$270,0))</f>
        <v/>
      </c>
      <c r="N318" t="str">
        <f>IF(LARGE($C$270:$V$270,12)&lt;0,"",MATCH(LARGE($C$270:$V$270,12),$C$270:$V$270,0))</f>
        <v/>
      </c>
      <c r="O318" t="str">
        <f>IF(LARGE($C$270:$V$270,13)&lt;0,"",MATCH(LARGE($C$270:$V$270,13),$C$270:$V$270,0))</f>
        <v/>
      </c>
      <c r="P318" t="str">
        <f>IF(LARGE($C$270:$V$270,14)&lt;0,"",MATCH(LARGE($C$270:$V$270,14),$C$270:$V$270,0))</f>
        <v/>
      </c>
      <c r="Q318" t="str">
        <f>IF(LARGE($C$270:$V$270,15)&lt;0,"",MATCH(LARGE($C$270:$V$270,15),$C$270:$V$270,0))</f>
        <v/>
      </c>
      <c r="R318" t="str">
        <f>IF(LARGE($C$270:$V$270,16)&lt;0,"",MATCH(LARGE($C$270:$V$270,16),$C$270:$V$270,0))</f>
        <v/>
      </c>
      <c r="S318" t="str">
        <f>IF(LARGE($C$270:$V$270,17)&lt;0,"",MATCH(LARGE($C$270:$V$270,17),$C$270:$V$270,0))</f>
        <v/>
      </c>
      <c r="T318" t="str">
        <f>IF(LARGE($C$270:$V$270,18)&lt;0,"",MATCH(LARGE($C$270:$V$270,18),$C$270:$V$270,0))</f>
        <v/>
      </c>
      <c r="U318" t="str">
        <f>IF(LARGE($C$270:$V$270,19)&lt;0,"",MATCH(LARGE($C$270:$V$270,19),$C$270:$V$270,0))</f>
        <v/>
      </c>
      <c r="V318" t="str">
        <f>IF(LARGE($C$270:$V$270,20)&lt;0,"",MATCH(LARGE($C$270:$V$270,20),$C$270:$V$270,0))</f>
        <v/>
      </c>
    </row>
    <row r="319" spans="3:22" x14ac:dyDescent="0.3">
      <c r="C319" t="str">
        <f>IF(LARGE($C$271:$V$271,1)&lt;0,"",MATCH(LARGE($C$271:$V$271,1),$C$271:$V$271,0))</f>
        <v/>
      </c>
      <c r="D319" t="str">
        <f>IF(LARGE($C$271:$V$271,2)&lt;0,"",MATCH(LARGE($C$271:$V$271,2),$C$271:$V$271,0))</f>
        <v/>
      </c>
      <c r="E319" t="str">
        <f>IF(LARGE($C$271:$V$271,3)&lt;0,"",MATCH(LARGE($C$271:$V$271,3),$C$271:$V$271,0))</f>
        <v/>
      </c>
      <c r="F319" t="str">
        <f>IF(LARGE($C$271:$V$271,4)&lt;0,"",MATCH(LARGE($C$271:$V$271,4),$C$271:$V$271,0))</f>
        <v/>
      </c>
      <c r="G319" t="str">
        <f>IF(LARGE($C$271:$V$271,5)&lt;0,"",MATCH(LARGE($C$271:$V$271,5),$C$271:$V$271,0))</f>
        <v/>
      </c>
      <c r="H319" t="str">
        <f>IF(LARGE($C$271:$V$271,6)&lt;0,"",MATCH(LARGE($C$271:$V$271,6),$C$271:$V$271,0))</f>
        <v/>
      </c>
      <c r="I319" t="str">
        <f>IF(LARGE($C$271:$V$271,7)&lt;0,"",MATCH(LARGE($C$271:$V$271,7),$C$271:$V$271,0))</f>
        <v/>
      </c>
      <c r="J319" t="str">
        <f>IF(LARGE($C$271:$V$271,8)&lt;0,"",MATCH(LARGE($C$271:$V$271,8),$C$271:$V$271,0))</f>
        <v/>
      </c>
      <c r="K319" t="str">
        <f>IF(LARGE($C$271:$V$271,9)&lt;0,"",MATCH(LARGE($C$271:$V$271,9),$C$271:$V$271,0))</f>
        <v/>
      </c>
      <c r="L319" t="str">
        <f>IF(LARGE($C$271:$V$271,10)&lt;0,"",MATCH(LARGE($C$271:$V$271,10),$C$271:$V$271,0))</f>
        <v/>
      </c>
      <c r="M319" t="str">
        <f>IF(LARGE($C$271:$V$271,11)&lt;0,"",MATCH(LARGE($C$271:$V$271,11),$C$271:$V$271,0))</f>
        <v/>
      </c>
      <c r="N319" t="str">
        <f>IF(LARGE($C$271:$V$271,12)&lt;0,"",MATCH(LARGE($C$271:$V$271,12),$C$271:$V$271,0))</f>
        <v/>
      </c>
      <c r="O319" t="str">
        <f>IF(LARGE($C$271:$V$271,13)&lt;0,"",MATCH(LARGE($C$271:$V$271,13),$C$271:$V$271,0))</f>
        <v/>
      </c>
      <c r="P319" t="str">
        <f>IF(LARGE($C$271:$V$271,14)&lt;0,"",MATCH(LARGE($C$271:$V$271,14),$C$271:$V$271,0))</f>
        <v/>
      </c>
      <c r="Q319" t="str">
        <f>IF(LARGE($C$271:$V$271,15)&lt;0,"",MATCH(LARGE($C$271:$V$271,15),$C$271:$V$271,0))</f>
        <v/>
      </c>
      <c r="R319" t="str">
        <f>IF(LARGE($C$271:$V$271,16)&lt;0,"",MATCH(LARGE($C$271:$V$271,16),$C$271:$V$271,0))</f>
        <v/>
      </c>
      <c r="S319" t="str">
        <f>IF(LARGE($C$271:$V$271,17)&lt;0,"",MATCH(LARGE($C$271:$V$271,17),$C$271:$V$271,0))</f>
        <v/>
      </c>
      <c r="T319" t="str">
        <f>IF(LARGE($C$271:$V$271,18)&lt;0,"",MATCH(LARGE($C$271:$V$271,18),$C$271:$V$271,0))</f>
        <v/>
      </c>
      <c r="U319" t="str">
        <f>IF(LARGE($C$271:$V$271,19)&lt;0,"",MATCH(LARGE($C$271:$V$271,19),$C$271:$V$271,0))</f>
        <v/>
      </c>
      <c r="V319" t="str">
        <f>IF(LARGE($C$271:$V$271,20)&lt;0,"",MATCH(LARGE($C$271:$V$271,20),$C$271:$V$271,0))</f>
        <v/>
      </c>
    </row>
    <row r="320" spans="3:22" x14ac:dyDescent="0.3">
      <c r="C320" t="str">
        <f>IF(LARGE($C$272:$V$272,1)&lt;0,"",MATCH(LARGE($C$272:$V$272,1),$C$272:$V$272,0))</f>
        <v/>
      </c>
      <c r="D320" t="str">
        <f>IF(LARGE($C$272:$V$272,2)&lt;0,"",MATCH(LARGE($C$272:$V$272,2),$C$272:$V$272,0))</f>
        <v/>
      </c>
      <c r="E320" t="str">
        <f>IF(LARGE($C$272:$V$272,3)&lt;0,"",MATCH(LARGE($C$272:$V$272,3),$C$272:$V$272,0))</f>
        <v/>
      </c>
      <c r="F320" t="str">
        <f>IF(LARGE($C$272:$V$272,4)&lt;0,"",MATCH(LARGE($C$272:$V$272,4),$C$272:$V$272,0))</f>
        <v/>
      </c>
      <c r="G320" t="str">
        <f>IF(LARGE($C$272:$V$272,5)&lt;0,"",MATCH(LARGE($C$272:$V$272,5),$C$272:$V$272,0))</f>
        <v/>
      </c>
      <c r="H320" t="str">
        <f>IF(LARGE($C$272:$V$272,6)&lt;0,"",MATCH(LARGE($C$272:$V$272,6),$C$272:$V$272,0))</f>
        <v/>
      </c>
      <c r="I320" t="str">
        <f>IF(LARGE($C$272:$V$272,7)&lt;0,"",MATCH(LARGE($C$272:$V$272,7),$C$272:$V$272,0))</f>
        <v/>
      </c>
      <c r="J320" t="str">
        <f>IF(LARGE($C$272:$V$272,8)&lt;0,"",MATCH(LARGE($C$272:$V$272,8),$C$272:$V$272,0))</f>
        <v/>
      </c>
      <c r="K320" t="str">
        <f>IF(LARGE($C$272:$V$272,9)&lt;0,"",MATCH(LARGE($C$272:$V$272,9),$C$272:$V$272,0))</f>
        <v/>
      </c>
      <c r="L320" t="str">
        <f>IF(LARGE($C$272:$V$272,10)&lt;0,"",MATCH(LARGE($C$272:$V$272,10),$C$272:$V$272,0))</f>
        <v/>
      </c>
      <c r="M320" t="str">
        <f>IF(LARGE($C$272:$V$272,11)&lt;0,"",MATCH(LARGE($C$272:$V$272,11),$C$272:$V$272,0))</f>
        <v/>
      </c>
      <c r="N320" t="str">
        <f>IF(LARGE($C$272:$V$272,12)&lt;0,"",MATCH(LARGE($C$272:$V$272,12),$C$272:$V$272,0))</f>
        <v/>
      </c>
      <c r="O320" t="str">
        <f>IF(LARGE($C$272:$V$272,13)&lt;0,"",MATCH(LARGE($C$272:$V$272,13),$C$272:$V$272,0))</f>
        <v/>
      </c>
      <c r="P320" t="str">
        <f>IF(LARGE($C$272:$V$272,14)&lt;0,"",MATCH(LARGE($C$272:$V$272,14),$C$272:$V$272,0))</f>
        <v/>
      </c>
      <c r="Q320" t="str">
        <f>IF(LARGE($C$272:$V$272,15)&lt;0,"",MATCH(LARGE($C$272:$V$272,15),$C$272:$V$272,0))</f>
        <v/>
      </c>
      <c r="R320" t="str">
        <f>IF(LARGE($C$272:$V$272,16)&lt;0,"",MATCH(LARGE($C$272:$V$272,16),$C$272:$V$272,0))</f>
        <v/>
      </c>
      <c r="S320" t="str">
        <f>IF(LARGE($C$272:$V$272,17)&lt;0,"",MATCH(LARGE($C$272:$V$272,17),$C$272:$V$272,0))</f>
        <v/>
      </c>
      <c r="T320" t="str">
        <f>IF(LARGE($C$272:$V$272,18)&lt;0,"",MATCH(LARGE($C$272:$V$272,18),$C$272:$V$272,0))</f>
        <v/>
      </c>
      <c r="U320" t="str">
        <f>IF(LARGE($C$272:$V$272,19)&lt;0,"",MATCH(LARGE($C$272:$V$272,19),$C$272:$V$272,0))</f>
        <v/>
      </c>
      <c r="V320" t="str">
        <f>IF(LARGE($C$272:$V$272,20)&lt;0,"",MATCH(LARGE($C$272:$V$272,20),$C$272:$V$272,0))</f>
        <v/>
      </c>
    </row>
    <row r="321" spans="3:22" x14ac:dyDescent="0.3">
      <c r="C321" t="str">
        <f>IF(LARGE($C$273:$V$273,1)&lt;0,"",MATCH(LARGE($C$273:$V$273,1),$C$273:$V$273,0))</f>
        <v/>
      </c>
      <c r="D321" t="str">
        <f>IF(LARGE($C$273:$V$273,2)&lt;0,"",MATCH(LARGE($C$273:$V$273,2),$C$273:$V$273,0))</f>
        <v/>
      </c>
      <c r="E321" t="str">
        <f>IF(LARGE($C$273:$V$273,3)&lt;0,"",MATCH(LARGE($C$273:$V$273,3),$C$273:$V$273,0))</f>
        <v/>
      </c>
      <c r="F321" t="str">
        <f>IF(LARGE($C$273:$V$273,4)&lt;0,"",MATCH(LARGE($C$273:$V$273,4),$C$273:$V$273,0))</f>
        <v/>
      </c>
      <c r="G321" t="str">
        <f>IF(LARGE($C$273:$V$273,5)&lt;0,"",MATCH(LARGE($C$273:$V$273,5),$C$273:$V$273,0))</f>
        <v/>
      </c>
      <c r="H321" t="str">
        <f>IF(LARGE($C$273:$V$273,6)&lt;0,"",MATCH(LARGE($C$273:$V$273,6),$C$273:$V$273,0))</f>
        <v/>
      </c>
      <c r="I321" t="str">
        <f>IF(LARGE($C$273:$V$273,7)&lt;0,"",MATCH(LARGE($C$273:$V$273,7),$C$273:$V$273,0))</f>
        <v/>
      </c>
      <c r="J321" t="str">
        <f>IF(LARGE($C$273:$V$273,8)&lt;0,"",MATCH(LARGE($C$273:$V$273,8),$C$273:$V$273,0))</f>
        <v/>
      </c>
      <c r="K321" t="str">
        <f>IF(LARGE($C$273:$V$273,9)&lt;0,"",MATCH(LARGE($C$273:$V$273,9),$C$273:$V$273,0))</f>
        <v/>
      </c>
      <c r="L321" t="str">
        <f>IF(LARGE($C$273:$V$273,10)&lt;0,"",MATCH(LARGE($C$273:$V$273,10),$C$273:$V$273,0))</f>
        <v/>
      </c>
      <c r="M321" t="str">
        <f>IF(LARGE($C$273:$V$273,11)&lt;0,"",MATCH(LARGE($C$273:$V$273,11),$C$273:$V$273,0))</f>
        <v/>
      </c>
      <c r="N321" t="str">
        <f>IF(LARGE($C$273:$V$273,12)&lt;0,"",MATCH(LARGE($C$273:$V$273,12),$C$273:$V$273,0))</f>
        <v/>
      </c>
      <c r="O321" t="str">
        <f>IF(LARGE($C$273:$V$273,13)&lt;0,"",MATCH(LARGE($C$273:$V$273,13),$C$273:$V$273,0))</f>
        <v/>
      </c>
      <c r="P321" t="str">
        <f>IF(LARGE($C$273:$V$273,14)&lt;0,"",MATCH(LARGE($C$273:$V$273,14),$C$273:$V$273,0))</f>
        <v/>
      </c>
      <c r="Q321" t="str">
        <f>IF(LARGE($C$273:$V$273,15)&lt;0,"",MATCH(LARGE($C$273:$V$273,15),$C$273:$V$273,0))</f>
        <v/>
      </c>
      <c r="R321" t="str">
        <f>IF(LARGE($C$273:$V$273,16)&lt;0,"",MATCH(LARGE($C$273:$V$273,16),$C$273:$V$273,0))</f>
        <v/>
      </c>
      <c r="S321" t="str">
        <f>IF(LARGE($C$273:$V$273,17)&lt;0,"",MATCH(LARGE($C$273:$V$273,17),$C$273:$V$273,0))</f>
        <v/>
      </c>
      <c r="T321" t="str">
        <f>IF(LARGE($C$273:$V$273,18)&lt;0,"",MATCH(LARGE($C$273:$V$273,18),$C$273:$V$273,0))</f>
        <v/>
      </c>
      <c r="U321" t="str">
        <f>IF(LARGE($C$273:$V$273,19)&lt;0,"",MATCH(LARGE($C$273:$V$273,19),$C$273:$V$273,0))</f>
        <v/>
      </c>
      <c r="V321" t="str">
        <f>IF(LARGE($C$273:$V$273,20)&lt;0,"",MATCH(LARGE($C$273:$V$273,20),$C$273:$V$273,0))</f>
        <v/>
      </c>
    </row>
    <row r="322" spans="3:22" x14ac:dyDescent="0.3">
      <c r="C322" t="str">
        <f>IF(LARGE($C$274:$V$274,1)&lt;0,"",MATCH(LARGE($C$274:$V$274,1),$C$274:$V$274,0))</f>
        <v/>
      </c>
      <c r="D322" t="str">
        <f>IF(LARGE($C$274:$V$274,2)&lt;0,"",MATCH(LARGE($C$274:$V$274,2),$C$274:$V$274,0))</f>
        <v/>
      </c>
      <c r="E322" t="str">
        <f>IF(LARGE($C$274:$V$274,3)&lt;0,"",MATCH(LARGE($C$274:$V$274,3),$C$274:$V$274,0))</f>
        <v/>
      </c>
      <c r="F322" t="str">
        <f>IF(LARGE($C$274:$V$274,4)&lt;0,"",MATCH(LARGE($C$274:$V$274,4),$C$274:$V$274,0))</f>
        <v/>
      </c>
      <c r="G322" t="str">
        <f>IF(LARGE($C$274:$V$274,5)&lt;0,"",MATCH(LARGE($C$274:$V$274,5),$C$274:$V$274,0))</f>
        <v/>
      </c>
      <c r="H322" t="str">
        <f>IF(LARGE($C$274:$V$274,6)&lt;0,"",MATCH(LARGE($C$274:$V$274,6),$C$274:$V$274,0))</f>
        <v/>
      </c>
      <c r="I322" t="str">
        <f>IF(LARGE($C$274:$V$274,7)&lt;0,"",MATCH(LARGE($C$274:$V$274,7),$C$274:$V$274,0))</f>
        <v/>
      </c>
      <c r="J322" t="str">
        <f>IF(LARGE($C$274:$V$274,8)&lt;0,"",MATCH(LARGE($C$274:$V$274,8),$C$274:$V$274,0))</f>
        <v/>
      </c>
      <c r="K322" t="str">
        <f>IF(LARGE($C$274:$V$274,9)&lt;0,"",MATCH(LARGE($C$274:$V$274,9),$C$274:$V$274,0))</f>
        <v/>
      </c>
      <c r="L322" t="str">
        <f>IF(LARGE($C$274:$V$274,10)&lt;0,"",MATCH(LARGE($C$274:$V$274,10),$C$274:$V$274,0))</f>
        <v/>
      </c>
      <c r="M322" t="str">
        <f>IF(LARGE($C$274:$V$274,11)&lt;0,"",MATCH(LARGE($C$274:$V$274,11),$C$274:$V$274,0))</f>
        <v/>
      </c>
      <c r="N322" t="str">
        <f>IF(LARGE($C$274:$V$274,12)&lt;0,"",MATCH(LARGE($C$274:$V$274,12),$C$274:$V$274,0))</f>
        <v/>
      </c>
      <c r="O322" t="str">
        <f>IF(LARGE($C$274:$V$274,13)&lt;0,"",MATCH(LARGE($C$274:$V$274,13),$C$274:$V$274,0))</f>
        <v/>
      </c>
      <c r="P322" t="str">
        <f>IF(LARGE($C$274:$V$274,14)&lt;0,"",MATCH(LARGE($C$274:$V$274,14),$C$274:$V$274,0))</f>
        <v/>
      </c>
      <c r="Q322" t="str">
        <f>IF(LARGE($C$274:$V$274,15)&lt;0,"",MATCH(LARGE($C$274:$V$274,15),$C$274:$V$274,0))</f>
        <v/>
      </c>
      <c r="R322" t="str">
        <f>IF(LARGE($C$274:$V$274,16)&lt;0,"",MATCH(LARGE($C$274:$V$274,16),$C$274:$V$274,0))</f>
        <v/>
      </c>
      <c r="S322" t="str">
        <f>IF(LARGE($C$274:$V$274,17)&lt;0,"",MATCH(LARGE($C$274:$V$274,17),$C$274:$V$274,0))</f>
        <v/>
      </c>
      <c r="T322" t="str">
        <f>IF(LARGE($C$274:$V$274,18)&lt;0,"",MATCH(LARGE($C$274:$V$274,18),$C$274:$V$274,0))</f>
        <v/>
      </c>
      <c r="U322" t="str">
        <f>IF(LARGE($C$274:$V$274,19)&lt;0,"",MATCH(LARGE($C$274:$V$274,19),$C$274:$V$274,0))</f>
        <v/>
      </c>
      <c r="V322" t="str">
        <f>IF(LARGE($C$274:$V$274,20)&lt;0,"",MATCH(LARGE($C$274:$V$274,20),$C$274:$V$274,0))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12</vt:i4>
      </vt:variant>
      <vt:variant>
        <vt:lpstr>Phạm vi Có tên</vt:lpstr>
      </vt:variant>
      <vt:variant>
        <vt:i4>5</vt:i4>
      </vt:variant>
    </vt:vector>
  </HeadingPairs>
  <TitlesOfParts>
    <vt:vector size="17" baseType="lpstr">
      <vt:lpstr>Hướng dẫn</vt:lpstr>
      <vt:lpstr>Khai báo</vt:lpstr>
      <vt:lpstr>Nhập số</vt:lpstr>
      <vt:lpstr>Realtime</vt:lpstr>
      <vt:lpstr>Lũy kế</vt:lpstr>
      <vt:lpstr>Chi tiết NV</vt:lpstr>
      <vt:lpstr>Dán TĐ lũy kế</vt:lpstr>
      <vt:lpstr>Dán TĐ realtime</vt:lpstr>
      <vt:lpstr>Dán TĐ nhân viên</vt:lpstr>
      <vt:lpstr>Dán DT nhân viên</vt:lpstr>
      <vt:lpstr>Dán DT NV realtime</vt:lpstr>
      <vt:lpstr>Tính</vt:lpstr>
      <vt:lpstr>CoRT</vt:lpstr>
      <vt:lpstr>CoRTNhom</vt:lpstr>
      <vt:lpstr>MucTieuTC</vt:lpstr>
      <vt:lpstr>NgayQua</vt:lpstr>
      <vt:lpstr>SoNgay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Ngoc Pham</cp:lastModifiedBy>
  <dcterms:created xsi:type="dcterms:W3CDTF">2026-10-26T09:33:50Z</dcterms:created>
  <dcterms:modified xsi:type="dcterms:W3CDTF">2026-10-26T09:51:44Z</dcterms:modified>
</cp:coreProperties>
</file>